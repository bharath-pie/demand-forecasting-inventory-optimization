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 LIGHT HOLDER " sheetId="1" r:id="rId5"/>
    <sheet state="visible" name="JUMBO BAG PINK" sheetId="2" r:id="rId6"/>
    <sheet state="visible" name="LUNCH BAG RED" sheetId="3" r:id="rId7"/>
    <sheet state="visible" name="POPCORN HOLDER" sheetId="4" r:id="rId8"/>
    <sheet state="visible" name=" REGENCY CAKESTAND " sheetId="5" r:id="rId9"/>
    <sheet state="visible" name="CHILLI LIGHTS" sheetId="6" r:id="rId10"/>
    <sheet state="visible" name="PAPER CHAIN KIT" sheetId="7" r:id="rId11"/>
    <sheet state="visible" name="PARTY BUNTING" sheetId="8" r:id="rId12"/>
    <sheet state="visible" name="BIRD ORNAMENT" sheetId="9" r:id="rId13"/>
    <sheet state="visible" name="JUMBO RED BAG" sheetId="10" r:id="rId14"/>
    <sheet state="visible" name="ABC ANALYSIS" sheetId="11" r:id="rId15"/>
    <sheet state="visible" name="SUMMARY" sheetId="12" r:id="rId16"/>
  </sheets>
  <definedNames/>
  <calcPr/>
</workbook>
</file>

<file path=xl/sharedStrings.xml><?xml version="1.0" encoding="utf-8"?>
<sst xmlns="http://schemas.openxmlformats.org/spreadsheetml/2006/main" count="6691" uniqueCount="6239">
  <si>
    <t>Week_start</t>
  </si>
  <si>
    <t>22423 REGENCY CAKESTAND 3 TI</t>
  </si>
  <si>
    <t>85123A WHITE HANGING HEART T-</t>
  </si>
  <si>
    <t>85099B JUMBO BAG RED RETROSPO</t>
  </si>
  <si>
    <t>47566 PARTY BUNTING</t>
  </si>
  <si>
    <t>84879 ASSORTED COLOUR BIRD O</t>
  </si>
  <si>
    <t>22086 PAPER CHAIN KIT 50'S C</t>
  </si>
  <si>
    <t>79321 CHILLI LIGHTS</t>
  </si>
  <si>
    <t>22197 SMALL POPCORN HOLDER</t>
  </si>
  <si>
    <t>22386 JUMBO BAG PINK POLKADO</t>
  </si>
  <si>
    <t>20725 LUNCH BAG RED RETROSPO</t>
  </si>
  <si>
    <t>MA3_FORECAST</t>
  </si>
  <si>
    <t>ERROR</t>
  </si>
  <si>
    <t>ABS ERROR</t>
  </si>
  <si>
    <t>ES_0.1</t>
  </si>
  <si>
    <t>ES_0.3</t>
  </si>
  <si>
    <t>ES_0.5</t>
  </si>
  <si>
    <t>ALPHA</t>
  </si>
  <si>
    <t>ABSERR_0.1</t>
  </si>
  <si>
    <t>ABSERR_0.3</t>
  </si>
  <si>
    <t>ABSERR_0.5</t>
  </si>
  <si>
    <t>MAD _M3</t>
  </si>
  <si>
    <t>MAD _ES_0.1</t>
  </si>
  <si>
    <t>MAD _ES_0.3</t>
  </si>
  <si>
    <t>MAD _ES_0.5</t>
  </si>
  <si>
    <t>AVERAGE</t>
  </si>
  <si>
    <t>STD DEV</t>
  </si>
  <si>
    <t>Rank</t>
  </si>
  <si>
    <t>StockCode</t>
  </si>
  <si>
    <t>Description</t>
  </si>
  <si>
    <t>Median_Price_GBP</t>
  </si>
  <si>
    <t>Annual_Demand_Units</t>
  </si>
  <si>
    <t>Annual_Value_GBP</t>
  </si>
  <si>
    <t>CUMULATIVE_GBP</t>
  </si>
  <si>
    <t>CUMULATIVE_PCT</t>
  </si>
  <si>
    <t>CLASS</t>
  </si>
  <si>
    <t>NO.OF CLASS A</t>
  </si>
  <si>
    <t>REGENCY CAKESTAND 3 TIER</t>
  </si>
  <si>
    <t>NO.OF CLASS B</t>
  </si>
  <si>
    <t>85123A</t>
  </si>
  <si>
    <t>WHITE HANGING HEART T-LIGHT HOLDER</t>
  </si>
  <si>
    <t>NO.OF CLASS C</t>
  </si>
  <si>
    <t>85099B</t>
  </si>
  <si>
    <t>JUMBO BAG RED RETROSPOT</t>
  </si>
  <si>
    <t>PARTY BUNTING</t>
  </si>
  <si>
    <t>ASSORTED COLOUR BIRD ORNAMENT</t>
  </si>
  <si>
    <t>ORDER_COST</t>
  </si>
  <si>
    <t>HOLDING_RATE</t>
  </si>
  <si>
    <t>PAPER CHAIN KIT 50'S CHRISTMAS</t>
  </si>
  <si>
    <t>CHILLI LIGHTS</t>
  </si>
  <si>
    <t>SMALL POPCORN HOLDER</t>
  </si>
  <si>
    <t>PRODUCT</t>
  </si>
  <si>
    <t>PRICE</t>
  </si>
  <si>
    <t>YEARLY DEMAND</t>
  </si>
  <si>
    <t>H_PER UNIT</t>
  </si>
  <si>
    <t>EOQ</t>
  </si>
  <si>
    <t>AVG_WEEKLY</t>
  </si>
  <si>
    <t>STD DEV_ WEEKLY</t>
  </si>
  <si>
    <t>SAFETY_STOCK</t>
  </si>
  <si>
    <t>REORDER_STOCK</t>
  </si>
  <si>
    <t>JUMBO BAG PINK POLKADOT</t>
  </si>
  <si>
    <t>LUNCH BAG RED RETROSPOT</t>
  </si>
  <si>
    <t>85099F</t>
  </si>
  <si>
    <t>JUMBO BAG STRAWBERRY</t>
  </si>
  <si>
    <t>DOORMAT UNION FLAG</t>
  </si>
  <si>
    <t>RABBIT NIGHT LIGHT</t>
  </si>
  <si>
    <t>DOORMAT RED RETROSPOT</t>
  </si>
  <si>
    <t>BLACK RECORD COVER FRAME</t>
  </si>
  <si>
    <t>RED RETROSPOT CAKE STAND</t>
  </si>
  <si>
    <t>JUMBO STORAGE BAG SUKI</t>
  </si>
  <si>
    <t>VINTAGE UNION JACK BUNTING</t>
  </si>
  <si>
    <t>HOT WATER BOTTLE TEA AND SYMPATHY</t>
  </si>
  <si>
    <t>85099C</t>
  </si>
  <si>
    <t>JUMBO  BAG BAROQUE BLACK WHITE</t>
  </si>
  <si>
    <t>LEAD TIME_WEEKS</t>
  </si>
  <si>
    <t>Z VALUE</t>
  </si>
  <si>
    <t>CHOCOLATE HOT WATER BOTTLE</t>
  </si>
  <si>
    <t>15056N</t>
  </si>
  <si>
    <t>EDWARDIAN PARASOL NATURAL</t>
  </si>
  <si>
    <t>PAPER CHAIN KIT VINTAGE CHRISTMAS</t>
  </si>
  <si>
    <t>JUMBO SHOPPER VINTAGE RED PAISLEY</t>
  </si>
  <si>
    <t>WOOD BLACK BOARD ANT WHITE FINISH</t>
  </si>
  <si>
    <t>ROTATING SILVER ANGELS T-LIGHT HLDR</t>
  </si>
  <si>
    <t>HEART OF WICKER LARGE</t>
  </si>
  <si>
    <t>SET/5 RED RETROSPOT LID GLASS BOWLS</t>
  </si>
  <si>
    <t>VICTORIAN GLASS HANGING T-LIGHT</t>
  </si>
  <si>
    <t>PACK OF 72 RETROSPOT CAKE CASES</t>
  </si>
  <si>
    <t>RETROSPOT TEA SET CERAMIC 11 PC</t>
  </si>
  <si>
    <t>PLEASE ONE PERSON METAL SIGN</t>
  </si>
  <si>
    <t>SCOTTIE DOG HOT WATER BOTTLE</t>
  </si>
  <si>
    <t>RED HANGING HEART T-LIGHT HOLDER</t>
  </si>
  <si>
    <t>JUMBO BAG PINK VINTAGE PAISLEY</t>
  </si>
  <si>
    <t>PAPER BUNTING RETROSPOT</t>
  </si>
  <si>
    <t>CREAM HEART CARD HOLDER</t>
  </si>
  <si>
    <t>STRAWBERRY CERAMIC TRINKET BOX</t>
  </si>
  <si>
    <t>ANTIQUE SILVER TEA GLASS ETCHED</t>
  </si>
  <si>
    <t>HEART OF WICKER SMALL</t>
  </si>
  <si>
    <t>DOORMAT HEARTS</t>
  </si>
  <si>
    <t>NATURAL SLATE HEART CHALKBOARD</t>
  </si>
  <si>
    <t>RED TOADSTOOL LED NIGHT LIGHT</t>
  </si>
  <si>
    <t>15056BL</t>
  </si>
  <si>
    <t>EDWARDIAN PARASOL BLACK</t>
  </si>
  <si>
    <t>HOME BUILDING BLOCK WORD</t>
  </si>
  <si>
    <t>DOORMAT NEW ENGLAND</t>
  </si>
  <si>
    <t>DOORMAT FANCY FONT HOME SWEET HOME</t>
  </si>
  <si>
    <t>JUMBO BAG SCANDINAVIAN PAISLEY</t>
  </si>
  <si>
    <t>CHARLOTTE BAG SUKI DESIGN</t>
  </si>
  <si>
    <t>VINTAGE UNION JACK MEMOBOARD</t>
  </si>
  <si>
    <t>ROUND SNACK BOXES SET OF4 WOODLAND</t>
  </si>
  <si>
    <t>LUNCH BAG  BLACK SKULL.</t>
  </si>
  <si>
    <t>BAKING SET 9 PIECE RETROSPOT</t>
  </si>
  <si>
    <t>84029E</t>
  </si>
  <si>
    <t>RED WOOLLY HOTTIE WHITE HEART.</t>
  </si>
  <si>
    <t>SPOTTY BUNTING</t>
  </si>
  <si>
    <t>LUNCH BAG SUKI  DESIGN</t>
  </si>
  <si>
    <t>82494L</t>
  </si>
  <si>
    <t>WOODEN FRAME ANTIQUE WHITE</t>
  </si>
  <si>
    <t>RED  HARMONICA IN BOX</t>
  </si>
  <si>
    <t>JUMBO BAG VINTAGE DOILY</t>
  </si>
  <si>
    <t>COLOUR GLASS. STAR T-LIGHT HOLDER</t>
  </si>
  <si>
    <t>DOORMAT FAIRY CAKE</t>
  </si>
  <si>
    <t>LUNCH BAG CARS BLUE</t>
  </si>
  <si>
    <t>WOODEN PICTURE FRAME WHITE FINISH</t>
  </si>
  <si>
    <t>JUMBO BAG OWLS</t>
  </si>
  <si>
    <t>GIN + TONIC DIET METAL SIGN</t>
  </si>
  <si>
    <t>84997D</t>
  </si>
  <si>
    <t>PINK 3 PIECE MINI DOTS CUTLERY SET</t>
  </si>
  <si>
    <t>84078A</t>
  </si>
  <si>
    <t>SET/4 WHITE RETRO STORAGE CUBES</t>
  </si>
  <si>
    <t>PAPER CHAIN KIT RETROSPOT</t>
  </si>
  <si>
    <t>CREAM SWEETHEART MINI CHEST</t>
  </si>
  <si>
    <t>JAM MAKING SET WITH JARS</t>
  </si>
  <si>
    <t>SET OF 3 CAKE TINS PANTRY DESIGN</t>
  </si>
  <si>
    <t>SPACEBOY LUNCH BOX</t>
  </si>
  <si>
    <t>WOOD S/3 CABINET ANT WHITE FINISH</t>
  </si>
  <si>
    <t>ROSES REGENCY TEACUP AND SAUCER</t>
  </si>
  <si>
    <t>COOK WITH WINE METAL SIGN</t>
  </si>
  <si>
    <t>RETROSPOT HEART HOT WATER BOTTLE</t>
  </si>
  <si>
    <t>LUNCH BAG WOODLAND</t>
  </si>
  <si>
    <t>JUMBO BAG WOODLAND ANIMALS</t>
  </si>
  <si>
    <t>DOORMAT KEEP CALM AND COME IN</t>
  </si>
  <si>
    <t>ALARM CLOCK BAKELIKE RED</t>
  </si>
  <si>
    <t>ROUND SNACK BOXES SET OF 4 FRUITS</t>
  </si>
  <si>
    <t>DOORMAT SPOTTY HOME SWEET HOME</t>
  </si>
  <si>
    <t>RED RETROSPOT CHARLOTTE BAG</t>
  </si>
  <si>
    <t>LOVE BUILDING BLOCK WORD</t>
  </si>
  <si>
    <t>RECYCLING BAG RETROSPOT</t>
  </si>
  <si>
    <t>84997B</t>
  </si>
  <si>
    <t>RED 3 PIECE MINI DOTS CUTLERY SET</t>
  </si>
  <si>
    <t>LUNCH BAG PINK POLKADOT</t>
  </si>
  <si>
    <t>LUNCH BAG SPACEBOY DESIGN</t>
  </si>
  <si>
    <t>RECIPE BOX PANTRY YELLOW DESIGN</t>
  </si>
  <si>
    <t>DOLLY GIRL LUNCH BOX</t>
  </si>
  <si>
    <t>ALARM CLOCK BAKELIKE GREEN</t>
  </si>
  <si>
    <t>84997C</t>
  </si>
  <si>
    <t>BLUE 3 PIECE MINI DOTS CUTLERY SET</t>
  </si>
  <si>
    <t>ASSORTED COLOURS SILK FAN</t>
  </si>
  <si>
    <t>JUMBO BAG SPACEBOY DESIGN</t>
  </si>
  <si>
    <t>6 RIBBONS RUSTIC CHARM</t>
  </si>
  <si>
    <t>HAND OVER THE CHOCOLATE   SIGN</t>
  </si>
  <si>
    <t>HAND WARMER OWL DESIGN</t>
  </si>
  <si>
    <t>WHITE SKULL HOT WATER BOTTLE</t>
  </si>
  <si>
    <t>DOORMAT ENGLISH ROSE</t>
  </si>
  <si>
    <t>SET OF 3 REGENCY CAKE TINS</t>
  </si>
  <si>
    <t>85014B</t>
  </si>
  <si>
    <t>RED RETROSPOT UMBRELLA</t>
  </si>
  <si>
    <t>GREEN REGENCY TEACUP AND SAUCER</t>
  </si>
  <si>
    <t>PICNIC BASKET WICKER LARGE</t>
  </si>
  <si>
    <t>EDWARDIAN PARASOL RED</t>
  </si>
  <si>
    <t>RED RETROSPOT ROUND CAKE TINS</t>
  </si>
  <si>
    <t>84029G</t>
  </si>
  <si>
    <t>KNITTED UNION FLAG HOT WATER BOTTLE</t>
  </si>
  <si>
    <t>JUMBO BAG APPLES</t>
  </si>
  <si>
    <t>LUNCH BOX I LOVE LONDON</t>
  </si>
  <si>
    <t>3 HEARTS HANGING DECORATION RUSTIC</t>
  </si>
  <si>
    <t>47590B</t>
  </si>
  <si>
    <t>PINK HAPPY BIRTHDAY BUNTING</t>
  </si>
  <si>
    <t>BOX OF VINTAGE ALPHABET BLOCKS</t>
  </si>
  <si>
    <t>HOT WATER BOTTLE KEEP CALM</t>
  </si>
  <si>
    <t>DOORMAT WELCOME PUPPIES</t>
  </si>
  <si>
    <t>WOOD 2 DRAWER CABINET WHITE FINISH</t>
  </si>
  <si>
    <t>HANGING HEART JAR T-LIGHT HOLDER</t>
  </si>
  <si>
    <t>HAND WARMER SCOTTY DOG DESIGN</t>
  </si>
  <si>
    <t>GUMBALL COAT RACK</t>
  </si>
  <si>
    <t>BLACK HEART CARD HOLDER</t>
  </si>
  <si>
    <t>PACK OF 60 PINK PAISLEY CAKE CASES</t>
  </si>
  <si>
    <t>HOT BATHS METAL SIGN</t>
  </si>
  <si>
    <t>MINI PAINT SET VINTAGE</t>
  </si>
  <si>
    <t>WOODLAND CHARLOTTE BAG</t>
  </si>
  <si>
    <t>IVORY KITCHEN SCALES</t>
  </si>
  <si>
    <t>JUMBO STORAGE BAG SKULLS</t>
  </si>
  <si>
    <t>GRAND CHOCOLATECANDLE</t>
  </si>
  <si>
    <t>JUMBO BAG ALPHABET</t>
  </si>
  <si>
    <t>60 TEATIME FAIRY CAKE CASES</t>
  </si>
  <si>
    <t>RED RETROSPOT MINI CASES</t>
  </si>
  <si>
    <t>SET OF 6 RIBBONS VINTAGE CHRISTMAS</t>
  </si>
  <si>
    <t>HANGING JAM JAR T-LIGHT HOLDER</t>
  </si>
  <si>
    <t>JAM MAKING SET PRINTED</t>
  </si>
  <si>
    <t>SET 7 BABUSHKA NESTING BOXES</t>
  </si>
  <si>
    <t>HAND WARMER BIRD DESIGN</t>
  </si>
  <si>
    <t>DOORMAT 3 SMILEY CATS</t>
  </si>
  <si>
    <t>HOT WATER BOTTLE I AM SO POORLY</t>
  </si>
  <si>
    <t>NO SINGING METAL SIGN</t>
  </si>
  <si>
    <t>JUMBO BAG TOYS</t>
  </si>
  <si>
    <t>PLASTERS IN TIN SPACEBOY</t>
  </si>
  <si>
    <t>MEMO BOARD RETROSPOT  DESIGN</t>
  </si>
  <si>
    <t>PAPER BUNTING WHITE LACE</t>
  </si>
  <si>
    <t>FELTCRAFT 6 FLOWER FRIENDS</t>
  </si>
  <si>
    <t>SET/20 RED RETROSPOT PAPER NAPKINS</t>
  </si>
  <si>
    <t>TEA TIME CAKE STAND IN GIFT BOX</t>
  </si>
  <si>
    <t>PAPER CHAIN KIT EMPIRE</t>
  </si>
  <si>
    <t>COLOUR GLASS T-LIGHT HOLDER HANGING</t>
  </si>
  <si>
    <t>ANNUAL_DEMAND</t>
  </si>
  <si>
    <t>RED RETROSPOT TRADITIONAL TEAPOT</t>
  </si>
  <si>
    <t>BEST_FORECAST_DEMAND</t>
  </si>
  <si>
    <t>BEST_MAD</t>
  </si>
  <si>
    <t>47566B</t>
  </si>
  <si>
    <t>TEA TIME PARTY BUNTING</t>
  </si>
  <si>
    <t>REGENCY TEAPOT ROSES</t>
  </si>
  <si>
    <t>ORDER_PER_YEAR</t>
  </si>
  <si>
    <t>PINK BLUE FELT CRAFT TRINKET BOX</t>
  </si>
  <si>
    <t>REORDER_POINT</t>
  </si>
  <si>
    <t>ZINC METAL HEART DECORATION</t>
  </si>
  <si>
    <t>SET OF 6 SPICE TINS PANTRY DESIGN</t>
  </si>
  <si>
    <t>WORLD WAR 2 GLIDERS ASSTD DESIGNS</t>
  </si>
  <si>
    <t>PINK REGENCY TEACUP AND SAUCER</t>
  </si>
  <si>
    <t>ALARM CLOCK BAKELIKE PINK</t>
  </si>
  <si>
    <t>SWEETHEART CERAMIC TRINKET BOX</t>
  </si>
  <si>
    <t>SMALL GLASS HEART TRINKET POT</t>
  </si>
  <si>
    <t>47590A</t>
  </si>
  <si>
    <t>BLUE HAPPY BIRTHDAY BUNTING</t>
  </si>
  <si>
    <t>FAWN BLUE HOT WATER BOTTLE</t>
  </si>
  <si>
    <t>DOORMAT UNION JACK GUNS AND ROSES</t>
  </si>
  <si>
    <t>EXP.SMOOTHING ALPHA 0.1</t>
  </si>
  <si>
    <t>WOODEN CROQUET GARDEN SET</t>
  </si>
  <si>
    <t>3 HOOK PHOTO SHELF ANTIQUE WHITE</t>
  </si>
  <si>
    <t>VINTAGE SNAP CARDS</t>
  </si>
  <si>
    <t>SET OF TEA COFFEE SUGAR TINS PANTRY</t>
  </si>
  <si>
    <t>JUMBO BAG 50'S CHRISTMAS</t>
  </si>
  <si>
    <t>PINK CREAM FELT CRAFT TRINKET BOX</t>
  </si>
  <si>
    <t>48173C</t>
  </si>
  <si>
    <t>DOORMAT BLACK FLOCK</t>
  </si>
  <si>
    <t>RED KITCHEN SCALES</t>
  </si>
  <si>
    <t>WOODEN ROUNDERS GARDEN SET</t>
  </si>
  <si>
    <t>PLASTERS IN TIN WOODLAND ANIMALS</t>
  </si>
  <si>
    <t>RED RETROSPOT PICNIC BAG</t>
  </si>
  <si>
    <t>84406B</t>
  </si>
  <si>
    <t>CREAM CUPID HEARTS COAT HANGER</t>
  </si>
  <si>
    <t>PLASTERS IN TIN CIRCUS PARADE</t>
  </si>
  <si>
    <t>ASSORTED COLOUR MINI CASES</t>
  </si>
  <si>
    <t>GREY HEART HOT WATER BOTTLE</t>
  </si>
  <si>
    <t>PICNIC BASKET WICKER SMALL</t>
  </si>
  <si>
    <t>84970S</t>
  </si>
  <si>
    <t>HANGING HEART ZINC T-LIGHT HOLDER</t>
  </si>
  <si>
    <t>WOODEN UNION JACK BUNTING</t>
  </si>
  <si>
    <t>85014A</t>
  </si>
  <si>
    <t>BLACK/BLUE POLKADOT UMBRELLA</t>
  </si>
  <si>
    <t>VINTAGE HEADS AND TAILS CARD GAME</t>
  </si>
  <si>
    <t>PACK OF 6 BIRDY GIFT TAGS</t>
  </si>
  <si>
    <t>CHRISTMAS LIGHTS 10 REINDEER</t>
  </si>
  <si>
    <t>SET OF 72 RETROSPOT PAPER  DOILIES</t>
  </si>
  <si>
    <t>HOMEMADE JAM SCENTED CANDLES</t>
  </si>
  <si>
    <t>PACK OF 72 SKULL CAKE CASES</t>
  </si>
  <si>
    <t>LUNCH BAG VINTAGE DOILY</t>
  </si>
  <si>
    <t>JUMBO BAG VINTAGE LEAF</t>
  </si>
  <si>
    <t>NATURAL SLATE CHALKBOARD LARGE</t>
  </si>
  <si>
    <t>15CM CHRISTMAS GLASS BALL 20 LIGHTS</t>
  </si>
  <si>
    <t>CERAMIC CAKE STAND + HANGING CAKES</t>
  </si>
  <si>
    <t>MOVING AVERAGE 3 WEEKS</t>
  </si>
  <si>
    <t>VICTORIAN SEWING BOX LARGE</t>
  </si>
  <si>
    <t>LUNCH BAG APPLE DESIGN</t>
  </si>
  <si>
    <t>HEART FILIGREE DOVE  SMALL</t>
  </si>
  <si>
    <t>RED SPOTTY BISCUIT TIN</t>
  </si>
  <si>
    <t>DOORMAT MULTICOLOUR STRIPE</t>
  </si>
  <si>
    <t>HAND WARMER RED RETROSPOT</t>
  </si>
  <si>
    <t>CHARLOTTE BAG PINK POLKADOT</t>
  </si>
  <si>
    <t>ENAMEL BREAD BIN CREAM</t>
  </si>
  <si>
    <t>STRAWBERRY LUNCH BOX WITH CUTLERY</t>
  </si>
  <si>
    <t>STRAWBERRY CHARLOTTE BAG</t>
  </si>
  <si>
    <t>GROW A FLYTRAP OR SUNFLOWER IN TIN</t>
  </si>
  <si>
    <t>LADIES &amp; GENTLEMEN METAL SIGN</t>
  </si>
  <si>
    <t>SET 3 RETROSPOT TEA,COFFEE,SUGAR</t>
  </si>
  <si>
    <t>VINTAGE UNION JACK CUSHION COVER</t>
  </si>
  <si>
    <t>SET 2 TEA TOWELS I LOVE LONDON</t>
  </si>
  <si>
    <t>BAKING SET SPACEBOY DESIGN</t>
  </si>
  <si>
    <t>POTTERING IN THE SHED METAL SIGN</t>
  </si>
  <si>
    <t>TOY TIDY PINK POLKADOT</t>
  </si>
  <si>
    <t>DOORMAT TOPIARY</t>
  </si>
  <si>
    <t>EXP.SMOOTHING ALPHA 0.5</t>
  </si>
  <si>
    <t>FELTCRAFT CUSHION RABBIT</t>
  </si>
  <si>
    <t>CLOTHES PEGS RETROSPOT PACK 24</t>
  </si>
  <si>
    <t>METAL SIGN TAKE IT OR LEAVE IT</t>
  </si>
  <si>
    <t>84997A</t>
  </si>
  <si>
    <t>GREEN 3 PIECE MINI DOTS CUTLERY SET</t>
  </si>
  <si>
    <t>WOODEN SCHOOL COLOURING SET</t>
  </si>
  <si>
    <t>FAMILY ALBUM WHITE PICTURE FRAME</t>
  </si>
  <si>
    <t>ENAMEL FLOWER JUG CREAM</t>
  </si>
  <si>
    <t>CHOCOLATE THIS WAY METAL SIGN</t>
  </si>
  <si>
    <t>FELTCRAFT CUSHION OWL</t>
  </si>
  <si>
    <t>60 CAKE CASES VINTAGE CHRISTMAS</t>
  </si>
  <si>
    <t>FELTCRAFT CUSHION BUTTERFLY</t>
  </si>
  <si>
    <t>CLASSIC METAL BIRDCAGE PLANT HOLDER</t>
  </si>
  <si>
    <t>ANTIQUE SILVER TEA GLASS ENGRAVED</t>
  </si>
  <si>
    <t>WHITE METAL LANTERN</t>
  </si>
  <si>
    <t>FAIRY CAKE FLANNEL ASSORTED COLOUR</t>
  </si>
  <si>
    <t>SILVER HANGING T-LIGHT HOLDER</t>
  </si>
  <si>
    <t>LARGE CAKE STAND  HANGING STRAWBERY</t>
  </si>
  <si>
    <t>PLASTERS IN TIN STRONGMAN</t>
  </si>
  <si>
    <t xml:space="preserve">RECORD FRAME 7" SINGLE SIZE </t>
  </si>
  <si>
    <t>SET/10 RED POLKADOT PARTY CANDLES</t>
  </si>
  <si>
    <t>CHICK GREY HOT WATER BOTTLE</t>
  </si>
  <si>
    <t>SET/2 RED RETROSPOT TEA TOWELS</t>
  </si>
  <si>
    <t>MEMO BOARD COTTAGE DESIGN</t>
  </si>
  <si>
    <t>BREAD BIN DINER STYLE IVORY</t>
  </si>
  <si>
    <t>SET/3 RED GINGHAM ROSE STORAGE BOX</t>
  </si>
  <si>
    <t>LUNCH BOX WITH CUTLERY RETROSPOT</t>
  </si>
  <si>
    <t>MULTI COLOUR SILVER T-LIGHT HOLDER</t>
  </si>
  <si>
    <t>TRADITIONAL MODELLING CLAY</t>
  </si>
  <si>
    <t>BLUE HARMONICA IN BOX</t>
  </si>
  <si>
    <t>HAND WARMER UNION JACK</t>
  </si>
  <si>
    <t>HEART IVORY TRELLIS SMALL</t>
  </si>
  <si>
    <t>47591D</t>
  </si>
  <si>
    <t>PINK FAIRY CAKE CHILDRENS APRON</t>
  </si>
  <si>
    <t>RED RETROSPOT SHOPPER BAG</t>
  </si>
  <si>
    <t>ENGLISH ROSE DESIGN QUILTED THROW</t>
  </si>
  <si>
    <t>PLASTERS IN TIN VINTAGE PAISLEY</t>
  </si>
  <si>
    <t>72 SWEETHEART FAIRY CAKE CASES</t>
  </si>
  <si>
    <t>84970L</t>
  </si>
  <si>
    <t>SINGLE HEART ZINC T-LIGHT HOLDER</t>
  </si>
  <si>
    <t>PAINTED METAL PEARS ASSORTED</t>
  </si>
  <si>
    <t>ASSUMPTIONS:</t>
  </si>
  <si>
    <t>DOORMAT AIRMAIL</t>
  </si>
  <si>
    <t>KEY_RESULTS:</t>
  </si>
  <si>
    <t>RETROSPOT CHILDRENS APRON</t>
  </si>
  <si>
    <t>WOODEN BOX OF DOMINOES</t>
  </si>
  <si>
    <t>ORDER COST=50 GBP PER ORDER</t>
  </si>
  <si>
    <t>1. ABC:1052 OUT OF 4870 PRODUCTS(22%)MAKE 80% OF SALES VALUE.THE TOP 10 PRODUCTS  ARE ALL CLASS A.</t>
  </si>
  <si>
    <t>SET OF 4 KNICK KNACK TINS DOILY</t>
  </si>
  <si>
    <t>HOLDING COST=20%OF UNIT PRICE PER YEAR</t>
  </si>
  <si>
    <t>2. FORECAST: EXPONENTIAL SMOOTHING(ALPHA 0.1) WAS THE BEST FOR 7 OUT OF 10 PRODUCTS, 3-WEEK MOVING AVERAGE  FOR 2 PRODUCTS(PARTY BUNTING,POPCORN HOLDER)  AND ALPHA 0.5 FOR PAPER CHAIN KIT(SEASONAL).</t>
  </si>
  <si>
    <t>LEAD TIME=2 WEEKS</t>
  </si>
  <si>
    <t>SWEETHEART CAKESTAND 3 TIER</t>
  </si>
  <si>
    <t>3. FORECAST EROR(MAD) IS ROUGHLY 26% TO 57% OF AVERAGE WEEKLY SALES.</t>
  </si>
  <si>
    <t>SERVICE LEVEL=95%</t>
  </si>
  <si>
    <t>4. EOQ RANGES FROM ABOUT 711 UNITS (REGENCY CAKE STAND) TO ABOUT 5096(SMALL POPCORN HOLDER),OR 8 TO 18 ORDERS PER YEAR.</t>
  </si>
  <si>
    <t>FORECAST ACCURACY MEASURED BY MAD ON THE LAST 12 WEEKS</t>
  </si>
  <si>
    <t>RED RETROSPOT SMALL MILK JUG</t>
  </si>
  <si>
    <t>5. SAFETY STOCK RANGES FROM 410 TO 2107 UNITS,AND REORDER POINTS FROM 741 TO 3707 UNITS.</t>
  </si>
  <si>
    <t>DATA:</t>
  </si>
  <si>
    <t>FELTCRAFT BUTTERFLY HEARTS</t>
  </si>
  <si>
    <t>LIMITATIONS:</t>
  </si>
  <si>
    <t>DELUXE SEWING KIT</t>
  </si>
  <si>
    <t>ONLINE RETAIL II (DEC2009 TO NOV 2011),CLEANED</t>
  </si>
  <si>
    <t>1.ORDER COST,HOLDING COST,LEAD TIME AND SERVICE LEVEL ARE ASSUMED, NOT TAKEN FROM THE DATA.</t>
  </si>
  <si>
    <t>79323W</t>
  </si>
  <si>
    <t>2. DEMAND IS GROSS SALES.PARTIAL RETURNS WERE NOT SUBRACTED.</t>
  </si>
  <si>
    <t>WHITE CHERRY LIGHTS</t>
  </si>
  <si>
    <t>3. PRICES AND SELLING PRICES,NOT COSTS.</t>
  </si>
  <si>
    <t>TRAVEL SEWING KIT</t>
  </si>
  <si>
    <t>4.FORECAST WERE TESTED ON ONLY THE  LAST 12 WEEKS.</t>
  </si>
  <si>
    <t>5. SOME PRODUCTS HAVE LUMPY OR SEASONAL DEMAND(PAPER CHAIN KIT HAS 22 ZERO WEEKS),SO ERROR ARE LARGE.</t>
  </si>
  <si>
    <t>FELTCRAFT DOLL MOLLY</t>
  </si>
  <si>
    <t>6. EOQ AND SAFETY STOCK WERE CALCULATED FOR THE TOP 10 PRODUCTS.</t>
  </si>
  <si>
    <t>HOME SWEET HOME METAL SIGN</t>
  </si>
  <si>
    <t>RETRO SPOT LARGE MILK JUG</t>
  </si>
  <si>
    <t>72760B</t>
  </si>
  <si>
    <t>VINTAGE CREAM 3 BASKET CAKE STAND</t>
  </si>
  <si>
    <t>SET OF 4 PANTRY JELLY MOULDS</t>
  </si>
  <si>
    <t>HOT WATER BOTTLE BABUSHKA</t>
  </si>
  <si>
    <t>RED RETROSPOT PEG BAG</t>
  </si>
  <si>
    <t>LUNCH BAG DOLLY GIRL DESIGN</t>
  </si>
  <si>
    <t>HEART IVORY TRELLIS LARGE</t>
  </si>
  <si>
    <t>GARDENERS KNEELING PAD KEEP CALM</t>
  </si>
  <si>
    <t>IVORY DINER WALL CLOCK</t>
  </si>
  <si>
    <t>RED DINER WALL CLOCK</t>
  </si>
  <si>
    <t>WHITE WOOD GARDEN PLANT LADDER</t>
  </si>
  <si>
    <t>SET OF 3 NOTEBOOKS IN PARCEL</t>
  </si>
  <si>
    <t>DOORMAT HOME SWEET HOME BLUE</t>
  </si>
  <si>
    <t>35004C</t>
  </si>
  <si>
    <t>SET OF 3 COLOURED  FLYING DUCKS</t>
  </si>
  <si>
    <t>VINTAGE CHRISTMAS BUNTING</t>
  </si>
  <si>
    <t>CHILDRENS APRON SPACEBOY DESIGN</t>
  </si>
  <si>
    <t>SET OF 20 KIDS COOKIE CUTTERS</t>
  </si>
  <si>
    <t>CHILDS BREAKFAST SET SPACEBOY</t>
  </si>
  <si>
    <t>CHILDS BREAKFAST SET DOLLY GIRL</t>
  </si>
  <si>
    <t>SET OF 6 SOLDIER SKITTLES</t>
  </si>
  <si>
    <t>TRADITIONAL WOODEN SKIPPING ROPE</t>
  </si>
  <si>
    <t>FELTCRAFT PRINCESS CHARLOTTE DOLL</t>
  </si>
  <si>
    <t>PICTURE FRAME WOOD TRIPLE PORTRAIT</t>
  </si>
  <si>
    <t>RED RETROSPOT MUG</t>
  </si>
  <si>
    <t>SET OF 3 HEART COOKIE CUTTERS</t>
  </si>
  <si>
    <t>DOORMAT WELCOME TO OUR HOME</t>
  </si>
  <si>
    <t>DOORMAT RESPECTABLE HOUSE</t>
  </si>
  <si>
    <t>PACK OF 60 DINOSAUR CAKE CASES</t>
  </si>
  <si>
    <t>FELTCRAFT CHRISTMAS FAIRY</t>
  </si>
  <si>
    <t>BEWARE OF THE CAT METAL SIGN</t>
  </si>
  <si>
    <t>ZINC FOLKART SLEIGH BELLS</t>
  </si>
  <si>
    <t>WOODEN ADVENT CALENDAR CREAM</t>
  </si>
  <si>
    <t>METAL 4 HOOK HANGER FRENCH CHATEAU</t>
  </si>
  <si>
    <t>SET OF 20 VINTAGE CHRISTMAS NAPKINS</t>
  </si>
  <si>
    <t>SET/6 RED SPOTTY PAPER PLATES</t>
  </si>
  <si>
    <t>RETROSPOT PARTY BAG + STICKER SET</t>
  </si>
  <si>
    <t>AREA PATROLLED METAL SIGN</t>
  </si>
  <si>
    <t>SET/10 PINK POLKADOT PARTY CANDLES</t>
  </si>
  <si>
    <t>HOME SWEET HOME MUG</t>
  </si>
  <si>
    <t>ALARM CLOCK BAKELIKE IVORY</t>
  </si>
  <si>
    <t>BROCADE RING PURSE</t>
  </si>
  <si>
    <t>OPEN CLOSED METAL SIGN</t>
  </si>
  <si>
    <t>WOODEN SKITTLES GARDEN SET</t>
  </si>
  <si>
    <t>SET OF 2 WOODEN MARKET CRATES</t>
  </si>
  <si>
    <t>PINK HEART SHAPE EGG FRYING PAN</t>
  </si>
  <si>
    <t>VINTAGE SNAKES &amp; LADDERS</t>
  </si>
  <si>
    <t>WHITE SPOT RED CERAMIC DRAWER KNOB</t>
  </si>
  <si>
    <t>SET 10 LIGHTS NIGHT OWL</t>
  </si>
  <si>
    <t>KENSINGTON COFFEE SET</t>
  </si>
  <si>
    <t>YOU'RE CONFUSING ME METAL SIGN</t>
  </si>
  <si>
    <t>HEART FILIGREE DOVE LARGE</t>
  </si>
  <si>
    <t>MINT KITCHEN SCALES</t>
  </si>
  <si>
    <t>85232B</t>
  </si>
  <si>
    <t>SET/3 RUSSIAN DOLL STACKING TINS</t>
  </si>
  <si>
    <t>JUMBO BAG PEARS</t>
  </si>
  <si>
    <t>RED STRIPE CERAMIC DRAWER KNOB</t>
  </si>
  <si>
    <t>VICTORIAN SEWING BOX MEDIUM</t>
  </si>
  <si>
    <t>VICTORIAN SEWING BOX SMALL</t>
  </si>
  <si>
    <t>BLUE STRIPE CERAMIC DRAWER KNOB</t>
  </si>
  <si>
    <t>WOODEN BOX ADVENT CALENDAR</t>
  </si>
  <si>
    <t>SET OF 3 BUTTERFLY COOKIE CUTTERS</t>
  </si>
  <si>
    <t>GROW YOUR OWN PLANT IN A CAN</t>
  </si>
  <si>
    <t>TRADITIONAL KNITTING NANCY</t>
  </si>
  <si>
    <t>DOUGHNUT LIP GLOSS</t>
  </si>
  <si>
    <t>RED RETROSPOT BUTTER DISH</t>
  </si>
  <si>
    <t>FULL ENGLISH BREAKFAST PLATE</t>
  </si>
  <si>
    <t>BINGO SET</t>
  </si>
  <si>
    <t>FILIGRIS HEART WITH BUTTERFLY</t>
  </si>
  <si>
    <t>JUMBO BAG VINTAGE CHRISTMAS</t>
  </si>
  <si>
    <t>LOVE HOT WATER BOTTLE</t>
  </si>
  <si>
    <t>CHILDS BREAKFAST SET CIRCUS PARADE</t>
  </si>
  <si>
    <t>RECIPE BOX RETROSPOT</t>
  </si>
  <si>
    <t>LUNCH BAG ALPHABET DESIGN</t>
  </si>
  <si>
    <t>47556B</t>
  </si>
  <si>
    <t>TEA TIME TEA TOWELS</t>
  </si>
  <si>
    <t>3 STRIPEY MICE FELTCRAFT</t>
  </si>
  <si>
    <t>SET 6 SCHOOL MILK BOTTLES IN CRATE</t>
  </si>
  <si>
    <t>WHITE SPOT BLUE CERAMIC DRAWER KNOB</t>
  </si>
  <si>
    <t>15044A</t>
  </si>
  <si>
    <t>PINK PAPER PARASOL</t>
  </si>
  <si>
    <t>CHRISTMAS TOILET ROLL</t>
  </si>
  <si>
    <t>CAKE STAND 3 TIER MAGIC GARDEN</t>
  </si>
  <si>
    <t>FELTCRAFT DOLL ROSIE</t>
  </si>
  <si>
    <t>75049L</t>
  </si>
  <si>
    <t>LARGE CIRCULAR MIRROR MOBILE</t>
  </si>
  <si>
    <t>RED RETROSPOT BOWL</t>
  </si>
  <si>
    <t>SET OF 10 LED DOLLY LIGHTS</t>
  </si>
  <si>
    <t>WOODEN HAPPY BIRTHDAY GARLAND</t>
  </si>
  <si>
    <t>PLASTERS IN TIN SKULLS</t>
  </si>
  <si>
    <t>ADVENT CALENDAR GINGHAM SACK</t>
  </si>
  <si>
    <t>PACK OF 6 PANNETONE GIFT BOXES</t>
  </si>
  <si>
    <t>FRYING PAN UNION FLAG</t>
  </si>
  <si>
    <t>BREAD BIN DINER STYLE RED</t>
  </si>
  <si>
    <t>PHOTO FRAME CORNICE</t>
  </si>
  <si>
    <t>PAPER BUNTING COLOURED LACE</t>
  </si>
  <si>
    <t>SAVE THE PLANET MUG</t>
  </si>
  <si>
    <t>SET OF 72 PINK HEART PAPER DOILIES</t>
  </si>
  <si>
    <t>SUKI  SHOULDER BAG</t>
  </si>
  <si>
    <t>PHARMACIE FIRST AID TIN</t>
  </si>
  <si>
    <t>CANDLEHOLDER PINK HANGING HEART</t>
  </si>
  <si>
    <t>HANGING METAL HEART LANTERN</t>
  </si>
  <si>
    <t>LARGE POPCORN HOLDER</t>
  </si>
  <si>
    <t>BAG 250g SWIRLY MARBLES</t>
  </si>
  <si>
    <t>CERAMIC STRAWBERRY CAKE MONEY BANK</t>
  </si>
  <si>
    <t>79323P</t>
  </si>
  <si>
    <t>PINK CHERRY LIGHTS</t>
  </si>
  <si>
    <t>COFFEE MUG APPLES DESIGN</t>
  </si>
  <si>
    <t>WOODEN ADVENT CALENDAR RED</t>
  </si>
  <si>
    <t>PACK OF 12 LONDON TISSUES</t>
  </si>
  <si>
    <t>SOMBRERO</t>
  </si>
  <si>
    <t>RED SPOT CERAMIC DRAWER KNOB</t>
  </si>
  <si>
    <t>CHRISTMAS CRAFT LITTLE FRIENDS</t>
  </si>
  <si>
    <t>RIBBON REEL STRIPES DESIGN</t>
  </si>
  <si>
    <t>CIRCUS PARADE LUNCH BOX</t>
  </si>
  <si>
    <t>15056P</t>
  </si>
  <si>
    <t>EDWARDIAN PARASOL PINK</t>
  </si>
  <si>
    <t>REGENCY SUGAR BOWL GREEN</t>
  </si>
  <si>
    <t>BLUE SPOT CERAMIC DRAWER KNOB</t>
  </si>
  <si>
    <t>COFFEE MUG CAT + BIRD DESIGN</t>
  </si>
  <si>
    <t>SET/10 BLUE SPOTTY PARTY CANDLES</t>
  </si>
  <si>
    <t>BOX OF VINTAGE JIGSAW BLOCKS</t>
  </si>
  <si>
    <t>ANTIQUE LILY FAIRY LIGHTS</t>
  </si>
  <si>
    <t>ASSORTED FLOWER COLOUR "LEIS"</t>
  </si>
  <si>
    <t>BLUE DINER WALL CLOCK</t>
  </si>
  <si>
    <t>STRAWBERRY   PICNIC BAG</t>
  </si>
  <si>
    <t>RED RETROSPOT PLATE</t>
  </si>
  <si>
    <t>ALARM CLOCK BAKELIKE ORANGE</t>
  </si>
  <si>
    <t>5 HOOK HANGER RED MAGIC TOADSTOOL</t>
  </si>
  <si>
    <t>SET OF 36 TEATIME PAPER DOILIES</t>
  </si>
  <si>
    <t>FELTCRAFT PRINCESS LOLA DOLL</t>
  </si>
  <si>
    <t>NATURAL SLATE RECTANGLE CHALKBOARD</t>
  </si>
  <si>
    <t>SET3 BOOK BOX GREEN GINGHAM FLOWER</t>
  </si>
  <si>
    <t>47567B</t>
  </si>
  <si>
    <t>TEA TIME KITCHEN APRON</t>
  </si>
  <si>
    <t>CHRISTMAS LIGHTS 10 VINTAGE BAUBLES</t>
  </si>
  <si>
    <t>T-LIGHT GLASS FLUTED ANTIQUE</t>
  </si>
  <si>
    <t>3 TIER CAKE TIN RED AND CREAM</t>
  </si>
  <si>
    <t>AGED GLASS SILVER T-LIGHT HOLDER</t>
  </si>
  <si>
    <t>GARDENERS KNEELING PAD CUP OF TEA</t>
  </si>
  <si>
    <t>DOORSTOP RETROSPOT HEART</t>
  </si>
  <si>
    <t>RAIN PONCHO RETROSPOT</t>
  </si>
  <si>
    <t>PIGGY BANK RETROSPOT</t>
  </si>
  <si>
    <t>STRAWBERRY FAIRY CAKE TEAPOT</t>
  </si>
  <si>
    <t>RED RETROSPOT OVEN GLOVE</t>
  </si>
  <si>
    <t>VINTAGE CREAM DOG FOOD CONTAINER</t>
  </si>
  <si>
    <t>FIRST AID TIN</t>
  </si>
  <si>
    <t>JUMBO BAG DOLLY GIRL DESIGN</t>
  </si>
  <si>
    <t>POLKADOT PEN</t>
  </si>
  <si>
    <t>JUMBO BAG PAISLEY PARK</t>
  </si>
  <si>
    <t>RED GINGHAM ROSE JEWELLERY BOX</t>
  </si>
  <si>
    <t>PARTY METAL SIGN</t>
  </si>
  <si>
    <t>PLACE SETTING WHITE HEART</t>
  </si>
  <si>
    <t>BABUSHKA LIGHTS STRING OF 10</t>
  </si>
  <si>
    <t>SOLDIERS EGG CUP</t>
  </si>
  <si>
    <t>UNION STRIPE WITH FRINGE  HAMMOCK</t>
  </si>
  <si>
    <t>72351B</t>
  </si>
  <si>
    <t>SET/6 PINK  BUTTERFLY T-LIGHTS</t>
  </si>
  <si>
    <t>ROSE COTTAGE KEEPSAKE BOX</t>
  </si>
  <si>
    <t>PACK OF 60 SPACEBOY CAKE CASES</t>
  </si>
  <si>
    <t>RED FLORAL FELTCRAFT SHOULDER BAG</t>
  </si>
  <si>
    <t>4 TRADITIONAL SPINNING TOPS</t>
  </si>
  <si>
    <t>POTTING SHED TEA MUG</t>
  </si>
  <si>
    <t>HAND WARMER BABUSHKA DESIGN</t>
  </si>
  <si>
    <t>SWEETHEART RECIPE BOOK STAND</t>
  </si>
  <si>
    <t>12 PENCILS SMALL TUBE RED RETROSPOT</t>
  </si>
  <si>
    <t>REGENCY TEA PLATE ROSES</t>
  </si>
  <si>
    <t>47599A</t>
  </si>
  <si>
    <t>PINK PARTY BAGS</t>
  </si>
  <si>
    <t>PARTY CONE CHRISTMAS DECORATION</t>
  </si>
  <si>
    <t>GLITTER BUTTERFLY CLIPS</t>
  </si>
  <si>
    <t>I'M ON HOLIDAY METAL SIGN</t>
  </si>
  <si>
    <t>FAMILY PHOTO FRAME CORNICE</t>
  </si>
  <si>
    <t>RETRO COFFEE MUGS ASSORTED</t>
  </si>
  <si>
    <t>RED RETROSPOT WRAP</t>
  </si>
  <si>
    <t>PINK BABY BUNTING</t>
  </si>
  <si>
    <t>VINTAGE RED KITCHEN CABINET</t>
  </si>
  <si>
    <t>PACK 3 BOXES CHRISTMAS PANNETONE</t>
  </si>
  <si>
    <t>36 DOILIES VINTAGE CHRISTMAS</t>
  </si>
  <si>
    <t>WICKER STAR</t>
  </si>
  <si>
    <t>FELTCRAFT DOLL EMILY</t>
  </si>
  <si>
    <t>PINK DOUGHNUT TRINKET POT</t>
  </si>
  <si>
    <t>SKULL LUNCH BOX WITH CUTLERY</t>
  </si>
  <si>
    <t>CAMOUFLAGE LED TORCH</t>
  </si>
  <si>
    <t>DOG BOWL CHASING BALL DESIGN</t>
  </si>
  <si>
    <t>VINTAGE UNION JACK DOORSTOP</t>
  </si>
  <si>
    <t>TWO DOOR CURIO CABINET</t>
  </si>
  <si>
    <t>TEA BAG PLATE RED RETROSPOT</t>
  </si>
  <si>
    <t>82001S</t>
  </si>
  <si>
    <t>VINYL RECORD FRAME SILVER</t>
  </si>
  <si>
    <t>COFFEE MUG PEARS  DESIGN</t>
  </si>
  <si>
    <t>PACK OF 12 SUKI TISSUES</t>
  </si>
  <si>
    <t>S/6 WOODEN SKITTLES IN COTTON BAG</t>
  </si>
  <si>
    <t>LUNCH BAG VINTAGE LEAF DESIGN</t>
  </si>
  <si>
    <t>SET OF 36 PAISLEY FLOWER DOILIES</t>
  </si>
  <si>
    <t>GINGHAM HEART DECORATION</t>
  </si>
  <si>
    <t>RETROSPOT RED WASHING UP GLOVES</t>
  </si>
  <si>
    <t>PHOTO CUBE</t>
  </si>
  <si>
    <t>SET/6 RED SPOTTY PAPER CUPS</t>
  </si>
  <si>
    <t>PAPER BUNTING VINTAGE PAISLEY</t>
  </si>
  <si>
    <t>10 COLOUR SPACEBOY PEN</t>
  </si>
  <si>
    <t>ALARM CLOCK BAKELIKE CHOCOLATE</t>
  </si>
  <si>
    <t>CLEAR DRAWER KNOB ACRYLIC EDWARDIAN</t>
  </si>
  <si>
    <t>WELCOME  WOODEN BLOCK LETTERS</t>
  </si>
  <si>
    <t>LONDON BUS COFFEE MUG</t>
  </si>
  <si>
    <t>TOY TIDY SPACEBOY</t>
  </si>
  <si>
    <t>RED RETROSPOT CHILDRENS UMBRELLA</t>
  </si>
  <si>
    <t>RED RETROSPOT SUGAR JAM BOWL</t>
  </si>
  <si>
    <t>POPPY'S PLAYHOUSE KITCHEN</t>
  </si>
  <si>
    <t>GINGERBREAD MAN COOKIE CUTTER</t>
  </si>
  <si>
    <t>TRADITIONAL WOODEN CATCH CUP GAME</t>
  </si>
  <si>
    <t>JUMBO BAG CHARLIE AND LOLA TOYS</t>
  </si>
  <si>
    <t>MA CAMPAGNE CUTLERY BOX</t>
  </si>
  <si>
    <t>VINTAGE DOILY JUMBO BAG RED</t>
  </si>
  <si>
    <t>BATH BUILDING BLOCK WORD</t>
  </si>
  <si>
    <t>RETROSPOT LAMP</t>
  </si>
  <si>
    <t>REGENCY TEA PLATE GREEN</t>
  </si>
  <si>
    <t>ROUND SNACK BOXES SET OF 4 SKULLS</t>
  </si>
  <si>
    <t>36 PENCILS TUBE RED RETROSPOT</t>
  </si>
  <si>
    <t>COFFEE MUG DOG + BALL DESIGN</t>
  </si>
  <si>
    <t>FOOD CONTAINER SET 3 LOVE HEART</t>
  </si>
  <si>
    <t>ICE CREAM SUNDAE LIP GLOSS</t>
  </si>
  <si>
    <t>WHITE WIRE EGG HOLDER</t>
  </si>
  <si>
    <t>CALENDAR PAPER CUT DESIGN</t>
  </si>
  <si>
    <t>CERAMIC HEART FAIRY CAKE MONEY BANK</t>
  </si>
  <si>
    <t>ROUND CAKE TIN VINTAGE RED</t>
  </si>
  <si>
    <t>ENCHANTED BIRD COATHANGER 5 HOOK</t>
  </si>
  <si>
    <t>ENAMEL MEASURING JUG CREAM</t>
  </si>
  <si>
    <t>REVOLVER WOODEN RULER</t>
  </si>
  <si>
    <t>FAIRY TALE COTTAGE NIGHTLIGHT</t>
  </si>
  <si>
    <t>PINK POLKADOT BOWL</t>
  </si>
  <si>
    <t>RED WHITE SCARF  HOT WATER BOTTLE</t>
  </si>
  <si>
    <t>POPPY'S PLAYHOUSE BEDROOM</t>
  </si>
  <si>
    <t>PICTURE DOMINOES</t>
  </si>
  <si>
    <t>MOROCCAN TEA GLASS</t>
  </si>
  <si>
    <t>LARGE RED RETROSPOT WINDMILL</t>
  </si>
  <si>
    <t>47570B</t>
  </si>
  <si>
    <t>TEA TIME TABLE CLOTH</t>
  </si>
  <si>
    <t>FOLKART ZINC HEART CHRISTMAS DEC</t>
  </si>
  <si>
    <t>RECIPE BOX BLUE SKETCHBOOK DESIGN</t>
  </si>
  <si>
    <t>WASHROOM METAL SIGN</t>
  </si>
  <si>
    <t>SMALL CHINESE STYLE SCISSOR</t>
  </si>
  <si>
    <t>REGENCY MILK JUG PINK</t>
  </si>
  <si>
    <t>BOYS VINTAGE TIN SEASIDE BUCKET</t>
  </si>
  <si>
    <t>IVORY HANGING DECORATION  HEART</t>
  </si>
  <si>
    <t>PINK FLORAL FELTCRAFT SHOULDER BAG</t>
  </si>
  <si>
    <t>TRIPLE PHOTO FRAME CORNICE</t>
  </si>
  <si>
    <t>PANTRY ROLLING PIN</t>
  </si>
  <si>
    <t>BOX OF 24 COCKTAIL PARASOLS</t>
  </si>
  <si>
    <t>PINK  SPOTTY PLATE</t>
  </si>
  <si>
    <t>KINGS CHOICE BISCUIT TIN</t>
  </si>
  <si>
    <t>LOVEBIRD HANGING DECORATION WHITE</t>
  </si>
  <si>
    <t>GLASS  BEURRE DISH</t>
  </si>
  <si>
    <t>RED RETROSPOT TEA CUP AND SAUCER</t>
  </si>
  <si>
    <t>PICCADILLY TEA SET</t>
  </si>
  <si>
    <t>NOEL WOODEN BLOCK LETTERS</t>
  </si>
  <si>
    <t>LARGE HEART MEASURING SPOONS</t>
  </si>
  <si>
    <t>GAOLERS KEYS DECORATIVE GARDEN</t>
  </si>
  <si>
    <t>FUNKY DIVA PEN</t>
  </si>
  <si>
    <t>84030E</t>
  </si>
  <si>
    <t>ENGLISH ROSE HOT WATER BOTTLE</t>
  </si>
  <si>
    <t>RED METAL BOX TOP SECRET</t>
  </si>
  <si>
    <t>RECIPE BOX WITH METAL HEART</t>
  </si>
  <si>
    <t>PINK VINTAGE PAISLEY PICNIC BAG</t>
  </si>
  <si>
    <t>BOX OF 6 MINI 50'S CRACKERS</t>
  </si>
  <si>
    <t>RED RETROSPOT OVEN GLOVE DOUBLE</t>
  </si>
  <si>
    <t>3 HOOK HANGER MAGIC GARDEN</t>
  </si>
  <si>
    <t>PACK OF 12 HEARTS DESIGN TISSUES</t>
  </si>
  <si>
    <t>CHRISTMAS LIGHTS 10 SANTAS</t>
  </si>
  <si>
    <t>HAND WARMER RED LOVE HEART</t>
  </si>
  <si>
    <t>AIRLINE BAG VINTAGE TOKYO 78</t>
  </si>
  <si>
    <t>SET 2 PANTRY DESIGN TEA TOWELS</t>
  </si>
  <si>
    <t>GIRLS VINTAGE TIN SEASIDE BUCKET</t>
  </si>
  <si>
    <t>3 TIER CAKE TIN GREEN AND CREAM</t>
  </si>
  <si>
    <t>CHRISTMAS CRAFT TREE TOP ANGEL</t>
  </si>
  <si>
    <t>BOX OF 6 MINI VINTAGE CRACKERS</t>
  </si>
  <si>
    <t>LARGE WHITE HEART OF WICKER</t>
  </si>
  <si>
    <t>SWEETHEART KEY CABINET</t>
  </si>
  <si>
    <t>RED SPOTTY APRON</t>
  </si>
  <si>
    <t>SET OF 2 TEA TOWELS APPLE AND PEARS</t>
  </si>
  <si>
    <t>FOUR HOOK  WHITE LOVEBIRDS</t>
  </si>
  <si>
    <t>12 PENCILS SMALL TUBE SKULL</t>
  </si>
  <si>
    <t>BIRD HOUSE HOT WATER BOTTLE</t>
  </si>
  <si>
    <t>PACK OF 12 RED RETROSPOT TISSUES</t>
  </si>
  <si>
    <t>CHILDRENS CUTLERY SPACEBOY</t>
  </si>
  <si>
    <t>WALL ART STOP FOR TEA</t>
  </si>
  <si>
    <t>SET 6 PAPER TABLE LANTERN HEARTS</t>
  </si>
  <si>
    <t>84032A</t>
  </si>
  <si>
    <t>CHARLIE+LOLA PINK HOT WATER BOTTLE</t>
  </si>
  <si>
    <t>WHITE DOVE HONEYCOMB PAPER GARLAND</t>
  </si>
  <si>
    <t>CAKE STAND WHITE TWO TIER LACE</t>
  </si>
  <si>
    <t>VINTAGE DOILY TRAVEL SEWING KIT</t>
  </si>
  <si>
    <t>ICE CREAM PEN LIP GLOSS</t>
  </si>
  <si>
    <t>6 EGG HOUSE PAINTED WOOD</t>
  </si>
  <si>
    <t>WALL ART BICYCLE SAFETY</t>
  </si>
  <si>
    <t>VICTORIAN  METAL POSTCARD SPRING</t>
  </si>
  <si>
    <t>SCANDINAVIAN PAISLEY PICNIC BAG</t>
  </si>
  <si>
    <t>RETROSPOT PADDED SEAT CUSHION</t>
  </si>
  <si>
    <t>RED RETROSPOT STORAGE JAR</t>
  </si>
  <si>
    <t>FELTCRAFT PRINCESS OLIVIA DOLL</t>
  </si>
  <si>
    <t>RIBBON REEL LACE DESIGN</t>
  </si>
  <si>
    <t>SMALL WHITE HEART OF WICKER</t>
  </si>
  <si>
    <t>85049E</t>
  </si>
  <si>
    <t>SCANDINAVIAN REDS RIBBONS</t>
  </si>
  <si>
    <t>DOOR MAT FRIENDSHIP</t>
  </si>
  <si>
    <t>ROUND CONTAINER SET OF 5 RETROSPOT</t>
  </si>
  <si>
    <t>RIBBON REEL HEARTS DESIGN</t>
  </si>
  <si>
    <t>GINGHAM HEART  DOORSTOP RED</t>
  </si>
  <si>
    <t>PICNIC BOXES SET OF 3 RETROSPOT</t>
  </si>
  <si>
    <t>KINGS CHOICE TEA CADDY</t>
  </si>
  <si>
    <t>SKULL SHOULDER BAG</t>
  </si>
  <si>
    <t>BLUE POLKADOT PLATE</t>
  </si>
  <si>
    <t>GIN AND TONIC MUG</t>
  </si>
  <si>
    <t>MINI CAKE STAND  HANGING STRAWBERY</t>
  </si>
  <si>
    <t>RED RETROSPOT CUP</t>
  </si>
  <si>
    <t>84508A</t>
  </si>
  <si>
    <t>CAMOUFLAGE DESIGN TEDDY</t>
  </si>
  <si>
    <t>CREAM SWEETHEART WALL CABINET</t>
  </si>
  <si>
    <t>LAUNDRY 15C METAL SIGN</t>
  </si>
  <si>
    <t>85049A</t>
  </si>
  <si>
    <t>TRADITIONAL CHRISTMAS RIBBONS</t>
  </si>
  <si>
    <t>BLUE POLKADOT BOWL</t>
  </si>
  <si>
    <t>72807C</t>
  </si>
  <si>
    <t>SET/3 VANILLA SCENTED CANDLE IN BOX</t>
  </si>
  <si>
    <t>DOORMAT MERRY CHRISTMAS RED</t>
  </si>
  <si>
    <t>ROSE CARAVAN DOORSTOP</t>
  </si>
  <si>
    <t>GIRLS ALPHABET IRON ON PATCHES</t>
  </si>
  <si>
    <t>CARDHOLDER HOLLY WREATH METAL</t>
  </si>
  <si>
    <t>LUNCH BOX WITH CUTLERY FAIRY CAKES</t>
  </si>
  <si>
    <t>OWL DOORSTOP</t>
  </si>
  <si>
    <t>GLITTER HANGING BUTTERFLY STRING</t>
  </si>
  <si>
    <t>ILLUSTRATED CAT BOWL</t>
  </si>
  <si>
    <t>WEEKEND BAG VINTAGE ROSE PAISLEY</t>
  </si>
  <si>
    <t>KINGS CHOICE MUG</t>
  </si>
  <si>
    <t>RIBBON REEL SNOWY VILLAGE</t>
  </si>
  <si>
    <t>PACK OF 60 MUSHROOM CAKE CASES</t>
  </si>
  <si>
    <t>CABIN BAG VINTAGE RETROSPOT</t>
  </si>
  <si>
    <t>CARD HOLDER GINGHAM HEART</t>
  </si>
  <si>
    <t>SET OF 4 KNICK KNACK TINS LONDON</t>
  </si>
  <si>
    <t>79323LP</t>
  </si>
  <si>
    <t>LIGHT PINK CHERRY LIGHTS</t>
  </si>
  <si>
    <t>VINTAGE POST OFFICE CABINET</t>
  </si>
  <si>
    <t>STRAWBERRY SHOPPER BAG</t>
  </si>
  <si>
    <t>LANTERN CREAM GAZEBO</t>
  </si>
  <si>
    <t>LARGE CAKE TOWEL PINK SPOTS</t>
  </si>
  <si>
    <t>SPACEBOY BABY GIFT SET</t>
  </si>
  <si>
    <t>RETROSPOT GIANT TUBE MATCHES</t>
  </si>
  <si>
    <t>SET OF 6 T-LIGHTS SANTA</t>
  </si>
  <si>
    <t>PACK 3 BOXES BIRD PANNETONE</t>
  </si>
  <si>
    <t>PHOTO FRAME 3 CLASSIC HANGING</t>
  </si>
  <si>
    <t>CHARLOTTE BAG APPLES DESIGN</t>
  </si>
  <si>
    <t>MINI WOODEN HAPPY BIRTHDAY GARLAND</t>
  </si>
  <si>
    <t>PAINT YOUR OWN CANVAS SET</t>
  </si>
  <si>
    <t>84032B</t>
  </si>
  <si>
    <t>CHARLIE + LOLA RED HOT WATER BOTTLE</t>
  </si>
  <si>
    <t xml:space="preserve">DIAMANTE HEART SHAPED WALL MIRROR, </t>
  </si>
  <si>
    <t>I CAN ONLY PLEASE ONE PERSON MUG</t>
  </si>
  <si>
    <t>NOVELTY BISCUITS CAKE STAND 3 TIER</t>
  </si>
  <si>
    <t>GARDENERS KNEELING PAD</t>
  </si>
  <si>
    <t>84968C</t>
  </si>
  <si>
    <t>SET OF 16 VINTAGE PISTACHIO CUTLERY</t>
  </si>
  <si>
    <t>HOOK, 5 HANGER , MAGIC TOADSTOOL</t>
  </si>
  <si>
    <t>CREAM SWEETHEART LETTER RACK</t>
  </si>
  <si>
    <t>AFGHAN SLIPPER SOCK PAIR</t>
  </si>
  <si>
    <t>RED BABY BUNTING</t>
  </si>
  <si>
    <t>WHITE LOVEBIRD LANTERN</t>
  </si>
  <si>
    <t>SMALL RED RETROSPOT WINDMILL</t>
  </si>
  <si>
    <t>PACK OF 12 TRADITIONAL CRAYONS</t>
  </si>
  <si>
    <t>HOLIDAY FUN LUDO</t>
  </si>
  <si>
    <t>GLASS JAR ENGLISH CONFECTIONERY</t>
  </si>
  <si>
    <t>SET 3 WICKER LOG BASKETS</t>
  </si>
  <si>
    <t>72351A</t>
  </si>
  <si>
    <t>SET/6 TURQUOISE BUTTERFLY T-LIGHTS</t>
  </si>
  <si>
    <t>BATHROOM METAL SIGN</t>
  </si>
  <si>
    <t>LAVENDER SCENTED FABRIC HEART</t>
  </si>
  <si>
    <t>DINOSAUR LUNCH BOX WITH CUTLERY</t>
  </si>
  <si>
    <t>ANTIQUE GLASS DRESSING TABLE POT</t>
  </si>
  <si>
    <t>BOX OF 6 CHRISTMAS CAKE DECORATIONS</t>
  </si>
  <si>
    <t>CREAM SWEETHEART TRAYS</t>
  </si>
  <si>
    <t>LOVE LARGE WOOD LETTERS</t>
  </si>
  <si>
    <t>SPACEBOY BIRTHDAY CARD</t>
  </si>
  <si>
    <t>POTTERING MUG</t>
  </si>
  <si>
    <t>12 EGG HOUSE PAINTED WOOD</t>
  </si>
  <si>
    <t>CHRISTMAS METAL TAGS ASSORTED</t>
  </si>
  <si>
    <t>MIRRORED DISCO BALL</t>
  </si>
  <si>
    <t>S/4 CACTI CANDLES</t>
  </si>
  <si>
    <t>RIBBON REEL CHRISTMAS SOCK BAUBLE</t>
  </si>
  <si>
    <t>HANGING METAL STAR LANTERN</t>
  </si>
  <si>
    <t>DOORMAT NEIGHBOURHOOD WITCH</t>
  </si>
  <si>
    <t>PACK OF 20 NAPKINS PANTRY DESIGN</t>
  </si>
  <si>
    <t>VINTAGE BLUE KITCHEN CABINET</t>
  </si>
  <si>
    <t>PACK OF 12 WOODLAND TISSUES</t>
  </si>
  <si>
    <t>BLACK KITCHEN SCALES</t>
  </si>
  <si>
    <t>GIRAFFE WOODEN RULER</t>
  </si>
  <si>
    <t>SET 6 PAPER TABLE LANTERN STARS</t>
  </si>
  <si>
    <t>VINTAGE UNION JACK APRON</t>
  </si>
  <si>
    <t>STORAGE TIN VINTAGE DOILY</t>
  </si>
  <si>
    <t>WOODEN HEART CHRISTMAS SCANDINAVIAN</t>
  </si>
  <si>
    <t>JINGLE BELL HEART ANTIQUE SILVER</t>
  </si>
  <si>
    <t>GIANT 50'S CHRISTMAS CRACKER</t>
  </si>
  <si>
    <t>BIG DOUGHNUT FRIDGE MAGNETS</t>
  </si>
  <si>
    <t>CERAMIC CAKE BOWL + HANGING CAKES</t>
  </si>
  <si>
    <t>WALL ART KEEP CALM</t>
  </si>
  <si>
    <t>PACK OF 12 PINK PAISLEY TISSUES</t>
  </si>
  <si>
    <t>FANCY FONTS BIRTHDAY WRAP</t>
  </si>
  <si>
    <t>SET OF 12 FAIRY CAKE BAKING CASES</t>
  </si>
  <si>
    <t>20 DOLLY PEGS RETROSPOT</t>
  </si>
  <si>
    <t>WOODEN REGATTA BUNTING</t>
  </si>
  <si>
    <t>HAPPY STENCIL CRAFT</t>
  </si>
  <si>
    <t>DOORMAT VINTAGE LEAF</t>
  </si>
  <si>
    <t>CERAMIC CHERRY CAKE MONEY BANK</t>
  </si>
  <si>
    <t>WALL MOUNTED VINTAGE ORGANISER</t>
  </si>
  <si>
    <t>MAN FLU METAL SIGN</t>
  </si>
  <si>
    <t>RED HEART SHAPE LOVE BUCKET</t>
  </si>
  <si>
    <t>BOTTLE BAG RETROSPOT</t>
  </si>
  <si>
    <t>CHILDRENS CUTLERY DOLLY GIRL</t>
  </si>
  <si>
    <t>CUPCAKE LACE PAPER SET 6</t>
  </si>
  <si>
    <t>JINGLE BELL HEART DECORATION</t>
  </si>
  <si>
    <t>WALL TIDY RETROSPOT</t>
  </si>
  <si>
    <t>CERAMIC CAKE DESIGN SPOTTED MUG</t>
  </si>
  <si>
    <t>WALL ART CLASSIC PUDDINGS</t>
  </si>
  <si>
    <t>12 PENCIL SMALL TUBE WOODLAND</t>
  </si>
  <si>
    <t>GUMBALL MAGAZINE RACK</t>
  </si>
  <si>
    <t>VINTAGE CREAM CAT FOOD CONTAINER</t>
  </si>
  <si>
    <t>SET 40 HEART SHAPE PETIT FOUR CASES</t>
  </si>
  <si>
    <t>VINTAGE PAISLEY STATIONERY SET</t>
  </si>
  <si>
    <t>OFFICE MUG WARMER BLACK+SILVER</t>
  </si>
  <si>
    <t>WATERING CAN BLUE ELEPHANT</t>
  </si>
  <si>
    <t>TEA TIME TEAPOT IN GIFT BOX</t>
  </si>
  <si>
    <t>MINI LIGHTS WOODLAND MUSHROOMS</t>
  </si>
  <si>
    <t>35004B</t>
  </si>
  <si>
    <t>SET OF 3 BLACK FLYING DUCKS</t>
  </si>
  <si>
    <t>VINTAGE DONKEY TAIL GAME</t>
  </si>
  <si>
    <t>GREEN CHRISTMAS TREE CARD HOLDER</t>
  </si>
  <si>
    <t>WATERING CAN PINK BUNNY</t>
  </si>
  <si>
    <t>POPPY'S PLAYHOUSE LIVINGROOM</t>
  </si>
  <si>
    <t>CAKE STAND LOVEBIRD 2 TIER PINK</t>
  </si>
  <si>
    <t>85014D</t>
  </si>
  <si>
    <t>PINK/BROWN DOTS RUFFLED UMBRELLA</t>
  </si>
  <si>
    <t>CERAMIC STRAWBERRY DESIGN MUG</t>
  </si>
  <si>
    <t>CREAM SWEETHEART SHELF + HOOKS</t>
  </si>
  <si>
    <t>CREAM SLICE FLANNEL PINK SPOT</t>
  </si>
  <si>
    <t>DOLLY GIRL BABY GIFT SET</t>
  </si>
  <si>
    <t>PACK OF SIX LED TEA LIGHTS</t>
  </si>
  <si>
    <t>SET OF 6 T-LIGHTS SNOWMEN</t>
  </si>
  <si>
    <t>CHARLOTTE BAG DOLLY GIRL DESIGN</t>
  </si>
  <si>
    <t>ENAMEL WATERING CAN CREAM</t>
  </si>
  <si>
    <t>WHITE BEADED GARLAND STRING 20LIGHT</t>
  </si>
  <si>
    <t>WOODEN OWLS LIGHT GARLAND</t>
  </si>
  <si>
    <t>CHILDRENS APRON APPLES DESIGN</t>
  </si>
  <si>
    <t>METAL MERRY CHRISTMAS WREATH</t>
  </si>
  <si>
    <t>BISCUIT TIN 50'S CHRISTMAS</t>
  </si>
  <si>
    <t>POLKADOT CUTLERY 24 PCS IN TRAY</t>
  </si>
  <si>
    <t>ASSTD DESIGN RACING CAR PEN</t>
  </si>
  <si>
    <t>CAKE STAND LOVEBIRD 2 TIER WHITE</t>
  </si>
  <si>
    <t>WHEELBARROW FOR CHILDREN</t>
  </si>
  <si>
    <t>FRYING PAN RED RETROSPOT</t>
  </si>
  <si>
    <t>RETROSPOT CIGAR BOX MATCHES</t>
  </si>
  <si>
    <t>CLASSIC GLASS COOKIE JAR</t>
  </si>
  <si>
    <t>BLUE POLKADOT CUP</t>
  </si>
  <si>
    <t>RIBBON REEL SPOTS DESIGN</t>
  </si>
  <si>
    <t>CHRISTMAS STAR WISH LIST CHALKBOARD</t>
  </si>
  <si>
    <t>16156S</t>
  </si>
  <si>
    <t>WRAP PINK FAIRY CAKES</t>
  </si>
  <si>
    <t>PEARL CRYSTAL PUMPKIN T-LIGHT HLDR</t>
  </si>
  <si>
    <t>TROPICAL  HONEYCOMB PAPER GARLAND</t>
  </si>
  <si>
    <t>RUSTIC  SEVENTEEN DRAWER SIDEBOARD</t>
  </si>
  <si>
    <t>CACTI T-LIGHT CANDLES</t>
  </si>
  <si>
    <t>VINTAGE CHRISTMAS STOCKING</t>
  </si>
  <si>
    <t>CHRISTMAS CRAFT WHITE FAIRY</t>
  </si>
  <si>
    <t>LANDMARK FRAME CAMDEN TOWN</t>
  </si>
  <si>
    <t>ROTATING LEAVES T-LIGHT HOLDER</t>
  </si>
  <si>
    <t>PINK POLKADOT WRAP</t>
  </si>
  <si>
    <t>15060B</t>
  </si>
  <si>
    <t>FAIRY CAKE DESIGN UMBRELLA</t>
  </si>
  <si>
    <t>47599B</t>
  </si>
  <si>
    <t>BLUE PARTY BAGS</t>
  </si>
  <si>
    <t>TRADITIONAL NAUGHTS &amp; CROSSES</t>
  </si>
  <si>
    <t>COOKING SET RETROSPOT</t>
  </si>
  <si>
    <t>VINTAGE  2 METER FOLDING RULER</t>
  </si>
  <si>
    <t>LARGE ZINC HEART WALL ORGANISER</t>
  </si>
  <si>
    <t>GLASS JAR DIGESTIVE BISCUITS</t>
  </si>
  <si>
    <t>EASTER CRAFT 4 CHICKS</t>
  </si>
  <si>
    <t>PACK OF 20 SKULL PAPER NAPKINS</t>
  </si>
  <si>
    <t>PINK  POLKADOT CUP</t>
  </si>
  <si>
    <t>CERAMIC BOWL WITH STRAWBERRY DESIGN</t>
  </si>
  <si>
    <t>SET OF 60 PANTRY DESIGN CAKE CASES</t>
  </si>
  <si>
    <t>CORONA MEXICAN TRAY</t>
  </si>
  <si>
    <t>WOODEN STAR CHRISTMAS SCANDINAVIAN</t>
  </si>
  <si>
    <t>84520B</t>
  </si>
  <si>
    <t>PACK 20 ENGLISH ROSE PAPER NAPKINS</t>
  </si>
  <si>
    <t>CHRISTMAS PUDDING TRINKET POT</t>
  </si>
  <si>
    <t>SET 3 WICKER OVAL BASKETS W LIDS</t>
  </si>
  <si>
    <t>EMBOSSED GLASS TEALIGHT HOLDER</t>
  </si>
  <si>
    <t>PANTRY WASHING UP BRUSH</t>
  </si>
  <si>
    <t>SLATE TILE NATURAL HANGING</t>
  </si>
  <si>
    <t>REGENCY TEA PLATE PINK</t>
  </si>
  <si>
    <t>47559B</t>
  </si>
  <si>
    <t>TEA TIME OVEN GLOVE</t>
  </si>
  <si>
    <t>84884A</t>
  </si>
  <si>
    <t>ANT WHITE WIRE HEART SPIRAL</t>
  </si>
  <si>
    <t>BREAD BIN DINER STYLE MINT</t>
  </si>
  <si>
    <t>CITRONELLA CANDLE GARDEN POT</t>
  </si>
  <si>
    <t>PACK OF 6 SWEETIE GIFT BOXES</t>
  </si>
  <si>
    <t>SET/20 STRAWBERRY PAPER NAPKINS</t>
  </si>
  <si>
    <t>84968A</t>
  </si>
  <si>
    <t>SET OF 16 VINTAGE ROSE CUTLERY</t>
  </si>
  <si>
    <t>12 MESSAGE CARDS WITH ENVELOPES</t>
  </si>
  <si>
    <t>FUNKY WASHING UP GLOVES ASSORTED</t>
  </si>
  <si>
    <t>CAKE PLATE LOVEBIRD WHITE</t>
  </si>
  <si>
    <t>BUNDLE OF 3 ALPHABET EXERCISE BOOKS</t>
  </si>
  <si>
    <t>SMALL HEART MEASURING SPOONS</t>
  </si>
  <si>
    <t>ZINC WILLIE WINKIE  CANDLE STICK</t>
  </si>
  <si>
    <t>LIGHT GARLAND BUTTERFILES PINK</t>
  </si>
  <si>
    <t>RETROSPOT SMALL TUBE MATCHES</t>
  </si>
  <si>
    <t>SET OF 9 HEART SHAPED BALLOONS</t>
  </si>
  <si>
    <t>INFLATABLE POLITICAL GLOBE</t>
  </si>
  <si>
    <t>PARISIENNE JEWELLERY DRAWER</t>
  </si>
  <si>
    <t>COSY HOUR CIGAR BOX MATCHES</t>
  </si>
  <si>
    <t>SET 12 KIDS COLOUR  CHALK STICKS</t>
  </si>
  <si>
    <t>WOODLAND PARTY BAG + STICKER SET</t>
  </si>
  <si>
    <t>PINK DRAWER KNOB ACRYLIC EDWARDIAN</t>
  </si>
  <si>
    <t>BLUE POLKADOT WRAP</t>
  </si>
  <si>
    <t>BREAD BIN DINER STYLE PINK</t>
  </si>
  <si>
    <t>FINE WICKER HEART</t>
  </si>
  <si>
    <t>SET OF 6 TEA TIME BAKING CASES</t>
  </si>
  <si>
    <t>VINTAGE CHRISTMAS GIFT SACK</t>
  </si>
  <si>
    <t>SPACEBOY GIFT WRAP</t>
  </si>
  <si>
    <t>OVAL WALL MIRROR DIAMANTE</t>
  </si>
  <si>
    <t>GLASS JAR DAISY FRESH COTTON WOOL</t>
  </si>
  <si>
    <t>KINGS CHOICE GIANT TUBE MATCHES</t>
  </si>
  <si>
    <t>RECYCLED ACAPULCO MAT TURQUOISE</t>
  </si>
  <si>
    <t>WALL ART DOG LICENCE</t>
  </si>
  <si>
    <t>ROUND CAKE TIN VINTAGE GREEN</t>
  </si>
  <si>
    <t>OVERNIGHT BAG VINTAGE ROSE PAISLEY</t>
  </si>
  <si>
    <t>DOOR MAT BIRD ON THE WIRE</t>
  </si>
  <si>
    <t>GARLAND WOODEN HAPPY EASTER</t>
  </si>
  <si>
    <t>BROWN CHECK CAT DOORSTOP</t>
  </si>
  <si>
    <t>SKULLS PARTY BAG + STICKER SET</t>
  </si>
  <si>
    <t>84509A</t>
  </si>
  <si>
    <t>SET OF 4 ENGLISH ROSE PLACEMATS</t>
  </si>
  <si>
    <t>CHOCOLATE CALCULATOR</t>
  </si>
  <si>
    <t>QUEENS GUARD COFFEE MUG</t>
  </si>
  <si>
    <t>VICTORIAN SEWING KIT</t>
  </si>
  <si>
    <t>RIBBON REEL CHRISTMAS PRESENT</t>
  </si>
  <si>
    <t>PACK OF 12 COLOURED PENCILS</t>
  </si>
  <si>
    <t>6 CHOCOLATE LOVE HEART T-LIGHTS</t>
  </si>
  <si>
    <t>GLASS CAKE COVER AND PLATE</t>
  </si>
  <si>
    <t>DOORMAT I LOVE LONDON</t>
  </si>
  <si>
    <t>85132C</t>
  </si>
  <si>
    <t>CHARLIE AND LOLA FIGURES TINS</t>
  </si>
  <si>
    <t>SET OF 4 JAM JAR MAGNETS</t>
  </si>
  <si>
    <t>DOORMAT CHRISTMAS VILLAGE</t>
  </si>
  <si>
    <t>CHILDREN'S APRON DOLLY GIRL</t>
  </si>
  <si>
    <t>FRYING PAN PINK POLKADOT</t>
  </si>
  <si>
    <t>3 PIECE SPACEBOY COOKIE CUTTER SET</t>
  </si>
  <si>
    <t>GROW YOUR OWN BASIL IN ENAMEL MUG</t>
  </si>
  <si>
    <t>60 CAKE CASES DOLLY GIRL DESIGN</t>
  </si>
  <si>
    <t>LOVE SEAT ANTIQUE WHITE METAL</t>
  </si>
  <si>
    <t>84968B</t>
  </si>
  <si>
    <t>S/16 VINTAGE IVORY CUTLERY</t>
  </si>
  <si>
    <t>GLASS HEART T-LIGHT HOLDER</t>
  </si>
  <si>
    <t>TOADSTOOL MONEY BOX</t>
  </si>
  <si>
    <t>DAIRY MAID TRADITIONAL TEAPOT</t>
  </si>
  <si>
    <t>METAL SIGN EMPIRE TEA</t>
  </si>
  <si>
    <t>SAVE THE PLANET COTTON TOTE BAG</t>
  </si>
  <si>
    <t>CHARLOTTE BAG VINTAGE ALPHABET</t>
  </si>
  <si>
    <t>LARGE CAKE STAND HANGING HEARTS</t>
  </si>
  <si>
    <t>CREAM SWEETHEART EGG HOLDER</t>
  </si>
  <si>
    <t>BAG 125g SWIRLY MARBLES</t>
  </si>
  <si>
    <t>PEACE WOODEN BLOCK LETTERS</t>
  </si>
  <si>
    <t>BOTANICAL GARDENS WALL CLOCK</t>
  </si>
  <si>
    <t>GLASS STAR FROSTED T-LIGHT HOLDER</t>
  </si>
  <si>
    <t>WALL ART BIG LOVE</t>
  </si>
  <si>
    <t>BUTTON BOX</t>
  </si>
  <si>
    <t>KEY FOB , SHED</t>
  </si>
  <si>
    <t>84971S</t>
  </si>
  <si>
    <t>SMALL HEART FLOWERS HOOK</t>
  </si>
  <si>
    <t>HEART DECORATION WITH PEARLS</t>
  </si>
  <si>
    <t>LARGE IVORY HEART WALL ORGANISER</t>
  </si>
  <si>
    <t>FANNY'S REST STOPMETAL SIGN</t>
  </si>
  <si>
    <t>85061W</t>
  </si>
  <si>
    <t>WHITE JEWELLED HEART DECORATION</t>
  </si>
  <si>
    <t>FELTCRAFT GIRL AMELIE KIT</t>
  </si>
  <si>
    <t>LUNCH BAG PAISLEY PARK</t>
  </si>
  <si>
    <t>CHINESE DRAGON PAPER LANTERNS</t>
  </si>
  <si>
    <t>TREASURE ISLAND BOOK BOX</t>
  </si>
  <si>
    <t>GLASS HONEYPOT WASP CATCHER</t>
  </si>
  <si>
    <t>CHRISTMAS RETROSPOT HEART WOOD</t>
  </si>
  <si>
    <t>72802C</t>
  </si>
  <si>
    <t>VANILLA SCENT CANDLE JEWELLED BOX</t>
  </si>
  <si>
    <t>MAGIC DRAWING SLATE SPACEBOY</t>
  </si>
  <si>
    <t>MILK PAN RED RETROSPOT</t>
  </si>
  <si>
    <t>12 PENCILS TALL TUBE RED RETROSPOT</t>
  </si>
  <si>
    <t>16161P</t>
  </si>
  <si>
    <t>WRAP ENGLISH ROSE</t>
  </si>
  <si>
    <t>SET OF 9 BLACK SKULL BALLOONS</t>
  </si>
  <si>
    <t>PACK OF 6 SKULL PAPER PLATES</t>
  </si>
  <si>
    <t>FAIRY CAKE CANDLES</t>
  </si>
  <si>
    <t>HEART DECORATION PAINTED ZINC</t>
  </si>
  <si>
    <t>SET OF 5 LUCKY CAT MAGNETS</t>
  </si>
  <si>
    <t>SET OF 3 CASES WOODLAND DESIGN</t>
  </si>
  <si>
    <t>FAIRY CAKE BIRTHDAY CANDLE SET</t>
  </si>
  <si>
    <t>36 PENCILS TUBE SKULLS</t>
  </si>
  <si>
    <t>KEY CABINET MA CAMPAGNE</t>
  </si>
  <si>
    <t>RED GINGHAM TEDDY BEAR</t>
  </si>
  <si>
    <t>SMALL ZINC HEART WALL ORGANISER</t>
  </si>
  <si>
    <t>GROW YOUR OWN HERBS SET OF 3</t>
  </si>
  <si>
    <t>SWISS ROLL TOWEL, PINK  SPOTS</t>
  </si>
  <si>
    <t>PAPER CHAIN KIT SKULLS</t>
  </si>
  <si>
    <t>84968D</t>
  </si>
  <si>
    <t>SET OF 16 VINTAGE RED CUTLERY</t>
  </si>
  <si>
    <t>KASHMIR FOLKART TUMBLERS</t>
  </si>
  <si>
    <t>MINI CAKE STAND WITH HANGING CAKES</t>
  </si>
  <si>
    <t>WOOLLY HAT SOCK GLOVE ADVENT STRING</t>
  </si>
  <si>
    <t>SMALL RED RETROSPOT MUG IN BOX</t>
  </si>
  <si>
    <t>SET OF THREE VINTAGE GIFT WRAPS</t>
  </si>
  <si>
    <t>PURPLE DRAWERKNOB ACRYLIC EDWARDIAN</t>
  </si>
  <si>
    <t>ORGANISER WOOD ANTIQUE WHITE</t>
  </si>
  <si>
    <t>HOME SMALL WOOD LETTERS</t>
  </si>
  <si>
    <t>ANTIQUE GLASS PEDESTAL BOWL</t>
  </si>
  <si>
    <t>TRAVEL CARD WALLET KEEP CALM</t>
  </si>
  <si>
    <t>RED STAR CARD HOLDER</t>
  </si>
  <si>
    <t>PINK OWL SOFT TOY</t>
  </si>
  <si>
    <t>SWALLOWS GREETING CARD</t>
  </si>
  <si>
    <t>CAKE STAND LACE WHITE</t>
  </si>
  <si>
    <t>BISCUIT TIN VINTAGE RED</t>
  </si>
  <si>
    <t>SMALL IVORY HEART WALL ORGANISER</t>
  </si>
  <si>
    <t>FLORAL FOLK STATIONERY SET</t>
  </si>
  <si>
    <t>PEG BAG APPLES DESIGN</t>
  </si>
  <si>
    <t>METAL SIGN HER DINNER IS SERVED</t>
  </si>
  <si>
    <t>RED METAL BEACH SPADE</t>
  </si>
  <si>
    <t>WATERING CAN GREEN DINOSAUR</t>
  </si>
  <si>
    <t>EMPIRE UNION JACK TV DINNER TRAY</t>
  </si>
  <si>
    <t>COSY HOUR GIANT TUBE MATCHES</t>
  </si>
  <si>
    <t>TV DINNER TRAY DOLLY GIRL</t>
  </si>
  <si>
    <t>TABLECLOTH RED APPLES DESIGN</t>
  </si>
  <si>
    <t>85132A</t>
  </si>
  <si>
    <t>CHARLIE + LOLA BISCUITS TINS</t>
  </si>
  <si>
    <t>METAL SIGN NEIGHBOURHOOD WITCH</t>
  </si>
  <si>
    <t>SET OF 3 WOODEN HEART DECORATIONS</t>
  </si>
  <si>
    <t>GLAMOROUS  MUG</t>
  </si>
  <si>
    <t>REGENCY TEA STRAINER</t>
  </si>
  <si>
    <t>STRAWBERRY RAFFIA FOOD COVER</t>
  </si>
  <si>
    <t>SKULLS AND CROSSBONES WRAP</t>
  </si>
  <si>
    <t>CITRONELLA CANDLE FLOWERPOT</t>
  </si>
  <si>
    <t>AIRLINE BAG VINTAGE JET SET RED</t>
  </si>
  <si>
    <t>PENS ASSORTED FUNNY FACE</t>
  </si>
  <si>
    <t>WOODLAND DESIGN  COTTON TOTE BAG</t>
  </si>
  <si>
    <t>VINTAGE DOILY DELUXE SEWING KIT</t>
  </si>
  <si>
    <t>FOOT STOOL HOME SWEET HOME</t>
  </si>
  <si>
    <t>SET OF 12 MINI LOAF BAKING CASES</t>
  </si>
  <si>
    <t>ROCKING HORSE RED CHRISTMAS</t>
  </si>
  <si>
    <t>PANTRY MAGNETIC  SHOPPING LIST</t>
  </si>
  <si>
    <t>LARGE CERAMIC TOP STORAGE JAR</t>
  </si>
  <si>
    <t>BISCUIT TIN VINTAGE CHRISTMAS</t>
  </si>
  <si>
    <t>SKULLS  WATER TRANSFER TATTOOS</t>
  </si>
  <si>
    <t>ENAMEL WASH BOWL CREAM</t>
  </si>
  <si>
    <t>SET 3 PAPER VINTAGE CHICK PAPER EGG</t>
  </si>
  <si>
    <t>VINTAGE BILLBOARD DRINK ME MUG</t>
  </si>
  <si>
    <t>3D VINTAGE CHRISTMAS STICKERS</t>
  </si>
  <si>
    <t>36 PENCILS TUBE WOODLAND</t>
  </si>
  <si>
    <t>84796B</t>
  </si>
  <si>
    <t>BLUE SAVANNAH PICNIC HAMPER FOR 2</t>
  </si>
  <si>
    <t>BUBBLEGUM RING ASSORTED</t>
  </si>
  <si>
    <t>VINTAGE CHRISTMAS TABLECLOTH</t>
  </si>
  <si>
    <t>LANDMARK FRAME COVENT GARDEN</t>
  </si>
  <si>
    <t>POTTING SHED TWINE</t>
  </si>
  <si>
    <t>FIVE HEART HANGING DECORATION</t>
  </si>
  <si>
    <t>FOLDING UMBRELLA RED/WHITE POLKADOT</t>
  </si>
  <si>
    <t>ENGLISH ROSE DESIGN PEG BAG</t>
  </si>
  <si>
    <t>TRADITIONAL PICK UP STICKS GAME</t>
  </si>
  <si>
    <t>PACK OF 6 HANDBAG GIFT BOXES</t>
  </si>
  <si>
    <t>46000S</t>
  </si>
  <si>
    <t>POLYESTER FILLER PAD 40x40cm</t>
  </si>
  <si>
    <t>SET OF 4 NAPKIN CHARMS CUTLERY</t>
  </si>
  <si>
    <t>85184C</t>
  </si>
  <si>
    <t>S/4 VALENTINE DECOUPAGE HEART BOX</t>
  </si>
  <si>
    <t>WASH BAG VINTAGE ROSE PAISLEY</t>
  </si>
  <si>
    <t>SKULL AND CROSSBONES  GARLAND</t>
  </si>
  <si>
    <t>SEWING BOX RETROSPOT DESIGN</t>
  </si>
  <si>
    <t>PLAYING CARDS KEEP CALM &amp; CARRY ON</t>
  </si>
  <si>
    <t>CIRCUS PARADE BABY GIFT SET</t>
  </si>
  <si>
    <t>CREAM SWEETHEART MAGAZINE RACK</t>
  </si>
  <si>
    <t>LANDMARK FRAME OXFORD STREET</t>
  </si>
  <si>
    <t>DAIRY MAID LARGE MILK JUG</t>
  </si>
  <si>
    <t>LANDMARK FRAME NOTTING HILL</t>
  </si>
  <si>
    <t>ROLL WRAP 50'S CHRISTMAS</t>
  </si>
  <si>
    <t>PACK OF 12 PINK POLKADOT TISSUES</t>
  </si>
  <si>
    <t>SPACEBOY MINI BACKPACK</t>
  </si>
  <si>
    <t>WOODLAND  HEIGHT CHART STICKERS</t>
  </si>
  <si>
    <t>CHRISTMAS GINGHAM STAR</t>
  </si>
  <si>
    <t>TEA PARTY BIRTHDAY CARD</t>
  </si>
  <si>
    <t>DOORMAT PEACE ON EARTH BLUE</t>
  </si>
  <si>
    <t>TRADTIONAL ALPHABET STAMP SET</t>
  </si>
  <si>
    <t>PARTY CONES CANDY ASSORTED</t>
  </si>
  <si>
    <t>PINK SPOTTY CHILDS UMBRELLA</t>
  </si>
  <si>
    <t>PIZZA PLATE IN BOX</t>
  </si>
  <si>
    <t>SET OF 5 PANCAKE DAY MAGNETS</t>
  </si>
  <si>
    <t>LANDMARK FRAME LONDON BRIDGE</t>
  </si>
  <si>
    <t>BLUE VINTAGE SPOT BEAKER</t>
  </si>
  <si>
    <t>GROW YOUR OWN FLOWERS SET OF 3</t>
  </si>
  <si>
    <t>SET OF 6 NATIVITY MAGNETS</t>
  </si>
  <si>
    <t>BULL DOG BOTTLE OPENER</t>
  </si>
  <si>
    <t>SET 12 RETRO WHITE CHALK STICKS</t>
  </si>
  <si>
    <t>FRENCH BATHROOM SIGN BLUE METAL</t>
  </si>
  <si>
    <t>BALLOON PUMP WITH 10 BALLOONS</t>
  </si>
  <si>
    <t>MAGNETS PACK OF 4 CHILDHOOD MEMORY</t>
  </si>
  <si>
    <t>TREASURE TIN GYMKHANA DESIGN</t>
  </si>
  <si>
    <t>COFFEE MUG PINK PAISLEY DESIGN</t>
  </si>
  <si>
    <t>MONSTERS STENCIL CRAFT</t>
  </si>
  <si>
    <t>85049G</t>
  </si>
  <si>
    <t>CHOCOLATE BOX RIBBONS</t>
  </si>
  <si>
    <t>SET OF 3 CAKE TINS SKETCHBOOK</t>
  </si>
  <si>
    <t>COFFEE MUG BLUE PAISLEY DESIGN</t>
  </si>
  <si>
    <t>APPLE BATH SPONGE</t>
  </si>
  <si>
    <t>VINTAGE BILLBOARD TEA MUG</t>
  </si>
  <si>
    <t>72807B</t>
  </si>
  <si>
    <t>SET/3 OCEAN SCENT CANDLE JEWEL BOX</t>
  </si>
  <si>
    <t>6 RIBBONS ELEGANT CHRISTMAS</t>
  </si>
  <si>
    <t>15044B</t>
  </si>
  <si>
    <t>BLUE PAPER PARASOL</t>
  </si>
  <si>
    <t>STRAWBERRY BATH SPONGE</t>
  </si>
  <si>
    <t>TOILET METAL SIGN</t>
  </si>
  <si>
    <t>BALLOONS  WRITING SET</t>
  </si>
  <si>
    <t>ABC TREASURE BOOK BOX</t>
  </si>
  <si>
    <t>SPACEBOY TV DINNER TRAY</t>
  </si>
  <si>
    <t>ANTIQUE TALL SWIRLGLASS TRINKET POT</t>
  </si>
  <si>
    <t>36 FOIL HEART CAKE CASES</t>
  </si>
  <si>
    <t>HANGING HEART WITH BELL</t>
  </si>
  <si>
    <t>PINK VINTAGE SPOT BEAKER</t>
  </si>
  <si>
    <t>ASSTD DESIGN BUBBLE GUM RING</t>
  </si>
  <si>
    <t>COLOURING PENCILS BROWN TUBE</t>
  </si>
  <si>
    <t xml:space="preserve">FANCY FONT BIRTHDAY CARD, </t>
  </si>
  <si>
    <t>CHRISTMAS RETROSPOT ANGEL WOOD</t>
  </si>
  <si>
    <t>DOORMAT WELCOME SUNRISE</t>
  </si>
  <si>
    <t>MAKE YOUR OWN FLOWERPOWER CARD KIT</t>
  </si>
  <si>
    <t>CLASSIC CAFE SUGAR DISPENSER</t>
  </si>
  <si>
    <t>15044D</t>
  </si>
  <si>
    <t>RED PAPER PARASOL</t>
  </si>
  <si>
    <t>MODERN FLORAL STATIONERY SET</t>
  </si>
  <si>
    <t>HOME SWEET HOME BLACKBOARD</t>
  </si>
  <si>
    <t>RIBBON REEL MAKING SNOWMEN</t>
  </si>
  <si>
    <t>PACK OF 20 NAPKINS RED APPLES</t>
  </si>
  <si>
    <t>PINK  HEART SHAPE LOVE BUCKET</t>
  </si>
  <si>
    <t>SET OF 12 ROSE BOTANICAL T-LIGHTS</t>
  </si>
  <si>
    <t>ALPHABET STENCIL CRAFT</t>
  </si>
  <si>
    <t>CERAMIC CAKE DESIGN SPOTTED PLATE</t>
  </si>
  <si>
    <t>51014A</t>
  </si>
  <si>
    <t>FEATHER PEN,HOT PINK</t>
  </si>
  <si>
    <t>POPPY'S PLAYHOUSE BATHROOM</t>
  </si>
  <si>
    <t>TRAY, BREAKFAST IN BED</t>
  </si>
  <si>
    <t>SET OF 60 I LOVE LONDON CAKE CASES</t>
  </si>
  <si>
    <t>SILK PURSE BABUSHKA RED</t>
  </si>
  <si>
    <t>LARGE CAKE TOWEL, CHOCOLATE SPOTS</t>
  </si>
  <si>
    <t>WALL ART ONLY ONE PERSON</t>
  </si>
  <si>
    <t>SET OF 3 HANGING OWLS OLLIE BEAK</t>
  </si>
  <si>
    <t>UNION JACK FLAG PASSPORT COVER</t>
  </si>
  <si>
    <t>84968E</t>
  </si>
  <si>
    <t>SET OF 16 VINTAGE BLACK CUTLERY</t>
  </si>
  <si>
    <t>GREEN VINTAGE SPOT BEAKER</t>
  </si>
  <si>
    <t>PARISIENNE CURIO CABINET</t>
  </si>
  <si>
    <t>REGENCY SUGAR TONGS</t>
  </si>
  <si>
    <t>HEART WOODEN CHRISTMAS DECORATION</t>
  </si>
  <si>
    <t>HEADS AND TAILS SPORTING FUN</t>
  </si>
  <si>
    <t>84031A</t>
  </si>
  <si>
    <t>CHARLIE+LOLA RED HOT WATER BOTTLE</t>
  </si>
  <si>
    <t>STAR WOODEN CHRISTMAS DECORATION</t>
  </si>
  <si>
    <t>PACK OF 12 SKULL TISSUES</t>
  </si>
  <si>
    <t>84279P</t>
  </si>
  <si>
    <t>CHERRY BLOSSOM  DECORATIVE FLASK</t>
  </si>
  <si>
    <t>3D TRADITIONAL CHRISTMAS STICKERS</t>
  </si>
  <si>
    <t>PIG KEYRING WITH LIGHT &amp; SOUND</t>
  </si>
  <si>
    <t>BOOM BOX SPEAKER BOYS</t>
  </si>
  <si>
    <t>WILLOW BRANCH LIGHTS.</t>
  </si>
  <si>
    <t>SPRING DEC , HANGING CHICK CREAM</t>
  </si>
  <si>
    <t>CHRISTMAS GINGHAM TREE</t>
  </si>
  <si>
    <t>GREEN POLKADOT BOWL</t>
  </si>
  <si>
    <t>FRENCH ENAMEL CANDLEHOLDER</t>
  </si>
  <si>
    <t>RED RETROSPOT PUDDING BOWL</t>
  </si>
  <si>
    <t>SILK PURSE BABUSHKA PINK</t>
  </si>
  <si>
    <t>CHRISTMAS HANGING STAR WITH BELL</t>
  </si>
  <si>
    <t>ROLL WRAP VINTAGE CHRISTMAS</t>
  </si>
  <si>
    <t>FLAMINGO LIGHTS</t>
  </si>
  <si>
    <t>HANGING HEART MIRROR DECORATION</t>
  </si>
  <si>
    <t>KEY FOB , GARAGE DESIGN</t>
  </si>
  <si>
    <t>SANDALWOOD FAN</t>
  </si>
  <si>
    <t>VINTAGE UNION JACK SHOPPING BAG</t>
  </si>
  <si>
    <t>84997b</t>
  </si>
  <si>
    <t>CHILDRENS CUTLERY RETROSPOT RED</t>
  </si>
  <si>
    <t>MILK PAN PINK RETROSPOT</t>
  </si>
  <si>
    <t>VINTAGE SEASIDE JIGSAW PUZZLES</t>
  </si>
  <si>
    <t>ANTIQUE ALL GLASS CANDLESTICK</t>
  </si>
  <si>
    <t>RED SPOTTY TABLECLOTH</t>
  </si>
  <si>
    <t>GREEN POLKADOT PLATE</t>
  </si>
  <si>
    <t>BOX OF 6 ASSORTED COLOUR TEASPOONS</t>
  </si>
  <si>
    <t>PACK OF 6 SANDCASTLE FLAGS ASSORTED</t>
  </si>
  <si>
    <t>SANDWICH BATH SPONGE</t>
  </si>
  <si>
    <t>SET OF 6 HERB TINS SKETCHBOOK</t>
  </si>
  <si>
    <t>RECYCLED ACAPULCO MAT GREEN</t>
  </si>
  <si>
    <t>OFFICE MUG WARMER POLKADOT</t>
  </si>
  <si>
    <t>DOCTOR'S BAG SOFT TOY</t>
  </si>
  <si>
    <t>SET OF SALT AND PEPPER TOADSTOOLS</t>
  </si>
  <si>
    <t>TEA TIME DES TEA COSY</t>
  </si>
  <si>
    <t>RED RETROSPOT PURSE</t>
  </si>
  <si>
    <t>DECORATION HEN ON NEST, HANGING</t>
  </si>
  <si>
    <t>CERAMIC STRAWBERRY MONEY BOX</t>
  </si>
  <si>
    <t>SET OF 4 KNICK KNACK TINS LEAF</t>
  </si>
  <si>
    <t>ASSORTED COLOUR T-LIGHT HOLDER</t>
  </si>
  <si>
    <t>12 PENCILS TALL TUBE SKULLS</t>
  </si>
  <si>
    <t>MAGIC DRAWING SLATE DOLLY GIRL</t>
  </si>
  <si>
    <t>MEDIUM CERAMIC TOP STORAGE JAR</t>
  </si>
  <si>
    <t>BOYS ALPHABET IRON ON PATCHES</t>
  </si>
  <si>
    <t>ENAMEL COLANDER CREAM</t>
  </si>
  <si>
    <t>SET OF 2 TINS VINTAGE BATHROOM</t>
  </si>
  <si>
    <t>GLASS BON BON JAR</t>
  </si>
  <si>
    <t>SMALL WHITE RETROSPOT MUG IN BOX</t>
  </si>
  <si>
    <t>TOAST ITS - I LOVE YOU</t>
  </si>
  <si>
    <t>FOLDING UMBRELLA BLACKBLUE POLKADOT</t>
  </si>
  <si>
    <t>72807A</t>
  </si>
  <si>
    <t>SET/3 ROSE CANDLE IN JEWELLED BOX</t>
  </si>
  <si>
    <t>VINTAGE BILLBOARD LOVE/HATE MUG</t>
  </si>
  <si>
    <t>SET 12 LAVENDER  BOTANICAL T-LIGHTS</t>
  </si>
  <si>
    <t>GLASS APOTHECARY BOTTLE PERFUME</t>
  </si>
  <si>
    <t>CHRISTMAS RETROSPOT STAR WOOD</t>
  </si>
  <si>
    <t>FLOWER VINE RAFFIA FOOD COVER</t>
  </si>
  <si>
    <t>FRENCH WC SIGN BLUE METAL</t>
  </si>
  <si>
    <t>ZINC T-LIGHT HOLDER STARS SMALL</t>
  </si>
  <si>
    <t>ANTIQUE GLASS HEART DECORATION</t>
  </si>
  <si>
    <t>HALL CABINET WITH 3 DRAWERS</t>
  </si>
  <si>
    <t>SET 20 NAPKINS FAIRY CAKES DESIGN</t>
  </si>
  <si>
    <t>LOVE HEART POCKET WARMER</t>
  </si>
  <si>
    <t>SMALL CERAMIC TOP STORAGE JAR</t>
  </si>
  <si>
    <t>IVORY GIANT GARDEN THERMOMETER</t>
  </si>
  <si>
    <t>SET OF 36 DOILIES PANTRY DESIGN</t>
  </si>
  <si>
    <t>UNION JACK HOT WATER BOTTLE</t>
  </si>
  <si>
    <t>KINGS CHOICE CIGAR BOX MATCHES</t>
  </si>
  <si>
    <t>SWEETHEART CREAM STEEL FOLDIN BENCH</t>
  </si>
  <si>
    <t>MAKE YOUR OWN MONSOON CARD KIT</t>
  </si>
  <si>
    <t>PARTY CONES CARNIVAL ASSORTED</t>
  </si>
  <si>
    <t>84596B</t>
  </si>
  <si>
    <t>SMALL DOLLY MIX DESIGN ORANGE BOWL</t>
  </si>
  <si>
    <t>I LOVE LONDON BABY GIFT SET</t>
  </si>
  <si>
    <t>SET OF 6 T-LIGHTS TOADSTOOLS</t>
  </si>
  <si>
    <t>LADYBIRD + BEE RAFFIA FOOD COVER</t>
  </si>
  <si>
    <t xml:space="preserve">KEY FOB , BACK DOOR </t>
  </si>
  <si>
    <t>BUFFALO BILL TREASURE BOOK BOX</t>
  </si>
  <si>
    <t>GARDEN METAL SIGN</t>
  </si>
  <si>
    <t>CHILDRENS CUTLERY CIRCUS PARADE</t>
  </si>
  <si>
    <t>16161U</t>
  </si>
  <si>
    <t>WRAP SUKI AND FRIENDS</t>
  </si>
  <si>
    <t>EASTER TIN BUCKET</t>
  </si>
  <si>
    <t>VINTAGE CHRISTMAS CAKE FRILL</t>
  </si>
  <si>
    <t>MOUSE TOY WITH PINK T-SHIRT</t>
  </si>
  <si>
    <t>GYMKHANA TREASURE BOOK BOX</t>
  </si>
  <si>
    <t>12 PENCILS TALL TUBE WOODLAND</t>
  </si>
  <si>
    <t>72349B</t>
  </si>
  <si>
    <t>SET/6 PURPLE BUTTERFLY T-LIGHTS</t>
  </si>
  <si>
    <t>GREEN METAL BOX ARMY SUPPLIES</t>
  </si>
  <si>
    <t>HEN HOUSE DECORATION</t>
  </si>
  <si>
    <t>GLASS JAR KINGS CHOICE</t>
  </si>
  <si>
    <t>EMPIRE DESIGN ROSETTE</t>
  </si>
  <si>
    <t>SET OF 4 NAPKIN CHARMS HEARTS</t>
  </si>
  <si>
    <t>HOOK, 1 HANGER ,MAGIC GARDEN</t>
  </si>
  <si>
    <t>HEART SHAPED HOLLY WREATH</t>
  </si>
  <si>
    <t>85206A</t>
  </si>
  <si>
    <t>CREAM FELT EASTER EGG BASKET</t>
  </si>
  <si>
    <t>ANTIQUE HEART SHELF UNIT</t>
  </si>
  <si>
    <t>GREY FLORAL FELTCRAFT SHOULDER BAG</t>
  </si>
  <si>
    <t>MEASURING TAPE BABUSHKA RED</t>
  </si>
  <si>
    <t>PENCIL CASE LIFE IS BEAUTIFUL</t>
  </si>
  <si>
    <t>IVY HEART WREATH</t>
  </si>
  <si>
    <t>TEA COSY VINTAGE UNION JACK</t>
  </si>
  <si>
    <t>PARISIENNE KEY CABINET</t>
  </si>
  <si>
    <t>MISTLETOE HEART WREATH GREEN</t>
  </si>
  <si>
    <t>3D CHRISTMAS STAMPS STICKERS</t>
  </si>
  <si>
    <t>REX CASH+CARRY JUMBO SHOPPER</t>
  </si>
  <si>
    <t>LANDMARK FRAME BAKER STREET</t>
  </si>
  <si>
    <t>CERAMIC PLATE STRAWBERRY DESIGN</t>
  </si>
  <si>
    <t>BROCANTE COAT RACK</t>
  </si>
  <si>
    <t>46000M</t>
  </si>
  <si>
    <t>POLYESTER FILLER PAD 45x45cm</t>
  </si>
  <si>
    <t>MIRROR, ARCHED GEORGIAN</t>
  </si>
  <si>
    <t>BICYCLE PUNCTURE REPAIR KIT</t>
  </si>
  <si>
    <t>OFFICE MUG WARMER CHOC+BLUE</t>
  </si>
  <si>
    <t>LOVE GARLAND PAINTED ZINC</t>
  </si>
  <si>
    <t>RECYCLED ACAPULCO MAT RED</t>
  </si>
  <si>
    <t>JOY WOODEN BLOCK LETTERS</t>
  </si>
  <si>
    <t>CHEST OF DRAWERS GINGHAM HEART</t>
  </si>
  <si>
    <t>WRAP CHRISTMAS VILLAGE</t>
  </si>
  <si>
    <t>BIRDHOUSE GARDEN MARKER</t>
  </si>
  <si>
    <t>DRAWER KNOB CRACKLE GLAZE IVORY</t>
  </si>
  <si>
    <t>FELTCRAFT DOLL MARIA</t>
  </si>
  <si>
    <t>16 PIECE CUTLERY SET PANTRY DESIGN</t>
  </si>
  <si>
    <t>GLASS CLOCHE LARGE</t>
  </si>
  <si>
    <t>12 IVORY ROSE PEG PLACE SETTINGS</t>
  </si>
  <si>
    <t>SKULL DESIGN TV DINNER TRAY</t>
  </si>
  <si>
    <t>MISTLETOE HEART WREATH CREAM</t>
  </si>
  <si>
    <t>ASSORTED TUTTI FRUTTI SMALL PURSE</t>
  </si>
  <si>
    <t>BISCUIT TIN VINTAGE GREEN</t>
  </si>
  <si>
    <t>GARLAND WITH HEARTS AND BELLS</t>
  </si>
  <si>
    <t>WHITE BELL HONEYCOMB PAPER</t>
  </si>
  <si>
    <t>VINTAGE RED TEATIME MUG</t>
  </si>
  <si>
    <t>HANGING FAIRY CAKE DECORATION</t>
  </si>
  <si>
    <t>72802B</t>
  </si>
  <si>
    <t>OCEAN SCENT CANDLE IN JEWELLED BOX</t>
  </si>
  <si>
    <t>3 TRADITIONAl BISCUIT CUTTERS  SET</t>
  </si>
  <si>
    <t>PANTRY SCRUBBING BRUSH</t>
  </si>
  <si>
    <t>CHARLIE AND LOLA CHARLOTTE BAG</t>
  </si>
  <si>
    <t>TOOL BOX SOFT TOY</t>
  </si>
  <si>
    <t>PACK OF 6 SKULL PAPER CUPS</t>
  </si>
  <si>
    <t>CAST IRON HOOK GARDEN FORK</t>
  </si>
  <si>
    <t>WHITE HANGING BEADS CANDLE HOLDER</t>
  </si>
  <si>
    <t>HANGING CHICK  YELLOW DECORATION</t>
  </si>
  <si>
    <t>WALL ART 70'S ALPHABET</t>
  </si>
  <si>
    <t>ELEPHANT CARNIVAL POUFFE</t>
  </si>
  <si>
    <t>STAR PORTABLE TABLE LIGHT</t>
  </si>
  <si>
    <t>72802A</t>
  </si>
  <si>
    <t>ROSE SCENT CANDLE IN JEWELLED BOX</t>
  </si>
  <si>
    <t>FLAG OF ST GEORGE CAR FLAG</t>
  </si>
  <si>
    <t>PINK DIAMANTE PEN IN GIFT BOX</t>
  </si>
  <si>
    <t>UTILTY CABINET WITH HOOKS</t>
  </si>
  <si>
    <t>85040B</t>
  </si>
  <si>
    <t>SET/4 BLUE FLOWER CANDLES IN BOWL</t>
  </si>
  <si>
    <t>FOOD COVER WITH BEADS SET 2</t>
  </si>
  <si>
    <t>DINOSAURS  WRITING SET</t>
  </si>
  <si>
    <t>LARGE ANTIQUE WHITE PHOTO FRAME</t>
  </si>
  <si>
    <t>85049C</t>
  </si>
  <si>
    <t>ROMANTIC PINKS RIBBONS</t>
  </si>
  <si>
    <t>MINI JIGSAW SPACEBOY</t>
  </si>
  <si>
    <t>POMPOM CURTAIN</t>
  </si>
  <si>
    <t>DAIRY MAID STRIPE MUG</t>
  </si>
  <si>
    <t>FELTCRAFT GIRL NICOLE KIT</t>
  </si>
  <si>
    <t>SET OF 3 BLUE STRIPE BASKET</t>
  </si>
  <si>
    <t>HEART GARLAND RUSTIC PADDED</t>
  </si>
  <si>
    <t>GLASS CLOCHE SMALL</t>
  </si>
  <si>
    <t>WOODEN TREE CHRISTMAS SCANDINAVIAN</t>
  </si>
  <si>
    <t>TOILET SIGN OCCUPIED OR VACANT</t>
  </si>
  <si>
    <t>CARDHOLDER GINGHAM CHRISTMAS TREE</t>
  </si>
  <si>
    <t>ZINC HERB GARDEN CONTAINER</t>
  </si>
  <si>
    <t>SET 3 WICKER STORAGE BASKETS</t>
  </si>
  <si>
    <t>GARLAND WITH STARS AND BELLS</t>
  </si>
  <si>
    <t>FLORAL ELEPHANT SOFT TOY</t>
  </si>
  <si>
    <t>EMERGENCY FIRST AID TIN</t>
  </si>
  <si>
    <t>85232D</t>
  </si>
  <si>
    <t>SET/3 DECOUPAGE STACKING TINS</t>
  </si>
  <si>
    <t>PARISIENNE SEWING BOX</t>
  </si>
  <si>
    <t>84558A</t>
  </si>
  <si>
    <t>3D DOG PICTURE PLAYING CARDS</t>
  </si>
  <si>
    <t>GLASS APOTHECARY BOTTLE TONIC</t>
  </si>
  <si>
    <t>CINAMMON &amp; ORANGE WREATH</t>
  </si>
  <si>
    <t>85040A</t>
  </si>
  <si>
    <t>S/4 PINK FLOWER CANDLES IN BOWL</t>
  </si>
  <si>
    <t>RED RETROSPOT BIG BOWL</t>
  </si>
  <si>
    <t>BUNDLE OF 3 RETRO NOTE BOOKS</t>
  </si>
  <si>
    <t>CHEST NATURAL WOOD 20 DRAWERS</t>
  </si>
  <si>
    <t>JAM JAR WITH PINK LID</t>
  </si>
  <si>
    <t>PINK HEART DOTS HOT WATER BOTTLE</t>
  </si>
  <si>
    <t>CLASSIC CHROME BICYCLE BELL</t>
  </si>
  <si>
    <t>ANTIQUE SILVER BAUBLE LAMP</t>
  </si>
  <si>
    <t>FUSCHIA RETRO BAR STOOL</t>
  </si>
  <si>
    <t>85114B</t>
  </si>
  <si>
    <t>IVORY ENCHANTED FOREST PLACEMAT</t>
  </si>
  <si>
    <t>SET OF 6 SNACK LOAF BAKING CASES</t>
  </si>
  <si>
    <t>RED DRAWER KNOB ACRYLIC EDWARDIAN</t>
  </si>
  <si>
    <t>UNION JACK FLAG LUGGAGE TAG</t>
  </si>
  <si>
    <t>MAGNETS PACK OF 4 SWALLOWS</t>
  </si>
  <si>
    <t>CARDHOLDER GINGHAM STAR</t>
  </si>
  <si>
    <t>MAGIC DRAWING SLATE PURDEY</t>
  </si>
  <si>
    <t>COWBOYS AND INDIANS BIRTHDAY CARD</t>
  </si>
  <si>
    <t>NURSE'S BAG SOFT TOY</t>
  </si>
  <si>
    <t>84968F</t>
  </si>
  <si>
    <t>SET OF 16 VINTAGE SKY BLUE CUTLERY</t>
  </si>
  <si>
    <t>IVORY WICKER HEART LARGE</t>
  </si>
  <si>
    <t>WRAP RED APPLES</t>
  </si>
  <si>
    <t>CHRISTMAS RETROSPOT TREE WOOD</t>
  </si>
  <si>
    <t>BOX OF 9 PEBBLE CANDLES</t>
  </si>
  <si>
    <t>CLASSIC FRENCH STYLE BASKET NATURAL</t>
  </si>
  <si>
    <t>DINOSAUR PARTY BAG + STICKER SET</t>
  </si>
  <si>
    <t>BLUE OWL SOFT TOY</t>
  </si>
  <si>
    <t>RED RETRO BAR STOOL</t>
  </si>
  <si>
    <t>NO JUNK MAIL METAL SIGN</t>
  </si>
  <si>
    <t>SHOE SHINE BOX</t>
  </si>
  <si>
    <t>WALL MIRROR RECTANGLE DIAMANTE PINK</t>
  </si>
  <si>
    <t>MINATURE COLOURED GARDENING SET</t>
  </si>
  <si>
    <t>MAGIC DRAWING SLATE CIRCUS PARADE</t>
  </si>
  <si>
    <t>6 GIFT TAGS VINTAGE CHRISTMAS</t>
  </si>
  <si>
    <t>SET OF 12 FORK CANDLES</t>
  </si>
  <si>
    <t>6 RIBBONS EMPIRE</t>
  </si>
  <si>
    <t>NEWSPAPER STAND</t>
  </si>
  <si>
    <t>POLKA DOT RAFFIA FOOD COVER</t>
  </si>
  <si>
    <t>RED FLOWER CROCHET FOOD COVER</t>
  </si>
  <si>
    <t>TOTE BAG I LOVE LONDON</t>
  </si>
  <si>
    <t>WRAP VINTAGE LEAF DESIGN</t>
  </si>
  <si>
    <t>BLACK RETRO BAR STOOL</t>
  </si>
  <si>
    <t xml:space="preserve">ELEPHANT, BIRTHDAY CARD, </t>
  </si>
  <si>
    <t>WOODLAND MINI BACKPACK</t>
  </si>
  <si>
    <t>APRON APPLE DELIGHT</t>
  </si>
  <si>
    <t>85123a</t>
  </si>
  <si>
    <t>ROLL WRAP VINTAGE SPOT</t>
  </si>
  <si>
    <t>BIRDS MOBILE VINTAGE DESIGN</t>
  </si>
  <si>
    <t>SILVER CHRISTMAS TREE BAUBLE STAND</t>
  </si>
  <si>
    <t>RUSTIC WOODEN CABINET, GLASS DOORS</t>
  </si>
  <si>
    <t>METAL SHELF WITH RAIL</t>
  </si>
  <si>
    <t>METAL SIGN DROP YOUR PANTS</t>
  </si>
  <si>
    <t>LARGE DECO JEWELLERY STAND</t>
  </si>
  <si>
    <t>BALLOON WATER BOMB PACK OF 35</t>
  </si>
  <si>
    <t>PEACE SMALL WOOD LETTERS</t>
  </si>
  <si>
    <t>WALL ART VILLAGE SHOW</t>
  </si>
  <si>
    <t xml:space="preserve">KEY FOB , FRONT  DOOR </t>
  </si>
  <si>
    <t>WHITE ROCKING HORSE HAND PAINTED</t>
  </si>
  <si>
    <t>SKULLS  STICKERS</t>
  </si>
  <si>
    <t>CAST IRON HOOK GARDEN TROWEL</t>
  </si>
  <si>
    <t>LARGE WHITE HONEYCOMB PAPER BELL</t>
  </si>
  <si>
    <t>RED SPOTTY SHOPPING BAG</t>
  </si>
  <si>
    <t>PINK AND LILAC QUILTED THROW</t>
  </si>
  <si>
    <t>TEA COSY RED  STRIPE</t>
  </si>
  <si>
    <t>GLASS APOTHECARY BOTTLE ELIXIR</t>
  </si>
  <si>
    <t>MEASURING TAPE BABUSHKA PINK</t>
  </si>
  <si>
    <t>6 GIFT TAGS 50'S CHRISTMAS</t>
  </si>
  <si>
    <t>SAVOY ART DECO CLOCK</t>
  </si>
  <si>
    <t>SET OF 5 MINI GROCERY MAGNETS</t>
  </si>
  <si>
    <t>MULTICOLOUR SPRING FLOWER MUG</t>
  </si>
  <si>
    <t>SKULLS WRITING SET</t>
  </si>
  <si>
    <t>ENAMEL FIRE BUCKET CREAM</t>
  </si>
  <si>
    <t>18097C</t>
  </si>
  <si>
    <t>WHITE TALL PORCELAIN T-LIGHT HOLDER</t>
  </si>
  <si>
    <t>CREAM WALL PLANTER HEART SHAPED</t>
  </si>
  <si>
    <t>LOVE HEART NAPKIN BOX</t>
  </si>
  <si>
    <t>WATERING CAN GARDEN MARKER</t>
  </si>
  <si>
    <t>84797A</t>
  </si>
  <si>
    <t>PINK HAWAIIAN PICNIC HAMPER FOR 4</t>
  </si>
  <si>
    <t>CAKE PLATE LOVEBIRD PINK</t>
  </si>
  <si>
    <t>TEA TIME TEA SET IN GIFT BOX</t>
  </si>
  <si>
    <t>SET OF 72 SKULL PAPER  DOILIES</t>
  </si>
  <si>
    <t>SET/10 IVORY POLKADOT PARTY CANDLES</t>
  </si>
  <si>
    <t>SET 12 KIDS  WHITE CHALK STICKS</t>
  </si>
  <si>
    <t>CHALKBOARD KITCHEN ORGANISER</t>
  </si>
  <si>
    <t>LOVE HEART SOCK HANGER</t>
  </si>
  <si>
    <t>SQUARE MIRROR CURTAIN</t>
  </si>
  <si>
    <t>SET OF 4 KNICK KNACK TINS POPPIES</t>
  </si>
  <si>
    <t>PINK PADDED MOBILE</t>
  </si>
  <si>
    <t>BELLE JARDINIERE CUSHION COVER</t>
  </si>
  <si>
    <t>SET OF 4 DIAMOND NAPKIN RINGS</t>
  </si>
  <si>
    <t>HEART SHAPED MIRROR</t>
  </si>
  <si>
    <t>SET OF 2 FANCY FONT TEA TOWELS</t>
  </si>
  <si>
    <t>JUNGLE POPSICLES ICE LOLLY HOLDERS</t>
  </si>
  <si>
    <t>CAKE STAND VICTORIAN FILIGREE MED</t>
  </si>
  <si>
    <t>CHRISTMAS METAL POSTCARD WITH BELLS</t>
  </si>
  <si>
    <t>EMPIRE GIFT WRAP</t>
  </si>
  <si>
    <t>BLACK AND WHITE PAISLEY FLOWER MUG</t>
  </si>
  <si>
    <t>SET OF 60 VINTAGE LEAF CAKE CASES</t>
  </si>
  <si>
    <t>84031B</t>
  </si>
  <si>
    <t>CHARLIE LOLA BLUE HOT WATER BOTTLE</t>
  </si>
  <si>
    <t>84510A</t>
  </si>
  <si>
    <t>SET OF 4 ENGLISH ROSE COASTERS</t>
  </si>
  <si>
    <t>FLUTED ANTIQUE CANDLE HOLDER</t>
  </si>
  <si>
    <t>CHERRY CROCHET FOOD COVER</t>
  </si>
  <si>
    <t>SET 3 SONG BIRD PAPER EGGS ASSORTED</t>
  </si>
  <si>
    <t>15058B</t>
  </si>
  <si>
    <t>PINK POLKADOT GARDEN PARASOL</t>
  </si>
  <si>
    <t>RECYCLED ACAPULCO MAT PINK</t>
  </si>
  <si>
    <t>SWEETHEART WIRE MAGAZINE RACK</t>
  </si>
  <si>
    <t>LIPSTICK PEN RED</t>
  </si>
  <si>
    <t>RED HANGING METAL STAR TLIGHT HLDR</t>
  </si>
  <si>
    <t>SMALL FAIRY CAKE FRIDGE MAGNETS</t>
  </si>
  <si>
    <t>JAZZ HEARTS PURSE NOTEBOOK</t>
  </si>
  <si>
    <t>STRING OF 20 ROSE LIGHTS</t>
  </si>
  <si>
    <t>WHITE SWEETHEARTS CABINET 4 DRAWERS</t>
  </si>
  <si>
    <t>84849B</t>
  </si>
  <si>
    <t>FAIRY SOAP SOAP HOLDER</t>
  </si>
  <si>
    <t>EASTER TREE YELLOW BIRDS</t>
  </si>
  <si>
    <t>DRAWER KNOB CERAMIC IVORY</t>
  </si>
  <si>
    <t>RECYCLED ACAPULCO MAT BLUE</t>
  </si>
  <si>
    <t>CHILDREN'S SPACEBOY MUG</t>
  </si>
  <si>
    <t>DINOSAUR KEYRINGS ASSORTED</t>
  </si>
  <si>
    <t>BLACK WINE GLASS</t>
  </si>
  <si>
    <t>WRAP ALPHABET DESIGN</t>
  </si>
  <si>
    <t>84596F</t>
  </si>
  <si>
    <t>SMALL MARSHMALLOWS PINK BOWL</t>
  </si>
  <si>
    <t>CLASSIC WHITE FRAME</t>
  </si>
  <si>
    <t>18098C</t>
  </si>
  <si>
    <t>PORCELAIN BUTTERFLY OIL BURNER</t>
  </si>
  <si>
    <t>BLACK DINER WALL CLOCK</t>
  </si>
  <si>
    <t>MINT DINER WALL CLOCK</t>
  </si>
  <si>
    <t>SET OF 6 FUNKY BEAKERS</t>
  </si>
  <si>
    <t>GREEN DRAWER KNOB ACRYLIC EDWARDIAN</t>
  </si>
  <si>
    <t>SWISS ROLL TOWEL, CHOCOLATE  SPOTS</t>
  </si>
  <si>
    <t>HOME SWEET HOME CUSHION COVER</t>
  </si>
  <si>
    <t>TRIANGULAR POUFFE VINTAGE</t>
  </si>
  <si>
    <t>SET OF 6 STRAWBERRY CHOPSTICKS</t>
  </si>
  <si>
    <t>BLACK AND WHITE CAT BOWL</t>
  </si>
  <si>
    <t>82494l</t>
  </si>
  <si>
    <t>HANGING METAL BIRD BATH</t>
  </si>
  <si>
    <t>WHITE WICKER STAR</t>
  </si>
  <si>
    <t>MONEY BOX KINGS CHOICE DESIGN</t>
  </si>
  <si>
    <t>BLACK AND WHITE DOG BOWL</t>
  </si>
  <si>
    <t>SWEETHEART CREAM STEEL TABLE RECT</t>
  </si>
  <si>
    <t>SOAP DISH BROCANTE</t>
  </si>
  <si>
    <t>GIN &amp; TONIC DIET GREETING CARD</t>
  </si>
  <si>
    <t>OFFICE MUG WARMER PINK</t>
  </si>
  <si>
    <t>SET OF 6 KASHMIR FOLKART BAUBLES</t>
  </si>
  <si>
    <t>KITCHEN METAL SIGN</t>
  </si>
  <si>
    <t>PIZZA SLICE DISH</t>
  </si>
  <si>
    <t>BAG 500g SWIRLY MARBLES</t>
  </si>
  <si>
    <t>SALLE DE BAIN HOOK</t>
  </si>
  <si>
    <t>SPACEBOY BEAKER</t>
  </si>
  <si>
    <t>LADS ONLY TISSUE BOX</t>
  </si>
  <si>
    <t>PORCELAIN T-LIGHT HOLDERS ASSORTED</t>
  </si>
  <si>
    <t>ROCKING HORSE GREEN CHRISTMAS</t>
  </si>
  <si>
    <t>PARTY CONES CANDY TREE DECORATION</t>
  </si>
  <si>
    <t>84997d</t>
  </si>
  <si>
    <t>CHILDRENS CUTLERY POLKADOT PINK</t>
  </si>
  <si>
    <t>IVORY KNITTED MUG COSY</t>
  </si>
  <si>
    <t>SET OF 6 3D KIT CARDS FOR KIDS</t>
  </si>
  <si>
    <t>47504K</t>
  </si>
  <si>
    <t>ENGLISH ROSE GARDEN SECATEURS</t>
  </si>
  <si>
    <t>84912B</t>
  </si>
  <si>
    <t>GREEN ROSE WASHBAG</t>
  </si>
  <si>
    <t>CUPBOARD 3 DRAWER MA CAMPAGNE</t>
  </si>
  <si>
    <t>15058A</t>
  </si>
  <si>
    <t>BLUE POLKADOT GARDEN PARASOL</t>
  </si>
  <si>
    <t>ANGEL DECORATION 3 BUTTONS</t>
  </si>
  <si>
    <t>LARGE RED BABUSHKA NOTEBOOK</t>
  </si>
  <si>
    <t>TV DINNER TRAY VINTAGE PAISLEY</t>
  </si>
  <si>
    <t>EUCALYPTUS &amp; PINECONE  WREATH</t>
  </si>
  <si>
    <t>STRAWBERRY HONEYCOMB  GARLAND</t>
  </si>
  <si>
    <t>SWEETHEART BIRD HOUSE</t>
  </si>
  <si>
    <t>JAM JAR WITH GREEN LID</t>
  </si>
  <si>
    <t>AIRLINE BAG VINTAGE WORLD CHAMPION</t>
  </si>
  <si>
    <t>SPOTTY PINK DUCK DOORSTOP</t>
  </si>
  <si>
    <t>DECORATIVE WICKER HEART LARGE</t>
  </si>
  <si>
    <t>ROBOT BIRTHDAY CARD</t>
  </si>
  <si>
    <t>TEA FOR ONE POLKADOT</t>
  </si>
  <si>
    <t>84279B</t>
  </si>
  <si>
    <t>CHERRY BLOSSOM DECORATIVE FLASK</t>
  </si>
  <si>
    <t>GLITTER HEART GARLAND WITH BELLS</t>
  </si>
  <si>
    <t>CHOC TRUFFLE GOLD TRINKET POT</t>
  </si>
  <si>
    <t>DOLLY GIRL MINI BACKPACK</t>
  </si>
  <si>
    <t>SMALL RED BABUSHKA NOTEBOOK</t>
  </si>
  <si>
    <t>15044C</t>
  </si>
  <si>
    <t>PURPLE PAPER PARASOL</t>
  </si>
  <si>
    <t>POLKADOT RAIN HAT</t>
  </si>
  <si>
    <t>TREASURE TIN BUFFALO BILL</t>
  </si>
  <si>
    <t>CARD DOLLY GIRL</t>
  </si>
  <si>
    <t>WOOD STAMP SET THANK YOU</t>
  </si>
  <si>
    <t>BLUE DRAWER KNOB ACRYLIC EDWARDIAN</t>
  </si>
  <si>
    <t>HEART CALCULATOR</t>
  </si>
  <si>
    <t>MAGNETS PACK OF 4 VINTAGE COLLAGE</t>
  </si>
  <si>
    <t>WRAP DOILEY DESIGN</t>
  </si>
  <si>
    <t>ASSORTED CREEPY CRAWLIES</t>
  </si>
  <si>
    <t>84912A</t>
  </si>
  <si>
    <t>PINK ROSE WASHBAG</t>
  </si>
  <si>
    <t>AIRLINE BAG VINTAGE JET SET BROWN</t>
  </si>
  <si>
    <t>SMALL PURPLE BABUSHKA NOTEBOOK</t>
  </si>
  <si>
    <t>TEATIME CAKE TIN WITH HANDLE</t>
  </si>
  <si>
    <t>MOBILE VINTAGE HEARTS</t>
  </si>
  <si>
    <t>RED LOVE HEART SHAPE CUP</t>
  </si>
  <si>
    <t>TOAST ITS - BEST MUM</t>
  </si>
  <si>
    <t>BLUE GIANT GARDEN THERMOMETER</t>
  </si>
  <si>
    <t>CALENDAR IN SEASON DESIGN</t>
  </si>
  <si>
    <t>84997c</t>
  </si>
  <si>
    <t>CHILDRENS CUTLERY POLKADOT BLUE</t>
  </si>
  <si>
    <t>CARD MOTORBIKE SANTA</t>
  </si>
  <si>
    <t>5 HOOK BLACKBOARD ORGANISER</t>
  </si>
  <si>
    <t>CHILDS GARDEN BRUSH PINK</t>
  </si>
  <si>
    <t>FRENCH TOILET SIGN BLUE METAL</t>
  </si>
  <si>
    <t>VINTAGE UNION JACK PENNANT</t>
  </si>
  <si>
    <t>TOY TIDY DOLLY GIRL DESIGN</t>
  </si>
  <si>
    <t>COSMETIC BAG VINTAGE ROSE PAISLEY</t>
  </si>
  <si>
    <t>85049D</t>
  </si>
  <si>
    <t>BRIGHT BLUES RIBBONS</t>
  </si>
  <si>
    <t>GREEN GIANT GARDEN THERMOMETER</t>
  </si>
  <si>
    <t>SET OF 6 CAKE CHOPSTICKS</t>
  </si>
  <si>
    <t>SET OF 72 IVORY PAPER DOILIES</t>
  </si>
  <si>
    <t>CHILDS GARDEN BRUSH BLUE</t>
  </si>
  <si>
    <t>36 FOIL STAR CAKE CASES</t>
  </si>
  <si>
    <t>RED ROCKING HORSE HAND PAINTED</t>
  </si>
  <si>
    <t>85184D</t>
  </si>
  <si>
    <t>S/4 BLUE ROUND DECOUPAGE BOXES</t>
  </si>
  <si>
    <t>DOLLY GIRL BEAKER</t>
  </si>
  <si>
    <t>SPACEBOY CHILDRENS BOWL</t>
  </si>
  <si>
    <t>FOLDING UMBRELLA CHOCOLATE POLKADOT</t>
  </si>
  <si>
    <t>BLUE POLKADOT WASHING UP GLOVES</t>
  </si>
  <si>
    <t>SET OF 6 T-LIGHTS CACTI</t>
  </si>
  <si>
    <t>RED TEA TOWEL CLASSIC DESIGN</t>
  </si>
  <si>
    <t>PINK FLOWER CROCHET FOOD COVER</t>
  </si>
  <si>
    <t>HANGING CHICK GREEN DECORATION</t>
  </si>
  <si>
    <t>GLITTER STAR GARLAND WITH BELLS</t>
  </si>
  <si>
    <t>SILVER PLATE CANDLE BOWL SMALL</t>
  </si>
  <si>
    <t>WOOD STOCKING CHRISTMAS SCANDISPOT</t>
  </si>
  <si>
    <t>36 DOILIES DOLLY GIRL</t>
  </si>
  <si>
    <t>PLAYING CARDS JUBILEE UNION JACK</t>
  </si>
  <si>
    <t>OVEN MITT APPLES DESIGN</t>
  </si>
  <si>
    <t>CABIN BAG VINTAGE PAISLEY</t>
  </si>
  <si>
    <t>STOOL HOME SWEET HOME</t>
  </si>
  <si>
    <t>VINTAGE LEAF MAGNETIC NOTEPAD</t>
  </si>
  <si>
    <t>SWALLOW WOODEN CHRISTMAS DECORATION</t>
  </si>
  <si>
    <t>CAKE STAND VICTORIAN FILIGREE LARGE</t>
  </si>
  <si>
    <t>FRENCH LAUNDRY SIGN BLUE METAL</t>
  </si>
  <si>
    <t>35001W</t>
  </si>
  <si>
    <t>HAND OPEN SHAPE DECO.WHITE</t>
  </si>
  <si>
    <t>VINTAGE KID DOLLY CARD</t>
  </si>
  <si>
    <t>CARD BILLBOARD FONT</t>
  </si>
  <si>
    <t>JOY LARGE WOOD LETTERS</t>
  </si>
  <si>
    <t>T-LIGHT HOLDER HANGING LACE</t>
  </si>
  <si>
    <t>84909A</t>
  </si>
  <si>
    <t>PINK PAISLEY QUILT</t>
  </si>
  <si>
    <t>WICKER WREATH LARGE</t>
  </si>
  <si>
    <t>SILK PURSE BABUSHKA BLUE</t>
  </si>
  <si>
    <t>84519A</t>
  </si>
  <si>
    <t>TOMATO CHARLIE+LOLA COASTER SET</t>
  </si>
  <si>
    <t>HEART WREATH DECORATION WITH BELL</t>
  </si>
  <si>
    <t>CHILDRENS DOLLY GIRL MUG</t>
  </si>
  <si>
    <t>METAL MEDINA LANTERN</t>
  </si>
  <si>
    <t>85199S</t>
  </si>
  <si>
    <t>SMALL HANGING IVORY/RED WOOD BIRD</t>
  </si>
  <si>
    <t>SET OF 3 RED STRIPE BASKETS</t>
  </si>
  <si>
    <t>WRAP I LOVE LONDON</t>
  </si>
  <si>
    <t>3D HEARTS  HONEYCOMB PAPER GARLAND</t>
  </si>
  <si>
    <t>85132B</t>
  </si>
  <si>
    <t>CHARLIE AND LOLA TABLE TINS</t>
  </si>
  <si>
    <t>LE JARDIN BOTANIQUE CUSHION COVER</t>
  </si>
  <si>
    <t>SET OF 36 DOILIES SPACEBOY DESIGN</t>
  </si>
  <si>
    <t>LARGE MEDINA STAMPED METAL BOWL</t>
  </si>
  <si>
    <t>CHRISTMAS CRAFT HEART STOCKING</t>
  </si>
  <si>
    <t>BUNDLE OF 3 SCHOOL EXERCISE BOOKS</t>
  </si>
  <si>
    <t>200 RED + WHITE BENDY STRAWS</t>
  </si>
  <si>
    <t>MEDIUM MEDINA STAMPED METAL BOWL</t>
  </si>
  <si>
    <t>51014C</t>
  </si>
  <si>
    <t>FEATHER PEN,COAL BLACK</t>
  </si>
  <si>
    <t>15058C</t>
  </si>
  <si>
    <t>ICE CREAM DESIGN GARDEN PARASOL</t>
  </si>
  <si>
    <t>SINGLE ANTIQUE ROSE HOOK IVORY</t>
  </si>
  <si>
    <t>84795C</t>
  </si>
  <si>
    <t>OCEAN STRIPE HAMMOCK</t>
  </si>
  <si>
    <t>SET OF 12  VINTAGE POSTCARD SET</t>
  </si>
  <si>
    <t>PINK DINER WALL CLOCK</t>
  </si>
  <si>
    <t>BLUE TEA TOWEL CLASSIC DESIGN</t>
  </si>
  <si>
    <t>SILVER BELLS TABLE DECORATION</t>
  </si>
  <si>
    <t>SMALL HAMMERED SILVER CANDLEPOT</t>
  </si>
  <si>
    <t>SET OF 3 WOODEN STOCKING DECORATION</t>
  </si>
  <si>
    <t>MUSICAL ZINC HEART DECORATION</t>
  </si>
  <si>
    <t>LOVE HEART TRINKET POT</t>
  </si>
  <si>
    <t>WOODLAND STORAGE BOX LARGE</t>
  </si>
  <si>
    <t>CHILDRENS GARDEN GLOVES PINK</t>
  </si>
  <si>
    <t>HANGING MEDINA LANTERN SMALL</t>
  </si>
  <si>
    <t>85183B</t>
  </si>
  <si>
    <t>CHARLIE &amp; LOLA WASTEPAPER BIN FLORA</t>
  </si>
  <si>
    <t>FRENCH KITCHEN SIGN BLUE METAL</t>
  </si>
  <si>
    <t>BLUE COAT RACK PARIS FASHION</t>
  </si>
  <si>
    <t>GENTLEMAN SHIRT REPAIR KIT</t>
  </si>
  <si>
    <t>47503J</t>
  </si>
  <si>
    <t>SET/3 FLORAL GARDEN TOOLS IN BAG</t>
  </si>
  <si>
    <t>REGENCY CAKE SLICE</t>
  </si>
  <si>
    <t>85035C</t>
  </si>
  <si>
    <t>ROSE 3 WICK MORRIS BOX CANDLE</t>
  </si>
  <si>
    <t>RIBBON REEL FLORA + FAUNA</t>
  </si>
  <si>
    <t>HEART DECORATION RUSTIC HANGING</t>
  </si>
  <si>
    <t>VINTAGE BELLS GARLAND</t>
  </si>
  <si>
    <t>IVORY WICKER HEART MEDIUM</t>
  </si>
  <si>
    <t>DAISY GARDEN MARKER</t>
  </si>
  <si>
    <t>SNOWFLAKE PORTABLE TABLE LIGHT</t>
  </si>
  <si>
    <t>CHILDRENS GARDEN GLOVES BLUE</t>
  </si>
  <si>
    <t>HANGING PHOTO CLIP ROPE LADDER</t>
  </si>
  <si>
    <t>STAR DECORATION RUSTIC</t>
  </si>
  <si>
    <t>SET OF 3 WOODEN SLEIGH DECORATIONS</t>
  </si>
  <si>
    <t>SET/4 SKULL BADGES</t>
  </si>
  <si>
    <t>79323GR</t>
  </si>
  <si>
    <t>GREEN CHERRY LIGHTS</t>
  </si>
  <si>
    <t>CERAMIC PIRATE CHEST MONEY BANK</t>
  </si>
  <si>
    <t>KIDS RAIN MAC BLUE</t>
  </si>
  <si>
    <t>12 COLOURED PARTY BALLOONS</t>
  </si>
  <si>
    <t>SPACEBOY CHILDRENS CUP</t>
  </si>
  <si>
    <t>CARD CHRISTMAS VILLAGE</t>
  </si>
  <si>
    <t>SET OF 2 TRAYS HOME SWEET HOME</t>
  </si>
  <si>
    <t>DIAMANTE RING ASSORTED IN BOX.</t>
  </si>
  <si>
    <t>PENNY FARTHING BIRTHDAY CARD</t>
  </si>
  <si>
    <t>RED/CREAM STRIPE FRINGE HAMMOCK</t>
  </si>
  <si>
    <t>SET OF 2 ROUND TINS CAMEMBERT</t>
  </si>
  <si>
    <t>LARGE ROUND WICKER PLATTER</t>
  </si>
  <si>
    <t>MIRROR MOSAIC VOTIVE HOLDER</t>
  </si>
  <si>
    <t>POTTING SHED CANDLE CITRONELLA</t>
  </si>
  <si>
    <t>85049B</t>
  </si>
  <si>
    <t>LUSH GREENS RIBBONS</t>
  </si>
  <si>
    <t>PLACE SETTING WHITE STAR</t>
  </si>
  <si>
    <t>JIGSAW TREE WITH BIRDHOUSE</t>
  </si>
  <si>
    <t>BAKING MOULD HEART MILK CHOCOLATE</t>
  </si>
  <si>
    <t>AIRLINE BAG VINTAGE JET SET WHITE</t>
  </si>
  <si>
    <t>CARD I LOVE LONDON</t>
  </si>
  <si>
    <t>SET OF 2 TINS JARDIN DE PROVENCE</t>
  </si>
  <si>
    <t>72800E</t>
  </si>
  <si>
    <t>4 IVORY DINNER CANDLES SILVER FLOCK</t>
  </si>
  <si>
    <t>BOMBS AWAY METAL SIGN</t>
  </si>
  <si>
    <t>PORCELAIN ROSE SMALL</t>
  </si>
  <si>
    <t>84849D</t>
  </si>
  <si>
    <t>HOT BATHS SOAP HOLDER</t>
  </si>
  <si>
    <t>RECYCLED ACAPULCO MAT LAVENDER</t>
  </si>
  <si>
    <t>85049F</t>
  </si>
  <si>
    <t>BABY BOOM RIBBONS</t>
  </si>
  <si>
    <t>DAISIES  HONEYCOMB GARLAND</t>
  </si>
  <si>
    <t>85034B</t>
  </si>
  <si>
    <t>3 WHITE CHOC MORRIS BOXED CANDLES</t>
  </si>
  <si>
    <t>TEA TIME MUG IN GIFT BOX</t>
  </si>
  <si>
    <t>LARGE PURPLE BABUSHKA NOTEBOOK</t>
  </si>
  <si>
    <t>RED RETROSPOT TISSUE BOX</t>
  </si>
  <si>
    <t>47585A</t>
  </si>
  <si>
    <t>PINK FAIRY CAKE CUSHION COVER</t>
  </si>
  <si>
    <t>TEA PARTY  WRAPPING PAPER</t>
  </si>
  <si>
    <t>72799E</t>
  </si>
  <si>
    <t>IVORY PILLAR CANDLE SILVER FLOCK</t>
  </si>
  <si>
    <t>HAPPY EASTER HANGING DECORATION</t>
  </si>
  <si>
    <t>LOCAL CAFE MUG</t>
  </si>
  <si>
    <t>GLITTER CHRISTMAS HEART</t>
  </si>
  <si>
    <t>CHRISTMAS GARLAND STARS,TREES</t>
  </si>
  <si>
    <t>TRIPLE HOOK ANTIQUE IVORY ROSE</t>
  </si>
  <si>
    <t>CARNIVAL BRACELET</t>
  </si>
  <si>
    <t>EASTER CRAFT IVY WREATH WITH CHICK</t>
  </si>
  <si>
    <t>TV DINNER TRAY AIR HOSTESS</t>
  </si>
  <si>
    <t>6 ROCKET BALLOONS</t>
  </si>
  <si>
    <t>RIBBON REEL SOCKS AND MITTENS</t>
  </si>
  <si>
    <t>GLASS ETCHED T-LIGHT HOLDER LARGE</t>
  </si>
  <si>
    <t>BAKING MOULD CHOCOLATE CUPCAKES</t>
  </si>
  <si>
    <t>SWALLOW GIANT TUBE MATCHES</t>
  </si>
  <si>
    <t>85035B</t>
  </si>
  <si>
    <t>CHOCOLATE 3 WICK MORRIS BOX CANDLE</t>
  </si>
  <si>
    <t>WATERMELON BATH SPONGE</t>
  </si>
  <si>
    <t>POTTING SHED ROSE CANDLE</t>
  </si>
  <si>
    <t>85034C</t>
  </si>
  <si>
    <t>3 ROSE MORRIS BOXED CANDLES</t>
  </si>
  <si>
    <t>IVORY PAPER CUP CAKE CASES</t>
  </si>
  <si>
    <t>BLUE RETRO BAR STOOL</t>
  </si>
  <si>
    <t>MAGIC SHEEP WOOL GROWING FROM PAPER</t>
  </si>
  <si>
    <t>GINGHAM RECIPE BOOK BOX</t>
  </si>
  <si>
    <t>CLASSIC FRENCH STYLE BASKET GREEN</t>
  </si>
  <si>
    <t>LUNCH BAG RED VINTAGE DOILY</t>
  </si>
  <si>
    <t>WHITE TISSUE REAM</t>
  </si>
  <si>
    <t>GREEN GINGHAM FLOWER JEWELLERY BOX</t>
  </si>
  <si>
    <t>RED REFECTORY CLOCK</t>
  </si>
  <si>
    <t>HANGING MEDINA LANTERN LARGE</t>
  </si>
  <si>
    <t>AIRLINE LOUNGE,METAL SIGN</t>
  </si>
  <si>
    <t>STRIPEY CHOCOLATE NESTING BOXES</t>
  </si>
  <si>
    <t>FRENCH ENAMEL POT W LID</t>
  </si>
  <si>
    <t>WOODLAND  STICKERS</t>
  </si>
  <si>
    <t>85206B</t>
  </si>
  <si>
    <t>PINK FELT EASTER EGG BASKET</t>
  </si>
  <si>
    <t>SET 12 COLOUR PENCILS SPACEBOY</t>
  </si>
  <si>
    <t>S/15 SILVER GLASS BAUBLES IN BAG</t>
  </si>
  <si>
    <t>HOME GARLAND PAINTED ZINC</t>
  </si>
  <si>
    <t>MAKE YOUR OWN PLAYTIME CARD KIT</t>
  </si>
  <si>
    <t>SET/4 PINK ORCHID CANDLES IN BOWL</t>
  </si>
  <si>
    <t>DISCO BALL CHRISTMAS DECORATION</t>
  </si>
  <si>
    <t>ASSORTED TUTTI FRUTTI PEN</t>
  </si>
  <si>
    <t>T-LIGHT HOLDER SWEETHEART HANGING</t>
  </si>
  <si>
    <t>ROLL WRAP 50'S RED CHRISTMAS</t>
  </si>
  <si>
    <t>4 PEAR BOTANICAL DINNER CANDLES</t>
  </si>
  <si>
    <t>WOODLAND ANIMAL  WRITING SET</t>
  </si>
  <si>
    <t>NURSERY A,B,C PAINTED LETTERS</t>
  </si>
  <si>
    <t>BUTTERFLIES  HONEYCOMB GARLAND</t>
  </si>
  <si>
    <t>ANGEL DECORATION STARS ON DRESS</t>
  </si>
  <si>
    <t>84509F</t>
  </si>
  <si>
    <t>SET OF 4 NEW ENGLAND PLACEMATS</t>
  </si>
  <si>
    <t>FRENCH BLUE METAL DOOR SIGN 1</t>
  </si>
  <si>
    <t>DOG BOWL VINTAGE CREAM</t>
  </si>
  <si>
    <t>EMPIRE TISSUE BOX</t>
  </si>
  <si>
    <t>PAPER CHAIN KIT LONDON</t>
  </si>
  <si>
    <t>85036A</t>
  </si>
  <si>
    <t>GARDENIA 1 WICK MORRIS BOXED CANDLE</t>
  </si>
  <si>
    <t>COTTON APRON PANTRY DESIGN</t>
  </si>
  <si>
    <t>84509B</t>
  </si>
  <si>
    <t>SET OF 4 FAIRY CAKE PLACEMATS</t>
  </si>
  <si>
    <t>BLUE FELT EASTER EGG BASKET</t>
  </si>
  <si>
    <t>EMBOSSED HEART 3 DRAWER SHELF</t>
  </si>
  <si>
    <t>CHRISTMAS HANGING TREE WITH BELL</t>
  </si>
  <si>
    <t>SWEETHEART CARRY-ALL BASKET</t>
  </si>
  <si>
    <t>PACK OF 20 SPACEBOY NAPKINS</t>
  </si>
  <si>
    <t>BLUE/CREAM STRIPE FRINGE HAMMOCK</t>
  </si>
  <si>
    <t>HOME SWEET HOME KEY HOLDER</t>
  </si>
  <si>
    <t>CREAM SLICE FLANNEL CHOCOLATE SPOT</t>
  </si>
  <si>
    <t>PAINTED METAL HEART WITH HOLLY BELL</t>
  </si>
  <si>
    <t>MINI JIGSAW CIRCUS PARADE</t>
  </si>
  <si>
    <t>PIN CUSHION BABUSHKA RED</t>
  </si>
  <si>
    <t>BASKET OF TOADSTOOLS</t>
  </si>
  <si>
    <t>SET OF 3 WOODEN TREE DECORATIONS</t>
  </si>
  <si>
    <t>MAGIC DRAWING SLATE DINOSAUR</t>
  </si>
  <si>
    <t>SET OF 36 MUSHROOM PAPER DOILIES</t>
  </si>
  <si>
    <t>SWEETHEART WIRE WALL TIDY</t>
  </si>
  <si>
    <t>FRENCH ENAMEL WATER BASIN</t>
  </si>
  <si>
    <t>SHELF WITH 4 HOOKS HOME SWEET HOME</t>
  </si>
  <si>
    <t>GLASS JAR PEACOCK BATH SALTS</t>
  </si>
  <si>
    <t>DRAWER KNOB CRACKLE GLAZE BLUE</t>
  </si>
  <si>
    <t>DAIRY MAID CERAMIC BUTTER DISH</t>
  </si>
  <si>
    <t>GINGHAM ROSE WRAP</t>
  </si>
  <si>
    <t>84795B</t>
  </si>
  <si>
    <t>SUNSET CHECK HAMMOCK</t>
  </si>
  <si>
    <t>FELTCRAFT HAIRBAND PINK AND PURPLE</t>
  </si>
  <si>
    <t>CLASSIC BICYCLE CLIPS</t>
  </si>
  <si>
    <t>KIDS RAIN MAC PINK</t>
  </si>
  <si>
    <t>50'S CHRISTMAS GIFT BAG LARGE</t>
  </si>
  <si>
    <t>ENGLISH ROSE TABLE CLOTH</t>
  </si>
  <si>
    <t>85034A</t>
  </si>
  <si>
    <t>3 GARDENIA MORRIS BOXED CANDLES</t>
  </si>
  <si>
    <t>BUTTERFLY CROCHET FOOD COVER</t>
  </si>
  <si>
    <t>BIRD DECORATION RED RETROSPOT</t>
  </si>
  <si>
    <t>SET OF 4 NAPKIN CHARMS STARS</t>
  </si>
  <si>
    <t>WHITE GOOSE FEATHER CHRISTMAS TREE</t>
  </si>
  <si>
    <t>4 LAVENDER BOTANICAL DINNER CANDLES</t>
  </si>
  <si>
    <t>RUSTIC MIRROR WITH LACE HEART</t>
  </si>
  <si>
    <t>VINTAGE CHRISTMAS GIFT BAG LARGE</t>
  </si>
  <si>
    <t>HEART MIRROR ANTIQUE WHITE</t>
  </si>
  <si>
    <t>SET OF 6 GIRLS CELEBRATION CANDLES</t>
  </si>
  <si>
    <t>LIPSTICK PEN FUSCHIA</t>
  </si>
  <si>
    <t>24 HANGING EASTER EGGS FLORAL TUB</t>
  </si>
  <si>
    <t>PENS ASSORTED SPACEBALL</t>
  </si>
  <si>
    <t>SET OF 6 HEART CHOPSTICKS</t>
  </si>
  <si>
    <t>BIRDHOUSE DECORATION MAGIC GARDEN</t>
  </si>
  <si>
    <t>FOLDING UMBRELLA CREAM POLKADOT</t>
  </si>
  <si>
    <t>PAINTED METAL STAR WITH HOLLY BELLS</t>
  </si>
  <si>
    <t>EIGHT PIECE DINOSAUR SET</t>
  </si>
  <si>
    <t>SILVER MUG BONE CHINA TREE OF LIFE</t>
  </si>
  <si>
    <t>SMALL SKULL WINDMILL</t>
  </si>
  <si>
    <t>CUT GLASS T-LIGHT HOLDER OCTAGON</t>
  </si>
  <si>
    <t>SET 36 COLOUR PENCILS SPACEBOY</t>
  </si>
  <si>
    <t>COSY SLIPPER SHOES LARGE GREEN</t>
  </si>
  <si>
    <t>MUSHROOM BLUE HOT WATER BOTTLE</t>
  </si>
  <si>
    <t>84459B</t>
  </si>
  <si>
    <t>YELLOW METAL CHICKEN HEART</t>
  </si>
  <si>
    <t>SKETCHBOOK MAGNETIC SHOPPING LIST</t>
  </si>
  <si>
    <t>MONEY BOX BISCUITS DESIGN</t>
  </si>
  <si>
    <t>DECORATIVE WICKER HEART MEDIUM</t>
  </si>
  <si>
    <t>SET 8 CANDLES VINTAGE DOILY</t>
  </si>
  <si>
    <t>DRAWER KNOB CRACKLE GLAZE GREEN</t>
  </si>
  <si>
    <t>CHILDREN'S CIRCUS PARADE MUG</t>
  </si>
  <si>
    <t>WHITE BROCANTE SOAP DISH</t>
  </si>
  <si>
    <t>DANISH ROSE PHOTO FRAME</t>
  </si>
  <si>
    <t>IF YOU CAN'T STAND THE HEAT MUG</t>
  </si>
  <si>
    <t>CINDERELLA CHANDELIER</t>
  </si>
  <si>
    <t>SEWING SUSAN 21 NEEDLE SET</t>
  </si>
  <si>
    <t>GLITTER CHRISTMAS STAR</t>
  </si>
  <si>
    <t>CUT GLASS HEXAGON T-LIGHT HOLDER</t>
  </si>
  <si>
    <t>84536A</t>
  </si>
  <si>
    <t>ENGLISH ROSE NOTEBOOK A7 SIZE</t>
  </si>
  <si>
    <t>85183A</t>
  </si>
  <si>
    <t>CHARLIE &amp; LOLA WASTEPAPER BIN BLUE</t>
  </si>
  <si>
    <t>REGENCY MIRROR WITH SHUTTERS</t>
  </si>
  <si>
    <t>WHITE CHRISTMAS GARLAND STARS TREES</t>
  </si>
  <si>
    <t>85199L</t>
  </si>
  <si>
    <t>LARGE HANGING IVORY &amp; RED WOOD BIRD</t>
  </si>
  <si>
    <t>MINI JIGSAW DOLLY GIRL</t>
  </si>
  <si>
    <t>35001G</t>
  </si>
  <si>
    <t>HAND OPEN SHAPE GOLD</t>
  </si>
  <si>
    <t>GARLAND, MAGIC GARDEN 1.8M</t>
  </si>
  <si>
    <t>RED SPOTTY LUGGAGE TAG</t>
  </si>
  <si>
    <t>85114C</t>
  </si>
  <si>
    <t>RED ENCHANTED FOREST PLACEMAT</t>
  </si>
  <si>
    <t>SET OF 10 LANTERNS FAIRY LIGHT STAR</t>
  </si>
  <si>
    <t>RAINY LADIES BIRTHDAY CARD</t>
  </si>
  <si>
    <t>HANGING GLASS ETCHED TEALIGHT</t>
  </si>
  <si>
    <t>WHITE BELL HONEYCOMB PAPER GARLAND</t>
  </si>
  <si>
    <t>ROSE DES PADDED FLOOR CUSHION</t>
  </si>
  <si>
    <t>FELTCRAFT BOY JEAN-PAUL KIT</t>
  </si>
  <si>
    <t>PINK LOVE HEART SHAPE CUP</t>
  </si>
  <si>
    <t>BAKING MOULD EASTER EGG MILK CHOC</t>
  </si>
  <si>
    <t xml:space="preserve">DECORATION , WOBBLY RABBIT , METAL </t>
  </si>
  <si>
    <t>SMALL PARISIENNE HEART PHOTO FRAME</t>
  </si>
  <si>
    <t>HYACINTH BULB T-LIGHT CANDLES</t>
  </si>
  <si>
    <t>85035A</t>
  </si>
  <si>
    <t>GARDENIA 3 WICK MORRIS BOXED CANDLE</t>
  </si>
  <si>
    <t>ASSORTED TUTTI FRUTTI NOTEBOOK</t>
  </si>
  <si>
    <t>IVORY EMBROIDERED QUILT</t>
  </si>
  <si>
    <t>HANGING MINI COLOURED BOTTLES</t>
  </si>
  <si>
    <t>DOVE DECORATION PAINTED ZINC</t>
  </si>
  <si>
    <t>SMALL SILVER TRELLIS CANDLEPOT</t>
  </si>
  <si>
    <t>RED POLKADOT COFFEE  MUG</t>
  </si>
  <si>
    <t>PACK 20 DOLLY PEGS</t>
  </si>
  <si>
    <t>RED SPOT GIFT BAG LARGE</t>
  </si>
  <si>
    <t>GIANT MEDINA STAMPED METAL BOWL</t>
  </si>
  <si>
    <t>BLUE POT PLANT CANDLE</t>
  </si>
  <si>
    <t>KEY RING BASEBALL BOOT UNION JACK</t>
  </si>
  <si>
    <t>GREEN CHRISTMAS TREE STRING 20LIGHT</t>
  </si>
  <si>
    <t>STEEL SWEETHEART ROUND TABLE CREAM</t>
  </si>
  <si>
    <t>DISCO BALL ROTATOR BATTERY OPERATED</t>
  </si>
  <si>
    <t>FOLDING UMBRELLA PINKWHITE POLKADOT</t>
  </si>
  <si>
    <t>SLEEPING CAT ERASERS</t>
  </si>
  <si>
    <t>84913A</t>
  </si>
  <si>
    <t>SOFT PINK ROSE TOWEL</t>
  </si>
  <si>
    <t>CARD CIRCUS PARADE</t>
  </si>
  <si>
    <t>MEDINA STAMPED METAL STOOL</t>
  </si>
  <si>
    <t>SET OF 4 ROSE BOTANICAL CANDLES</t>
  </si>
  <si>
    <t>WRAP CIRCUS PARADE</t>
  </si>
  <si>
    <t>LETTER HOLDER HOME SWEET HOME</t>
  </si>
  <si>
    <t>SQUARECUSHION COVER PINK UNION FLAG</t>
  </si>
  <si>
    <t>CHILDS GARDEN SPADE BLUE</t>
  </si>
  <si>
    <t>17091J</t>
  </si>
  <si>
    <t>VANILLA INCENSE IN TIN</t>
  </si>
  <si>
    <t>SET 6 FOOTBALL CELEBRATION CANDLES</t>
  </si>
  <si>
    <t>6 RIBBONS SHIMMERING PINKS</t>
  </si>
  <si>
    <t>MEASURING TAPE BABUSHKA BLUE</t>
  </si>
  <si>
    <t>SET OF 12 LILY BOTANICAL T-LIGHTS</t>
  </si>
  <si>
    <t>CAT BOWL VINTAGE CREAM</t>
  </si>
  <si>
    <t>DRAWER KNOB CRACKLE GLAZE PINK</t>
  </si>
  <si>
    <t>ABSTRACT CIRCLE JOURNAL</t>
  </si>
  <si>
    <t>51014L</t>
  </si>
  <si>
    <t>FEATHER PEN,LIGHT PINK</t>
  </si>
  <si>
    <t>VINTAGE RED ENAMEL TRIM JUG</t>
  </si>
  <si>
    <t>15056n</t>
  </si>
  <si>
    <t>BROWN  PIRATE TREASURE CHEST</t>
  </si>
  <si>
    <t>CAKE STAND VICTORIAN FILIGREE SMALL</t>
  </si>
  <si>
    <t>METAL DECORATION NAUGHTY CHILDREN</t>
  </si>
  <si>
    <t>ICE CREAM BUBBLES</t>
  </si>
  <si>
    <t>85039B</t>
  </si>
  <si>
    <t>S/4 IVORY MINI ROSE CANDLE IN BOWL</t>
  </si>
  <si>
    <t>SET 36 COLOURING PENCILS DOILY</t>
  </si>
  <si>
    <t>TRAVEL CARD WALLET I LOVE LONDON</t>
  </si>
  <si>
    <t>REGENCY CAKE FORK</t>
  </si>
  <si>
    <t>PORCELAIN ROSE LARGE</t>
  </si>
  <si>
    <t>KNEELING MAT HOUSEWORK  DESIGN</t>
  </si>
  <si>
    <t>BLACK CANDELABRA T-LIGHT HOLDER</t>
  </si>
  <si>
    <t>MORE BUTTER METAL SIGN</t>
  </si>
  <si>
    <t>4 LILY  BOTANICAL DINNER CANDLES</t>
  </si>
  <si>
    <t>ASSORTED CAKES FRIDGE MAGNETS</t>
  </si>
  <si>
    <t>GLASS  SONGBIRD STORAGE JAR</t>
  </si>
  <si>
    <t>SMALL DECO JEWELLERY STAND</t>
  </si>
  <si>
    <t>DECORATIVE CATS BATHROOM BOTTLE</t>
  </si>
  <si>
    <t>JAPANESE CROCHETED ANIMAL</t>
  </si>
  <si>
    <t>CHILDS GARDEN SPADE PINK</t>
  </si>
  <si>
    <t>WRAP DOLLY GIRL</t>
  </si>
  <si>
    <t>FRENCH BLUE METAL DOOR SIGN 2</t>
  </si>
  <si>
    <t>ABSTRACT CIRCLES SKETCHBOOK</t>
  </si>
  <si>
    <t>TOADSTOOL BEDSIDE LIGHT</t>
  </si>
  <si>
    <t>STAR WREATH DECORATION WITH BELL</t>
  </si>
  <si>
    <t>PINK  HONEYCOMB PAPER BALL</t>
  </si>
  <si>
    <t>3 TIER SWEETHEART GARDEN SHELF</t>
  </si>
  <si>
    <t>CARD BIRTHDAY COWBOY</t>
  </si>
  <si>
    <t>RELAX LARGE WOOD LETTERS</t>
  </si>
  <si>
    <t>ASSORTED TUTTI FRUTTI MIRROR</t>
  </si>
  <si>
    <t>85099b</t>
  </si>
  <si>
    <t>PAPER LANTERN 9 POINT DELUXE STAR</t>
  </si>
  <si>
    <t>85114A</t>
  </si>
  <si>
    <t>BLACK ENCHANTED FOREST PLACEMAT</t>
  </si>
  <si>
    <t>HANGING RIDGE GLASS T-LIGHT HOLDER</t>
  </si>
  <si>
    <t>RED COAT RACK PARIS FASHION</t>
  </si>
  <si>
    <t>EMPIRE BIRTHDAY CARD</t>
  </si>
  <si>
    <t>FLOWERS CHANDELIER T-LIGHT HOLDER</t>
  </si>
  <si>
    <t>BATH DUCK WATERING CAN</t>
  </si>
  <si>
    <t>40018F</t>
  </si>
  <si>
    <t>CHERRY DESIGN PAPERLANTERNS</t>
  </si>
  <si>
    <t>VINTAGE BILLBOARD MUG</t>
  </si>
  <si>
    <t>TRAVEL CARD WALLET VINTAGE TICKET</t>
  </si>
  <si>
    <t>WRAP POPPIES  DESIGN</t>
  </si>
  <si>
    <t>STAR DECORATION PAINTED ZINC</t>
  </si>
  <si>
    <t>72799F</t>
  </si>
  <si>
    <t>IVORY PILLAR CANDLE GOLD FLOCK</t>
  </si>
  <si>
    <t>PINK UNION JACK  PASSPORT COVER</t>
  </si>
  <si>
    <t>4 VANILLA BOTANICAL CANDLES</t>
  </si>
  <si>
    <t>GIRLY PINK TOOL SET</t>
  </si>
  <si>
    <t>ASSORTED TUTTI FRUTTI  FOB NOTEBOOK</t>
  </si>
  <si>
    <t>IVORY SWEETHEART WIRE LETTER RACK</t>
  </si>
  <si>
    <t>SMALL POLKADOT CHOCOLATE GIFT BAG</t>
  </si>
  <si>
    <t>84796A</t>
  </si>
  <si>
    <t>PINK HAWAIIAN PICNIC HAMPER FOR 2</t>
  </si>
  <si>
    <t>WICKER WREATH SMALL</t>
  </si>
  <si>
    <t>FILIGREE HEART BUTTERFLY WHITE</t>
  </si>
  <si>
    <t>85049H</t>
  </si>
  <si>
    <t>URBAN BLACK RIBBONS</t>
  </si>
  <si>
    <t>MULTICOLOUR HONEYCOMB PAPER GARLAND</t>
  </si>
  <si>
    <t>POCKET BAG BLUE PAISLEY RED SPOT</t>
  </si>
  <si>
    <t>60 GOLD AND SILVER FAIRY CAKE CASES</t>
  </si>
  <si>
    <t>VINTAGE RED ENAMEL TRIM MUG</t>
  </si>
  <si>
    <t>SET/20 WOODLAND PAPER NAPKINS</t>
  </si>
  <si>
    <t>HEART STRING MEMO HOLDER HANGING</t>
  </si>
  <si>
    <t>T-LIGHT HOLDER HANGING LOVE BIRD</t>
  </si>
  <si>
    <t>PARTY INVITES WOODLAND</t>
  </si>
  <si>
    <t>DOLLY GIRL CHILDRENS CUP</t>
  </si>
  <si>
    <t>EASTER TIN BUNNY BOUQUET</t>
  </si>
  <si>
    <t>84509G</t>
  </si>
  <si>
    <t>KEY RING BASEBALL BOOT ASSORTED</t>
  </si>
  <si>
    <t>YELLOW GIANT GARDEN THERMOMETER</t>
  </si>
  <si>
    <t>FRYING PAN BLUE POLKADOT</t>
  </si>
  <si>
    <t>SET OF 6 VINTAGE NOTELETS KIT</t>
  </si>
  <si>
    <t>FELT EGG COSY WHITE RABBIT</t>
  </si>
  <si>
    <t>SWEETHEART WIRE FRUIT BOWL</t>
  </si>
  <si>
    <t>MAGNETS PACK OF 4 HOME SWEET HOME</t>
  </si>
  <si>
    <t>SKULLS GREETING CARD</t>
  </si>
  <si>
    <t>TEA COSY BLUE STRIPE</t>
  </si>
  <si>
    <t>TOAST ITS - FAIRY FLOWER</t>
  </si>
  <si>
    <t>DOLLY MIXTURE CHILDREN'S UMBRELLA</t>
  </si>
  <si>
    <t>47591C</t>
  </si>
  <si>
    <t>BLUE FAIRY CAKE CHILD'S APRON</t>
  </si>
  <si>
    <t>HOT STUFF HOT WATER BOTTLE</t>
  </si>
  <si>
    <t>WALL ART DOLLY GIRL</t>
  </si>
  <si>
    <t>CHILDS GARDEN TROWEL BLUE</t>
  </si>
  <si>
    <t>CONDIMENT TRAY 4 BOWLS AND 4 SPOONS</t>
  </si>
  <si>
    <t>STAR T-LIGHT HOLDER WILLIE WINKIE</t>
  </si>
  <si>
    <t>SET 12 WILDFLOWER BOTANICAL T-LIGHT</t>
  </si>
  <si>
    <t>SET OF 2 ROUND TINS DUTCH CHEESE</t>
  </si>
  <si>
    <t>DOLLY GIRL CHILDRENS BOWL</t>
  </si>
  <si>
    <t>BLUE  SPOTTY EGG CUP</t>
  </si>
  <si>
    <t>SET OF 2 CERAMIC CHRISTMAS REINDEER</t>
  </si>
  <si>
    <t>PINK SPOTS CHOCOLATE NESTING BOXES</t>
  </si>
  <si>
    <t>IVORY HANGING DECORATION  BIRD</t>
  </si>
  <si>
    <t>IVORY REFECTORY CLOCK</t>
  </si>
  <si>
    <t>CHILDS GARDEN TROWEL PINK</t>
  </si>
  <si>
    <t>HOT WATER BOTTLE SEX BOMB</t>
  </si>
  <si>
    <t>FOLKART STAR CHRISTMAS DECORATIONS</t>
  </si>
  <si>
    <t>79323S</t>
  </si>
  <si>
    <t>SILVER CHERRY LIGHTS</t>
  </si>
  <si>
    <t>BROCANTE SHELF WITH HOOKS</t>
  </si>
  <si>
    <t>GUMBALL MONOCHROME COAT RACK</t>
  </si>
  <si>
    <t>SMALL SILVER FLOWER CANDLE POT</t>
  </si>
  <si>
    <t>17084R</t>
  </si>
  <si>
    <t>ASSORTED INCENSE PACK</t>
  </si>
  <si>
    <t>84872A</t>
  </si>
  <si>
    <t>TEATIME FUNKY FLOWER BACKPACK FOR 2</t>
  </si>
  <si>
    <t>BLACK PIRATE TREASURE CHEST</t>
  </si>
  <si>
    <t>OPULENT VELVET SET/3 CANDLES</t>
  </si>
  <si>
    <t>SEASIDE FLYING DISC</t>
  </si>
  <si>
    <t>MONEY BOX POCKET MONEY DESIGN</t>
  </si>
  <si>
    <t>ZINC T-LIGHT HOLDER STAR LARGE</t>
  </si>
  <si>
    <t>SQUARE FLOOR CUSHION VINTAGE RED</t>
  </si>
  <si>
    <t>ALUMINIUM STAMPED HEART</t>
  </si>
  <si>
    <t>PARTY PIZZA DISH RED RETROSPOT</t>
  </si>
  <si>
    <t>ASSORTED ICE CREAM FRIDGE MAGNETS</t>
  </si>
  <si>
    <t>CHRISTMAS TREE STAR DECORATION</t>
  </si>
  <si>
    <t>BAKING MOULD HEART WHITE CHOCOLATE</t>
  </si>
  <si>
    <t>GLASS JAR MARMALADE</t>
  </si>
  <si>
    <t>BALLOON ART MAKE YOUR OWN FLOWERS</t>
  </si>
  <si>
    <t>ZINC HEART LATTICE T-LIGHT HOLDER</t>
  </si>
  <si>
    <t>CHRISTMAS MUSICAL ZINC STAR</t>
  </si>
  <si>
    <t>HEART SHAPE WIRELESS DOORBELL</t>
  </si>
  <si>
    <t>WOOD STAMP SET FLOWERS</t>
  </si>
  <si>
    <t>ASSORTED TUTTI FRUTTI LARGE PURSE</t>
  </si>
  <si>
    <t>FLOOR CUSHION ELEPHANT CARNIVAL</t>
  </si>
  <si>
    <t>STORAGE TIN VINTAGE LEAF</t>
  </si>
  <si>
    <t>RED SPOT PAPER GIFT BAG</t>
  </si>
  <si>
    <t>ROSE FOLKART HEART DECORATIONS</t>
  </si>
  <si>
    <t>FAUX FUR CHOCOLATE THROW</t>
  </si>
  <si>
    <t>FELT EGG COSY CHICKEN</t>
  </si>
  <si>
    <t>MILK PAN BLUE POLKADOT</t>
  </si>
  <si>
    <t>PARLOUR CERAMIC WALL HOOK</t>
  </si>
  <si>
    <t>BLUE PADDED SOFT MOBILE</t>
  </si>
  <si>
    <t>MILK BOTTLE WITH GLASS STOPPER</t>
  </si>
  <si>
    <t>12 PENCILS TALL TUBE POSY</t>
  </si>
  <si>
    <t>SILVER LATTICE VANILLA CANDLE POT</t>
  </si>
  <si>
    <t>84459A</t>
  </si>
  <si>
    <t>PINK METAL CHICKEN HEART</t>
  </si>
  <si>
    <t>79323G</t>
  </si>
  <si>
    <t>GOLD  CHERRY LIGHTS</t>
  </si>
  <si>
    <t>SILVER T-LIGHT SETTING</t>
  </si>
  <si>
    <t>BOUDOIR SQUARE TISSUE BOX</t>
  </si>
  <si>
    <t>DAIRY MAID  PUDDING BOWL</t>
  </si>
  <si>
    <t>DOG TOY WITH PINK CROCHET SKIRT</t>
  </si>
  <si>
    <t>PACK OF 12 SPACEBOY TISSUES</t>
  </si>
  <si>
    <t>46775D</t>
  </si>
  <si>
    <t>SUNSET COLOUR CHUNKY KNITTED THROW</t>
  </si>
  <si>
    <t>SMALL YELLOW BABUSHKA NOTEBOOK</t>
  </si>
  <si>
    <t>CHRISTMAS TREE HEART DECORATION</t>
  </si>
  <si>
    <t>PARTY FOOD SHOPPER BAG</t>
  </si>
  <si>
    <t>STRAWBERRY DREAM CHILDS UMBRELLA</t>
  </si>
  <si>
    <t>BOHEMIAN COLLAGE STATIONERY SET</t>
  </si>
  <si>
    <t>LE GRAND TRAY CHIC SET</t>
  </si>
  <si>
    <t>WHITE BAMBOO RIBS LAMPSHADE</t>
  </si>
  <si>
    <t>APRON MODERN VINTAGE COTTON</t>
  </si>
  <si>
    <t>DOORSTOP FOOTBALL DESIGN</t>
  </si>
  <si>
    <t>FELTCRAFT HAIRBANDS PINK AND WHITE</t>
  </si>
  <si>
    <t>85162B</t>
  </si>
  <si>
    <t>BLACK RETRODISC LAMPSHADE</t>
  </si>
  <si>
    <t>ZINC FINISH 15CM PLANTER POTS</t>
  </si>
  <si>
    <t>84519B</t>
  </si>
  <si>
    <t>CARROT CHARLIE+LOLA COASTER SET</t>
  </si>
  <si>
    <t>CHILDS GARDEN FORK BLUE</t>
  </si>
  <si>
    <t>VINTAGE JINGLE BELLS HEART</t>
  </si>
  <si>
    <t>WRAP, BILLBOARD FONTS DESIGN</t>
  </si>
  <si>
    <t>SKULLS  DESIGN  COTTON TOTE BAG</t>
  </si>
  <si>
    <t>POSTE FRANCE CUSHION COVER</t>
  </si>
  <si>
    <t>85185B</t>
  </si>
  <si>
    <t>PINK HORSE SOCK PUPPET</t>
  </si>
  <si>
    <t>12 PINK ROSE PEG PLACE SETTINGS</t>
  </si>
  <si>
    <t>DECORATIVE ROSE BATHROOM BOTTLE</t>
  </si>
  <si>
    <t>3 RAFFIA RIBBONS 50'S CHRISTMAS</t>
  </si>
  <si>
    <t>SILVER PLATE CANDLE BOWL LARGE</t>
  </si>
  <si>
    <t>WOOD STAMP SET BEST WISHES</t>
  </si>
  <si>
    <t>85231B</t>
  </si>
  <si>
    <t>CINAMMON SET OF 9 T-LIGHTS</t>
  </si>
  <si>
    <t>CHILDS GARDEN FORK PINK</t>
  </si>
  <si>
    <t>EASTER TIN KEEPSAKE</t>
  </si>
  <si>
    <t>84856S</t>
  </si>
  <si>
    <t>SMALL TAHITI BEACH BAG</t>
  </si>
  <si>
    <t>SET/6 WOODLAND PAPER CUPS</t>
  </si>
  <si>
    <t>SET OF 12 T-LIGHTS VINTAGE DOILY</t>
  </si>
  <si>
    <t>GREEN SPOTTY CUP</t>
  </si>
  <si>
    <t>VINTAGE GLASS T-LIGHT HOLDER</t>
  </si>
  <si>
    <t>LARGE CHINESE STYLE SCISSOR</t>
  </si>
  <si>
    <t>BAKING MOULD ROSE MILK CHOCOLATE</t>
  </si>
  <si>
    <t>SET/6 WOODLAND PAPER PLATES</t>
  </si>
  <si>
    <t>FRENCH BLUE METAL DOOR SIGN 3</t>
  </si>
  <si>
    <t>PACK OF 12 BLUE PAISLEY TISSUES</t>
  </si>
  <si>
    <t>GLASS CAKE STAND</t>
  </si>
  <si>
    <t>BABY MOUSE RED GINGHAM DRESS</t>
  </si>
  <si>
    <t>S/12 VANILLA  BOTANICAL T-LIGHTS</t>
  </si>
  <si>
    <t>SCENTED VELVET LOUNGE CANDLE</t>
  </si>
  <si>
    <t>RED POLKADOT BEAKER</t>
  </si>
  <si>
    <t>FELTCRAFT HAIRBAND RED AND BLUE</t>
  </si>
  <si>
    <t>CERAMIC BIRDHOUSE CRESTED TIT SMALL</t>
  </si>
  <si>
    <t>85232A</t>
  </si>
  <si>
    <t>SET/3 POLKA DOT STACKING TINS</t>
  </si>
  <si>
    <t>WALL ART BUFFALO BILL</t>
  </si>
  <si>
    <t>POTTING SHED SEED ENVELOPES</t>
  </si>
  <si>
    <t>PACK OF 12 50'S CHRISTMAS TISSUES</t>
  </si>
  <si>
    <t>85162C</t>
  </si>
  <si>
    <t>WHITE RETRODISC LAMPSHADE</t>
  </si>
  <si>
    <t>16169E</t>
  </si>
  <si>
    <t>WRAP 50'S  CHRISTMAS</t>
  </si>
  <si>
    <t>FIVE CATS HANGING DECORATION</t>
  </si>
  <si>
    <t>GARDEN PATH JOURNAL</t>
  </si>
  <si>
    <t>FRENCH LAVENDER SCENT HEART</t>
  </si>
  <si>
    <t>HEARTS  STICKERS</t>
  </si>
  <si>
    <t>FRENCH BLUE METAL DOOR SIGN No</t>
  </si>
  <si>
    <t>4 WILDFLOWER BOTANICAL CANDLES</t>
  </si>
  <si>
    <t>SET/6 FROG PRINCE T-LIGHT CANDLES</t>
  </si>
  <si>
    <t>84327A</t>
  </si>
  <si>
    <t>PINK JUMPER LARRY THE LAMB</t>
  </si>
  <si>
    <t>FELTCRAFT HAIRBAND PINK AND BLUE</t>
  </si>
  <si>
    <t>KNICKERBOCKERGLORY MAGNET ASSORTED</t>
  </si>
  <si>
    <t>MAGIC DRAWING SLATE BUNNIES</t>
  </si>
  <si>
    <t>IVORY HANGING DECORATION  BUTTERFLY</t>
  </si>
  <si>
    <t>RETRO SPOT CERAMIC TOASTRACK</t>
  </si>
  <si>
    <t>MINIATURE ANTIQUE ROSE HOOK IVORY</t>
  </si>
  <si>
    <t>85164B</t>
  </si>
  <si>
    <t>BLACK BAROQUE CUCKOO CLOCK</t>
  </si>
  <si>
    <t>84797B</t>
  </si>
  <si>
    <t>BLUE SAVANNAH PICNIC HAMPER FOR 4</t>
  </si>
  <si>
    <t>FILIGREE HEART BIRD WHITE</t>
  </si>
  <si>
    <t>REGENCY TEA SPOON</t>
  </si>
  <si>
    <t>SET/6 FRUIT SALAD  PAPER PLATES</t>
  </si>
  <si>
    <t>CERAMIC BIRDHOUSE FINCH BLUE ROOF</t>
  </si>
  <si>
    <t>BAKING MOULD TOFFEE CUP CHOCOLATE</t>
  </si>
  <si>
    <t>BLUE POLKADOT KIDS BAG</t>
  </si>
  <si>
    <t>FOLK FELT HANGING MULTICOL GARLAND</t>
  </si>
  <si>
    <t>BLUE REFECTORY CLOCK</t>
  </si>
  <si>
    <t>FRENCH BLUE METAL DOOR SIGN 5</t>
  </si>
  <si>
    <t>WOOD AND GLASS MEDICINE CABINET</t>
  </si>
  <si>
    <t>GOLD MUG BONE CHINA TREE OF LIFE</t>
  </si>
  <si>
    <t>TOAST ITS - DINOSAUR</t>
  </si>
  <si>
    <t>79302M</t>
  </si>
  <si>
    <t>ART LIGHTS,FUNK MONKEY</t>
  </si>
  <si>
    <t>SPOTS DESIGN MUG W PINK INSIDE</t>
  </si>
  <si>
    <t>KEEP OUT BOYS DOOR HANGER</t>
  </si>
  <si>
    <t>MINI JIGSAW PURDEY</t>
  </si>
  <si>
    <t>47566b</t>
  </si>
  <si>
    <t>MOODY GIRL DOOR HANGER</t>
  </si>
  <si>
    <t>PETIT TRAY CHIC</t>
  </si>
  <si>
    <t>84507B</t>
  </si>
  <si>
    <t>STRIPES DESIGN MONKEY DOLL</t>
  </si>
  <si>
    <t>MAGIC DRAWING SLATE BAKE A CAKE</t>
  </si>
  <si>
    <t>MIRROR CORNICE</t>
  </si>
  <si>
    <t>HOME SWEET HOME HANGING HEART</t>
  </si>
  <si>
    <t>RED SPOTTY CANDY BAG</t>
  </si>
  <si>
    <t>ROSE DU SUD COSMETICS BAG</t>
  </si>
  <si>
    <t>84535B</t>
  </si>
  <si>
    <t>FAIRY CAKES NOTEBOOK A6 SIZE</t>
  </si>
  <si>
    <t>TOOTHPASTE TUBE PEN</t>
  </si>
  <si>
    <t>MA CAMPAGNE 4 DRAWER WALL SHELF</t>
  </si>
  <si>
    <t>SILVER STARS TABLE DECORATION</t>
  </si>
  <si>
    <t>VINTAGE GLASS COFFEE CADDY</t>
  </si>
  <si>
    <t>MAGIC TREE -PAPER FLOWERS</t>
  </si>
  <si>
    <t>BLUE PAISLEY JOURNAL</t>
  </si>
  <si>
    <t>GLASS ETCHED T-LIGHT HOLDER MEDIUM</t>
  </si>
  <si>
    <t>PIN CUSHION BABUSHKA PINK</t>
  </si>
  <si>
    <t>BULL DOG BOTTLE TOP WALL CLOCK</t>
  </si>
  <si>
    <t>SET 36 COLOUR PENCILS DOLLY GIRL</t>
  </si>
  <si>
    <t>ROUND STORAGE TIN VINTAGE LEAF</t>
  </si>
  <si>
    <t>WHITE SOAP RACK WITH 2 BOTTLES</t>
  </si>
  <si>
    <t>PARTY CHARMS 50 PIECES</t>
  </si>
  <si>
    <t>MULTICOLOUR 3D BALLS GARLAND</t>
  </si>
  <si>
    <t>CHILDS GARDEN RAKE BLUE</t>
  </si>
  <si>
    <t>DO NOT TOUCH MY STUFF DOOR HANGER</t>
  </si>
  <si>
    <t>WOOD STAMP SET HAPPY BIRTHDAY</t>
  </si>
  <si>
    <t>ASSORTED SANSKRIT MINI NOTEBOOK</t>
  </si>
  <si>
    <t>SET/6 COLLAGE PAPER PLATES</t>
  </si>
  <si>
    <t>POTTING SHED SOW 'N' GROW SET</t>
  </si>
  <si>
    <t>FELT TOADSTOOL LARGE</t>
  </si>
  <si>
    <t>MINI FUNKY DESIGN TAPES</t>
  </si>
  <si>
    <t>BANQUET BIRTHDAY  CARD</t>
  </si>
  <si>
    <t>VINTAGE CARAVAN GREETING CARD</t>
  </si>
  <si>
    <t>WOOD FAN WITH FLOWER DESIGN</t>
  </si>
  <si>
    <t>POLKADOT COFFEE CUP &amp; SAUCER PINK</t>
  </si>
  <si>
    <t>BAKING MOULD EASTER EGG WHITE CHOC</t>
  </si>
  <si>
    <t>GEORGIAN TRINKET BOX</t>
  </si>
  <si>
    <t>JINGLE BELL HEART ANTIQUE GOLD</t>
  </si>
  <si>
    <t>47591B</t>
  </si>
  <si>
    <t>SCOTTIES CHILDRENS APRON</t>
  </si>
  <si>
    <t>SPRING FLOWER CHOPSTICKS SET/5</t>
  </si>
  <si>
    <t>84795A</t>
  </si>
  <si>
    <t>PASTEL STRIPE HAMMOCK</t>
  </si>
  <si>
    <t>PING MICROWAVE APRON</t>
  </si>
  <si>
    <t>SMALL SQUARE CUT GLASS CANDLESTICK</t>
  </si>
  <si>
    <t>WHITE HONEYCOMB PAPER GARLAND</t>
  </si>
  <si>
    <t>85014C</t>
  </si>
  <si>
    <t>BLUE/BROWN DOTS RUFFLED UMBRELLA</t>
  </si>
  <si>
    <t>FRENCH BLUE METAL DOOR SIGN 4</t>
  </si>
  <si>
    <t>LETS GO SHOPPING COTTON TOTE BAG</t>
  </si>
  <si>
    <t>FRIDGE MAGNETS US DINER ASSORTED</t>
  </si>
  <si>
    <t>PINK POLKADOT KIDS BAG</t>
  </si>
  <si>
    <t>DINOSAUR HEIGHT CHART STICKER SET</t>
  </si>
  <si>
    <t>17129F</t>
  </si>
  <si>
    <t>BLUE GLASS GEMS IN BAG</t>
  </si>
  <si>
    <t>12 RED ROSE PEG PLACE SETTINGS</t>
  </si>
  <si>
    <t>WRAP COWBOYS</t>
  </si>
  <si>
    <t>JAZZ HEARTS ADDRESS BOOK</t>
  </si>
  <si>
    <t>HAIRCLIPS FORTIES FABRIC ASSORTED</t>
  </si>
  <si>
    <t>SET 12 COLOUR PENCILS DOLLY GIRL</t>
  </si>
  <si>
    <t>SET/4 SPRING FLOWER DECORATION</t>
  </si>
  <si>
    <t>SPACEBOY CHILDRENS EGG CUP</t>
  </si>
  <si>
    <t>46776F</t>
  </si>
  <si>
    <t>WOVEN ROSE GARDEN CUSHION COVER</t>
  </si>
  <si>
    <t>NATURAL BARK CANDLE SMALL</t>
  </si>
  <si>
    <t>HI TEC ALPINE HAND WARMER</t>
  </si>
  <si>
    <t>SET 12 COLOURING PENCILS DOILY</t>
  </si>
  <si>
    <t>35809A</t>
  </si>
  <si>
    <t>ENAMEL PINK TEA CONTAINER</t>
  </si>
  <si>
    <t>SUNFLOWER DECORATIVE PARASOL</t>
  </si>
  <si>
    <t>85039A</t>
  </si>
  <si>
    <t>SET/4 RED MINI ROSE CANDLE IN BOWL</t>
  </si>
  <si>
    <t>PLAYING CARDS I LOVE LONDON</t>
  </si>
  <si>
    <t>SET OF 2 CERAMIC PAINTED HEARTS</t>
  </si>
  <si>
    <t>ETCHED GLASS COASTER</t>
  </si>
  <si>
    <t>MONEY BOX HOUSEKEEPING DESIGN</t>
  </si>
  <si>
    <t>BLUE/CREAM STRIPE CUSHION COVER</t>
  </si>
  <si>
    <t>ASSORTED TUTTI FRUTTI ROUND BOX</t>
  </si>
  <si>
    <t>ASSORTED WHITE EMBOSSED CHINA MUGS</t>
  </si>
  <si>
    <t>HANGING  BUTTERFLY T-LIGHT HOLDER</t>
  </si>
  <si>
    <t>12 DAISY PEGS IN WOOD BOX</t>
  </si>
  <si>
    <t>HEART T-LIGHT HOLDER WILLIE WINKIE</t>
  </si>
  <si>
    <t>RING OF ROSES BIRTHDAY CARD</t>
  </si>
  <si>
    <t>SET/3 CHRISTMAS DECOUPAGE CANDLES</t>
  </si>
  <si>
    <t>CERAMIC BIRDHOUSE BUTTERFLY SMALL</t>
  </si>
  <si>
    <t>SET OF 2 CHRISTMAS DECOUPAGE CANDLE</t>
  </si>
  <si>
    <t>RETROSPOT CANDLE  SMALL</t>
  </si>
  <si>
    <t>DINOSAURS WATER TRANSFER TATTOOS</t>
  </si>
  <si>
    <t>I LOVE LONDON MINI BACKPACK</t>
  </si>
  <si>
    <t>DOOR MAT GREEN PAISLEY</t>
  </si>
  <si>
    <t>CROSS STITCH ALPHABET CUSHION COVER</t>
  </si>
  <si>
    <t>CLASSIC FRENCH STYLE BASKET BROWN</t>
  </si>
  <si>
    <t>RIDGED GLASS POSY VASE</t>
  </si>
  <si>
    <t>RETROSPOT CANDLE  LARGE</t>
  </si>
  <si>
    <t>BLUE GINGHAM ROSE QUILT</t>
  </si>
  <si>
    <t>ZINC TOP  2 DOOR WOODEN SHELF</t>
  </si>
  <si>
    <t>85131A</t>
  </si>
  <si>
    <t>BEADED PEARL HEART WHITE ON STICK</t>
  </si>
  <si>
    <t>RED SPOTTY WASHBAG</t>
  </si>
  <si>
    <t>CHILDRENS TOY COOKING UTENSIL SET</t>
  </si>
  <si>
    <t>FRENCH STYLE WALL DRESSER</t>
  </si>
  <si>
    <t>FOLDING BUTTERFLY MIRROR HOT PINK</t>
  </si>
  <si>
    <t>LAUREL HEART ANTIQUE SILVER</t>
  </si>
  <si>
    <t>35471D</t>
  </si>
  <si>
    <t>SET OF 3 BIRD LIGHT PINK FEATHER</t>
  </si>
  <si>
    <t>TOXIC AREA  DOOR HANGER</t>
  </si>
  <si>
    <t>85180A</t>
  </si>
  <si>
    <t>RED HEARTS LIGHT CHAIN</t>
  </si>
  <si>
    <t>PINK MARSHMALLOW SCARF KNITTING KIT</t>
  </si>
  <si>
    <t>RED VINTAGE SPOT BEAKER</t>
  </si>
  <si>
    <t>ENAMEL BLUE RIM BISCUIT BIN</t>
  </si>
  <si>
    <t>35810A</t>
  </si>
  <si>
    <t>ENAMEL PINK COFFEE CONTAINER</t>
  </si>
  <si>
    <t>CHILDS GARDEN RAKE PINK</t>
  </si>
  <si>
    <t>WOODLAND WATER TRANSFER TATTOOS</t>
  </si>
  <si>
    <t>SWALLOW CIGAR BOX MATCHES</t>
  </si>
  <si>
    <t>SMALL GLASS SUNDAE DISH CLEAR</t>
  </si>
  <si>
    <t>MOROCCAN BEATEN METAL MIRROR</t>
  </si>
  <si>
    <t>CERAMIC BIRDHOUSE CRESTED TIT LARGE</t>
  </si>
  <si>
    <t>84913B</t>
  </si>
  <si>
    <t>MINT GREEN ROSE TOWEL</t>
  </si>
  <si>
    <t>SMALL REGAL  SILVER CANDLEPOT</t>
  </si>
  <si>
    <t>BUDDHA INCENSE HOLDER ASSORTED</t>
  </si>
  <si>
    <t>MIRROR MOSAIC T-LIGHT HOLDER ROUND</t>
  </si>
  <si>
    <t>FELT EGG COSY BLUE RABBIT</t>
  </si>
  <si>
    <t>85170A</t>
  </si>
  <si>
    <t>SET/6 IVORY BIRD T-LIGHT CANDLES</t>
  </si>
  <si>
    <t>BEADED LOVE HEART JEWELLERY SET</t>
  </si>
  <si>
    <t>PACK OF 12 STICKY BUNNIES</t>
  </si>
  <si>
    <t>PINK UNION JACK  LUGGAGE TAG</t>
  </si>
  <si>
    <t>ASSORTED COLOUR SILK COSMETIC PURSE</t>
  </si>
  <si>
    <t>SET 36 COLOUR PENCILS LOVE LONDON</t>
  </si>
  <si>
    <t>CARAVAN SQUARE TISSUE BOX</t>
  </si>
  <si>
    <t>BUTTERFLIES STICKERS</t>
  </si>
  <si>
    <t>HIPPY CHIC DECORATIVE PARASOL</t>
  </si>
  <si>
    <t>SET/6 STRAWBERRY PAPER PLATES</t>
  </si>
  <si>
    <t>72803A</t>
  </si>
  <si>
    <t>ROSE SCENT CANDLE JEWELLED DRAWER</t>
  </si>
  <si>
    <t>WRAP GREEN PEARS</t>
  </si>
  <si>
    <t>15059A</t>
  </si>
  <si>
    <t>ENGLISH ROSE EDWARDIAN PARASOL</t>
  </si>
  <si>
    <t>SET 12 PEAR BOTANICAL T-LIGHTS</t>
  </si>
  <si>
    <t>SET OF 36 DINOSAUR PAPER DOILIES</t>
  </si>
  <si>
    <t>FOLDING UMBRELLA WHITE/RED POLKADOT</t>
  </si>
  <si>
    <t>TWO EMBOSSED HEART MINI DRAWERS</t>
  </si>
  <si>
    <t>CUSHION COVER PINK UNION JACK</t>
  </si>
  <si>
    <t>FRENCH GARDEN SIGN BLUE METAL</t>
  </si>
  <si>
    <t>85194L</t>
  </si>
  <si>
    <t>HANGING SPRING FLOWER EGG LARGE</t>
  </si>
  <si>
    <t>ENCHANTED BIRD PLANT CAGE</t>
  </si>
  <si>
    <t>LARGE STRIPES CHOCOLATE GIFT BAG</t>
  </si>
  <si>
    <t>PENS ASSORTED FUNKY JEWELED</t>
  </si>
  <si>
    <t>FRENCH BLUE METAL DOOR SIGN 6</t>
  </si>
  <si>
    <t>LOLITA  DESIGN  COTTON TOTE BAG</t>
  </si>
  <si>
    <t>UNION STRIPE CUSHION COVER</t>
  </si>
  <si>
    <t>METAL TUBE CHIME ON BAMBOO</t>
  </si>
  <si>
    <t>WOODLAND STORAGE BOX SMALL</t>
  </si>
  <si>
    <t>84536B</t>
  </si>
  <si>
    <t>FAIRY CAKES NOTEBOOK A7 SIZE</t>
  </si>
  <si>
    <t>GARDEN PATH SKETCHBOOK</t>
  </si>
  <si>
    <t>BLACK MINI TAPE MEASURE</t>
  </si>
  <si>
    <t>84795D</t>
  </si>
  <si>
    <t>SEASIDE STRIPE HAMMOCK</t>
  </si>
  <si>
    <t>79323B</t>
  </si>
  <si>
    <t>BLACK CHERRY LIGHTS</t>
  </si>
  <si>
    <t>ANTIQUE GLASS RIDGED HANGING BALL</t>
  </si>
  <si>
    <t>GREEN FERN JOURNAL</t>
  </si>
  <si>
    <t>FILIGREE HEART DAISY WHITE</t>
  </si>
  <si>
    <t>ASSORTED COLOUR SILK COIN PURSE</t>
  </si>
  <si>
    <t>WALL ART HORSE &amp; PONY</t>
  </si>
  <si>
    <t>BLUE CALCULATOR RULER</t>
  </si>
  <si>
    <t>85036B</t>
  </si>
  <si>
    <t>CHOCOLATE 1 WICK MORRIS BOX CANDLE</t>
  </si>
  <si>
    <t>FROSTED BOX 9 WHITE T-LIGHT CANDLES</t>
  </si>
  <si>
    <t>HANGING METAL RABBIT DECORATION</t>
  </si>
  <si>
    <t>BIRD DECORATION GREEN POLKADOT</t>
  </si>
  <si>
    <t>NATURAL BARK CANDLE LARGE</t>
  </si>
  <si>
    <t>VINTAGE KEEPSAKE BOX PARIS DAYS</t>
  </si>
  <si>
    <t>ANGEL DECORATION PAINTED ZINC</t>
  </si>
  <si>
    <t>RAIN PONCHO</t>
  </si>
  <si>
    <t>NOEL GARLAND PAINTED ZINC</t>
  </si>
  <si>
    <t>SET/6 STRAWBERRY PAPER CUPS</t>
  </si>
  <si>
    <t>BLUE POLKADOT COFFEE MUG</t>
  </si>
  <si>
    <t>MINI HIGHLIGHTER PENS</t>
  </si>
  <si>
    <t>BASKET OF FLOWERS SEWING KIT</t>
  </si>
  <si>
    <t>PANTRY PASTRY BRUSH</t>
  </si>
  <si>
    <t>FRENCH BLUE METAL DOOR SIGN 7</t>
  </si>
  <si>
    <t>ROSE DU SUD DRAWSTRING BAG</t>
  </si>
  <si>
    <t>WALL ART SPACEBOY</t>
  </si>
  <si>
    <t>GIANT BLACK SUNGLASSES</t>
  </si>
  <si>
    <t>BATHROOM SET LOVE HEART DESIGN</t>
  </si>
  <si>
    <t>84510B</t>
  </si>
  <si>
    <t>SET OF 4 FAIRY CAKES COASTERS</t>
  </si>
  <si>
    <t>VINTAGE GLASS TEA CADDY</t>
  </si>
  <si>
    <t>CHRISTMAS TABLE SILVER CANDLE SPIKE</t>
  </si>
  <si>
    <t>ETCHED GLASS STAR TREE DECORATION</t>
  </si>
  <si>
    <t>84856L</t>
  </si>
  <si>
    <t>LARGE TAHITI BEACH BAG</t>
  </si>
  <si>
    <t>IVORY WICKER HEART SMALL</t>
  </si>
  <si>
    <t>FRENCH BLUE METAL DOOR SIGN 8</t>
  </si>
  <si>
    <t>85159B</t>
  </si>
  <si>
    <t>WHITE TEA,COFFEE,SUGAR JARS</t>
  </si>
  <si>
    <t>WOODLAND BUNNIES LOLLY MAKERS</t>
  </si>
  <si>
    <t>VINTAGE KITCHEN PRINT VEGETABLES</t>
  </si>
  <si>
    <t>VINTAGE RED MUG</t>
  </si>
  <si>
    <t>85036C</t>
  </si>
  <si>
    <t>ROSE 1 WICK MORRIS BOXED CANDLE</t>
  </si>
  <si>
    <t>84997a</t>
  </si>
  <si>
    <t>CHILDRENS CUTLERY POLKADOT GREEN</t>
  </si>
  <si>
    <t>ASSORTED FARMYARD ANIMALS IN BUCKET</t>
  </si>
  <si>
    <t>18098c</t>
  </si>
  <si>
    <t>SMALL ROUND CUT GLASS CANDLESTICK</t>
  </si>
  <si>
    <t>CARD PSYCHEDELIC APPLES</t>
  </si>
  <si>
    <t>VINTAGE RED TRIM ENAMEL BOWL</t>
  </si>
  <si>
    <t>LILAC DIAMANTE PEN IN GIFT BOX</t>
  </si>
  <si>
    <t>RIBBONS PURSE</t>
  </si>
  <si>
    <t>PINK  HEART CONFETTI IN TUBE</t>
  </si>
  <si>
    <t>79030G</t>
  </si>
  <si>
    <t>TUMBLER, NEW ENGLAND</t>
  </si>
  <si>
    <t>POTTING SHED COFFEE MUG</t>
  </si>
  <si>
    <t>84659A</t>
  </si>
  <si>
    <t>WHITE TRAVEL ALARM CLOCK</t>
  </si>
  <si>
    <t>SET OF 4 SANTA PLACE SETTINGS</t>
  </si>
  <si>
    <t>YELLOW COAT RACK PARIS FASHION</t>
  </si>
  <si>
    <t>SILVER MINI TAPE MEASURE</t>
  </si>
  <si>
    <t>CHRISTMAS TREE DECORATION WITH BELL</t>
  </si>
  <si>
    <t>ASSORTED BOTTLE TOP  MAGNETS</t>
  </si>
  <si>
    <t>COUNTRY COTTAGE  DOORSTOP GREEN</t>
  </si>
  <si>
    <t>SET 12 COLOUR PENCILS LOVE LONDON</t>
  </si>
  <si>
    <t>GLASS SPHERE CANDLE STAND MEDIUM</t>
  </si>
  <si>
    <t>COSY SLIPPER SHOES SMALL GREEN</t>
  </si>
  <si>
    <t>DRAWER KNOB CERAMIC BLACK</t>
  </si>
  <si>
    <t>15056bl</t>
  </si>
  <si>
    <t>KITCHEN FLOWER POTS WALL PLAQUE</t>
  </si>
  <si>
    <t>PAPERWEIGHT CHILDHOOD MEMORIES</t>
  </si>
  <si>
    <t>85136C</t>
  </si>
  <si>
    <t>RED SHARK HELICOPTER</t>
  </si>
  <si>
    <t>CIRCUS PARADE CHILDRENS EGG CUP</t>
  </si>
  <si>
    <t>ASSORTED TUTTI FRUTTI HEART BOX</t>
  </si>
  <si>
    <t>85049a</t>
  </si>
  <si>
    <t>FRENCH ENAMEL UTENSIL HOLDER</t>
  </si>
  <si>
    <t>VINTAGE CARAVAN GIFT WRAP</t>
  </si>
  <si>
    <t>DECORATION WHITE CHICK MAGIC GARDEN</t>
  </si>
  <si>
    <t>BUNNY WOODEN PAINTED WITH BIRD</t>
  </si>
  <si>
    <t xml:space="preserve">DECORATION , WOBBLY CHICKEN, METAL </t>
  </si>
  <si>
    <t>84313C</t>
  </si>
  <si>
    <t>ORANGE TV TRAY TABLE</t>
  </si>
  <si>
    <t>GLITTER CHRISTMAS TREE WITH BELLS</t>
  </si>
  <si>
    <t>84596G</t>
  </si>
  <si>
    <t>SMALL CHOCOLATES PINK BOWL</t>
  </si>
  <si>
    <t>MIRROR MOSAIC HURRICANE LAMP</t>
  </si>
  <si>
    <t>CARD SUKI BIRTHDAY</t>
  </si>
  <si>
    <t>SET/20 FRUIT SALAD PAPER NAPKINS</t>
  </si>
  <si>
    <t>35637A</t>
  </si>
  <si>
    <t>IVORY STRING CURTAIN WITH POLE</t>
  </si>
  <si>
    <t>WHITE CHRISTMAS STAR DECORATION</t>
  </si>
  <si>
    <t>BOOM BOX SPEAKER GIRLS</t>
  </si>
  <si>
    <t>SPACEBOY ROCKET LOLLY MAKERS</t>
  </si>
  <si>
    <t>200 BENDY SKULL STRAWS</t>
  </si>
  <si>
    <t>ZINC  STAR T-LIGHT HOLDER</t>
  </si>
  <si>
    <t>85167B</t>
  </si>
  <si>
    <t>BLACK GRAND BAROQUE PHOTO FRAME</t>
  </si>
  <si>
    <t>MAGNETS PACK OF 4 RETRO PHOTO</t>
  </si>
  <si>
    <t>85098B</t>
  </si>
  <si>
    <t>BLUE FLYING SINGING CANARY</t>
  </si>
  <si>
    <t>CARD HOLDER LOVE BIRD LARGE</t>
  </si>
  <si>
    <t>BLUE PAISLEY SKETCHBOOK</t>
  </si>
  <si>
    <t>DAIRY MAID SUGAR JAM BOWL</t>
  </si>
  <si>
    <t>35004G</t>
  </si>
  <si>
    <t>SET OF 3 GOLD FLYING DUCKS</t>
  </si>
  <si>
    <t>MOODY BOY  DOOR HANGER</t>
  </si>
  <si>
    <t>BIRTHDAY CARD, RETRO SPOT</t>
  </si>
  <si>
    <t>ASSORTED MINI MADRAS NOTEBOOK</t>
  </si>
  <si>
    <t>LARGE PINK GLASS SUNDAE DISH</t>
  </si>
  <si>
    <t>WHITE HEART CONFETTI IN TUBE</t>
  </si>
  <si>
    <t>SMALL STRIPES CHOCOLATE GIFT BAG</t>
  </si>
  <si>
    <t>SILVER ROCCOCO CHANDELIER</t>
  </si>
  <si>
    <t>ANGEL DECORATION WITH LACE PADDED</t>
  </si>
  <si>
    <t>FOLKART HEART NAPKIN RINGS</t>
  </si>
  <si>
    <t>WALL ART ANIMALS AND NATURE</t>
  </si>
  <si>
    <t>IVORY CAFE HANGING LAMP</t>
  </si>
  <si>
    <t>EIGHT PIECE SNAKE  SET</t>
  </si>
  <si>
    <t>MINI JIGSAW BUNNIES</t>
  </si>
  <si>
    <t>TOAST ITS - HAPPY BIRTHDAY</t>
  </si>
  <si>
    <t>WAY OUT METAL SIGN</t>
  </si>
  <si>
    <t>VINTAGE RED ENAMEL TRIM PLATE</t>
  </si>
  <si>
    <t>PAPER LANTERN 9 POINT SNOW STAR</t>
  </si>
  <si>
    <t>BLUE POLKADOT BEAKER</t>
  </si>
  <si>
    <t>47503A</t>
  </si>
  <si>
    <t>ASS FLORAL PRINT MULTI SCREWDRIVER</t>
  </si>
  <si>
    <t>47503K</t>
  </si>
  <si>
    <t>ASSORTED FLORAL SECATEURS</t>
  </si>
  <si>
    <t>GLITTER SNOW PEAR TREE DECORATION</t>
  </si>
  <si>
    <t>CANDY SPOT CUSHION COVER</t>
  </si>
  <si>
    <t>85169A</t>
  </si>
  <si>
    <t>IVORY LOVE BIRD CANDLE</t>
  </si>
  <si>
    <t>ROCOCO WALL MIRROR WHITE</t>
  </si>
  <si>
    <t>DECORATION  BUTTERFLY  MAGIC GARDEN</t>
  </si>
  <si>
    <t>CARD GINGHAM ROSE</t>
  </si>
  <si>
    <t>VINTAGE KITCHEN PRINT PUDDINGS</t>
  </si>
  <si>
    <t>90200D</t>
  </si>
  <si>
    <t>PINK SWEETHEART BRACELET</t>
  </si>
  <si>
    <t>MOTORING TISSUE BOX</t>
  </si>
  <si>
    <t>HERB MARKER ROSEMARY</t>
  </si>
  <si>
    <t>FRENCH BLUE METAL DOOR SIGN 0</t>
  </si>
  <si>
    <t>LARGE YELLOW BABUSHKA NOTEBOOK</t>
  </si>
  <si>
    <t>6 HOOK JEWELLERY STAND BLACK DRESS</t>
  </si>
  <si>
    <t>PACK OF 12 VINTAGE CHRISTMAS TISSUE</t>
  </si>
  <si>
    <t>85017B</t>
  </si>
  <si>
    <t>ENVELOPE 50 BLOSSOM IMAGES</t>
  </si>
  <si>
    <t>PACK OF 6 LARGE FRUIT STRAWS</t>
  </si>
  <si>
    <t>84562A</t>
  </si>
  <si>
    <t>PINK/WHITE RIBBED MELAMINE JUG</t>
  </si>
  <si>
    <t>12 ASS ZINC CHRISTMAS DECORATIONS</t>
  </si>
  <si>
    <t>WRAP PAISLEY PARK</t>
  </si>
  <si>
    <t>SILVER DIAMANTE PEN IN GIFT BOX</t>
  </si>
  <si>
    <t>MR ROBOT SOFT TOY</t>
  </si>
  <si>
    <t>46776B</t>
  </si>
  <si>
    <t>WOVEN BERRIES CUSHION COVER</t>
  </si>
  <si>
    <t>35599D</t>
  </si>
  <si>
    <t>PINK AND WHITE CHRISTMAS TREE 120CM</t>
  </si>
  <si>
    <t>BEACH HUT KEY CABINET</t>
  </si>
  <si>
    <t>PAPERWEIGHT VINTAGE COLLAGE</t>
  </si>
  <si>
    <t>VINTAGE BEAD COSMETIC BAG</t>
  </si>
  <si>
    <t>HERB MARKER BASIL</t>
  </si>
  <si>
    <t>84965B</t>
  </si>
  <si>
    <t>BLUE KASHMIRI COFFEE TABLE</t>
  </si>
  <si>
    <t>DANISH ROSE ROUND SEWING BOX</t>
  </si>
  <si>
    <t>TRAVEL CARD WALLET TRANSPORT</t>
  </si>
  <si>
    <t>HERB MARKER THYME</t>
  </si>
  <si>
    <t>SMALL MEDINA STAMPED METAL BOWL</t>
  </si>
  <si>
    <t>CARD HOLDER LOVE BIRD SMALL</t>
  </si>
  <si>
    <t>VINTAGE EMBOSSED HEART</t>
  </si>
  <si>
    <t>TOP SECRET PEN SET</t>
  </si>
  <si>
    <t>17129D</t>
  </si>
  <si>
    <t>CLEAR COLOUR GLASS GEMS IN BAG</t>
  </si>
  <si>
    <t>COSY SLIPPER SHOES SMALL  RED</t>
  </si>
  <si>
    <t>MULTICOLOUR HONEYCOMB FAN</t>
  </si>
  <si>
    <t>DAIRY MAID TOASTRACK</t>
  </si>
  <si>
    <t>JARDIN ETCHED GLASS FRUITBOWL</t>
  </si>
  <si>
    <t>EGG CUP NATURAL CHICKEN</t>
  </si>
  <si>
    <t>BLACK EAR MUFF HEADPHONES</t>
  </si>
  <si>
    <t>ZINC BOX SIGN HOME</t>
  </si>
  <si>
    <t>PARTY INVITES DINOSAURS</t>
  </si>
  <si>
    <t>WALL ART VINTAGE HEART</t>
  </si>
  <si>
    <t>JAZZ HEARTS MEMO PAD</t>
  </si>
  <si>
    <t>85032D</t>
  </si>
  <si>
    <t>YULETIDE IMAGES GIFT WRAP SET</t>
  </si>
  <si>
    <t>PINK PAISLEY ROSE GIFT WRAP</t>
  </si>
  <si>
    <t>VINTAGE KITCHEN PRINT SEAFOOD</t>
  </si>
  <si>
    <t>FRENCH BLUE METAL DOOR SIGN 9</t>
  </si>
  <si>
    <t>RABBIT  DESIGN  COTTON TOTE BAG</t>
  </si>
  <si>
    <t>YELLOW POT PLANT CANDLE</t>
  </si>
  <si>
    <t>GREEN FERN SKETCHBOOK</t>
  </si>
  <si>
    <t>BLUE SCANDINAVIAN PAISLEY WRAP</t>
  </si>
  <si>
    <t>DECORATIVE FLORE BATHROOM BOTTLE</t>
  </si>
  <si>
    <t>85032A</t>
  </si>
  <si>
    <t>ROMANTIC IMAGES GIFT WRAP SET</t>
  </si>
  <si>
    <t>REINDEER HEART DECORATION SILVER</t>
  </si>
  <si>
    <t>PAPER POCKET TRAVELING FAN</t>
  </si>
  <si>
    <t>47593B</t>
  </si>
  <si>
    <t>SCOTTIE DOGS BABY BIB</t>
  </si>
  <si>
    <t>BUNNY EGG BOX</t>
  </si>
  <si>
    <t>HOME SWEET HOME 2 DRAWER CABINET</t>
  </si>
  <si>
    <t>CHRISTMAS TREE PAINTED ZINC</t>
  </si>
  <si>
    <t>HERB MARKER PARSLEY</t>
  </si>
  <si>
    <t>85071B</t>
  </si>
  <si>
    <t>RED CHARLIE+LOLA PERSONAL DOORSIGN</t>
  </si>
  <si>
    <t>STRAWBERRIES  DESIGN FLANNEL</t>
  </si>
  <si>
    <t>CLEAR MILKSHAKE GLASS</t>
  </si>
  <si>
    <t>DOLLY GIRL CHILDRENS EGG CUP</t>
  </si>
  <si>
    <t>GARDEN PATH POCKET BOOK</t>
  </si>
  <si>
    <t>RECYCLED PENCIL WITH RABBIT ERASER</t>
  </si>
  <si>
    <t>VINTAGE CHRISTMAS PAPER GIFT BAG</t>
  </si>
  <si>
    <t>BLACK TEA TOWEL CLASSIC DESIGN</t>
  </si>
  <si>
    <t>35598D</t>
  </si>
  <si>
    <t>PINK/WHITE CHRISTMAS TREE 60CM</t>
  </si>
  <si>
    <t>85135C</t>
  </si>
  <si>
    <t>RED DRAGONFLY HELICOPTER</t>
  </si>
  <si>
    <t>FRENCH STYLE EMBOSSED HEART CABINET</t>
  </si>
  <si>
    <t>PINK HEART CANDY BUTTON CALCULATOR</t>
  </si>
  <si>
    <t>84569D</t>
  </si>
  <si>
    <t>PACK 6 HEART/ICE-CREAM PATCHES</t>
  </si>
  <si>
    <t>MINI CAKE STAND T-LIGHT HOLDER</t>
  </si>
  <si>
    <t>SET/4 BADGES BALLOON GIRL</t>
  </si>
  <si>
    <t>GREEN MINI TAPE MEASURE</t>
  </si>
  <si>
    <t>RED/CREAM STRIPE CUSHION COVER</t>
  </si>
  <si>
    <t>RETROSPOT CANDLE  MEDIUM</t>
  </si>
  <si>
    <t>FELT FARM ANIMAL RABBIT</t>
  </si>
  <si>
    <t>85170D</t>
  </si>
  <si>
    <t>SET/6 PINK BIRD T-LIGHT CANDLES</t>
  </si>
  <si>
    <t>SWALLOW SQUARE TISSUE BOX</t>
  </si>
  <si>
    <t>EASTER DECORATION EGG BUNNY</t>
  </si>
  <si>
    <t>PINK DOG BOWL</t>
  </si>
  <si>
    <t>17091A</t>
  </si>
  <si>
    <t>LAVENDER INCENSE IN TIN</t>
  </si>
  <si>
    <t>TALL ROCOCO CANDLE HOLDER</t>
  </si>
  <si>
    <t>85025C</t>
  </si>
  <si>
    <t>PINK HEART SHAPE PHOTO FRAME</t>
  </si>
  <si>
    <t>72800B</t>
  </si>
  <si>
    <t>4 PURPLE FLOCK DINNER CANDLES</t>
  </si>
  <si>
    <t>82613D</t>
  </si>
  <si>
    <t>METAL SIGN CUPCAKE SINGLE HOOK</t>
  </si>
  <si>
    <t>46776A</t>
  </si>
  <si>
    <t>WOVEN BUBBLE GUM CUSHION COVER</t>
  </si>
  <si>
    <t>46775E</t>
  </si>
  <si>
    <t>CANDY POP CHUNKY KNITTED THROW</t>
  </si>
  <si>
    <t>DOOR HANGER  MUM + DADS ROOM</t>
  </si>
  <si>
    <t>MINI JIGSAW BAKE A CAKE</t>
  </si>
  <si>
    <t>TRAVEL CARD WALLET VINTAGE LEAF</t>
  </si>
  <si>
    <t>CANDLE PLATE LACE WHITE</t>
  </si>
  <si>
    <t>CHRISTMAS DECOUPAGE CANDLE</t>
  </si>
  <si>
    <t>EASTER DECORATION SITTING BUNNY</t>
  </si>
  <si>
    <t>RATTLE SNAKE EGGS</t>
  </si>
  <si>
    <t>METAL WALL SHELF UNIT WITH HOOKS</t>
  </si>
  <si>
    <t>47591d</t>
  </si>
  <si>
    <t>RED RETROSPOT TAPE</t>
  </si>
  <si>
    <t>SILVER VANILLA  FLOWER CANDLE POT</t>
  </si>
  <si>
    <t>85231G</t>
  </si>
  <si>
    <t>ORANGE SCENTED SET/9 T-LIGHTS</t>
  </si>
  <si>
    <t>85163B</t>
  </si>
  <si>
    <t>BLACK BAROQUE WALL CLOCK</t>
  </si>
  <si>
    <t>PINK HEARTS PAPER GARLAND</t>
  </si>
  <si>
    <t>CHRYSANTHEMUM SKETCHBOOK</t>
  </si>
  <si>
    <t>SCHOOL DESK AND CHAIR</t>
  </si>
  <si>
    <t>CERAMIC BIRDHOUSE RED ROOF SMALL</t>
  </si>
  <si>
    <t>CHRYSANTHEMUM NOTEBOOK</t>
  </si>
  <si>
    <t>STANDING METAL RABBIT WITH EGG</t>
  </si>
  <si>
    <t>SNOWSTORM PHOTO FRAME FRIDGE MAGNET</t>
  </si>
  <si>
    <t>77101A</t>
  </si>
  <si>
    <t>UNION FLAG WINDSOCK</t>
  </si>
  <si>
    <t>CERAMIC BOWL WITH LOVE HEART DESIGN</t>
  </si>
  <si>
    <t>PARTY INVITES JAZZ HEARTS</t>
  </si>
  <si>
    <t>EMBROIDERED RIBBON REEL EMILY</t>
  </si>
  <si>
    <t>POCKET BAG PINK PAISELY BROWN SPOT</t>
  </si>
  <si>
    <t>POSY CANDY BAG</t>
  </si>
  <si>
    <t>VINTAGE BEAD PINK PURSE</t>
  </si>
  <si>
    <t>JIGSAW TOADSTOOLS 3 PIECE</t>
  </si>
  <si>
    <t>HERB MARKER MINT</t>
  </si>
  <si>
    <t>84967B</t>
  </si>
  <si>
    <t>BLUE KASHMIRI OCCASIONAL TABLE</t>
  </si>
  <si>
    <t>HANGING ENGRAVED METAL HEART</t>
  </si>
  <si>
    <t>BEADED CHANDELIER T-LIGHT HOLDER</t>
  </si>
  <si>
    <t>FRIDGE MAGNETS LA VIE EN ROSE</t>
  </si>
  <si>
    <t>SET/6 FRUIT SALAD PAPER CUPS</t>
  </si>
  <si>
    <t>SQUARE CHERRY BLOSSOM CABINET</t>
  </si>
  <si>
    <t>BLUE ROSE FABRIC MIRROR</t>
  </si>
  <si>
    <t>CRAZY DAISY HEART DECORATION</t>
  </si>
  <si>
    <t>SET OF 6 T-LIGHTS EASTER CHICKS</t>
  </si>
  <si>
    <t>SMALLFOLKART BAUBLE CHRISTMAS DEC</t>
  </si>
  <si>
    <t>ANTIQUE GLASS PLACE SETTING</t>
  </si>
  <si>
    <t>BLACK CHAMPAGNE GLASS</t>
  </si>
  <si>
    <t>GOLD MINI TAPE MEASURE</t>
  </si>
  <si>
    <t>BEACH HUT DESIGN BLACKBOARD</t>
  </si>
  <si>
    <t>FRIDGE MAGNETS LES ENFANTS ASSORTED</t>
  </si>
  <si>
    <t>TUB 24 HANGING EASTER EGGS SPOTTY</t>
  </si>
  <si>
    <t>GOLD WINE GLASS</t>
  </si>
  <si>
    <t>SET OF PICTURE FRAME  STICKERS</t>
  </si>
  <si>
    <t>84910A</t>
  </si>
  <si>
    <t>PINK PAISLEY CUSHION COVER</t>
  </si>
  <si>
    <t>GLASS CAKE STAND MIRRORED BASE</t>
  </si>
  <si>
    <t>WALL ART LOVES' SECRET</t>
  </si>
  <si>
    <t>WHITE STITCHED CUSHION COVER</t>
  </si>
  <si>
    <t>HERB MARKER CHIVES</t>
  </si>
  <si>
    <t>SINGLE WIRE HOOK IVORY HEART</t>
  </si>
  <si>
    <t>SKULLS STORAGE BOX LARGE</t>
  </si>
  <si>
    <t>85135B</t>
  </si>
  <si>
    <t>BLUE DRAGONFLY HELICOPTER</t>
  </si>
  <si>
    <t>PAPER BUNTING VINTAGE PARTY</t>
  </si>
  <si>
    <t>85130A</t>
  </si>
  <si>
    <t>BEADED PEARL HEART WHITE LARGE</t>
  </si>
  <si>
    <t>T-LIGHT HOLDER WHITE LACE</t>
  </si>
  <si>
    <t>SET OF THREE 50'S GIFT WRAPS</t>
  </si>
  <si>
    <t>85162A</t>
  </si>
  <si>
    <t>SILVER RETRODISC LAMPSHADE</t>
  </si>
  <si>
    <t>VINTAGE KITCHEN PRINT FRUITS</t>
  </si>
  <si>
    <t>EASTER DECORATION NATURAL CHICK</t>
  </si>
  <si>
    <t>IVORY WIRE KITCHEN ORGANISER</t>
  </si>
  <si>
    <t>DANISH ROSE FOLDING CHAIR</t>
  </si>
  <si>
    <t>CHRYSANTHEMUM  JOURNAL</t>
  </si>
  <si>
    <t>HOUSE WRECKING METAL SIGN</t>
  </si>
  <si>
    <t>RED SPOTTY EGG CUP</t>
  </si>
  <si>
    <t>COLOURFUL STANDING GNOME</t>
  </si>
  <si>
    <t>85159A</t>
  </si>
  <si>
    <t>BLACK TEA,COFFEE,SUGAR JARS</t>
  </si>
  <si>
    <t>BEACH HUT SHELF W 3 DRAWERS</t>
  </si>
  <si>
    <t>79066K</t>
  </si>
  <si>
    <t>RETRO MOD TRAY</t>
  </si>
  <si>
    <t>SET OF 3 DANISH ROSE PLANTERS</t>
  </si>
  <si>
    <t>STARS GIFT TAPE</t>
  </si>
  <si>
    <t>85129D</t>
  </si>
  <si>
    <t>BEADED CRYSTAL HEART PINK SMALL</t>
  </si>
  <si>
    <t>FENG SHUI PILLAR CANDLE</t>
  </si>
  <si>
    <t>MAGNETS PACK OF 4 VINTAGE LABELS</t>
  </si>
  <si>
    <t>84559A</t>
  </si>
  <si>
    <t>3D SHEET OF DOG STICKERS</t>
  </si>
  <si>
    <t>FELT FARM ANIMAL CHICKEN</t>
  </si>
  <si>
    <t>ASSORTED TUTTI FRUTTI BRACELET</t>
  </si>
  <si>
    <t>47503E</t>
  </si>
  <si>
    <t>ASS FLORAL PRINT SCISSORS</t>
  </si>
  <si>
    <t>LARGE CHUNKY GLASS ROMAN BOWL</t>
  </si>
  <si>
    <t>Next Day Carriage</t>
  </si>
  <si>
    <t>BIRDCAGE DECORATION TEALIGHT HOLDER</t>
  </si>
  <si>
    <t>WHITE CHRISTMAS HEART DECORATION</t>
  </si>
  <si>
    <t>CHEST 7 DRAWER MA CAMPAGNE</t>
  </si>
  <si>
    <t>CUPID DESIGN SCENTED CANDLES</t>
  </si>
  <si>
    <t>DRAWER KNOB VINTAGE GLASS STAR</t>
  </si>
  <si>
    <t>84625A</t>
  </si>
  <si>
    <t>PINK NEW BAROQUECANDLESTICK CANDLE</t>
  </si>
  <si>
    <t>CALENDAR FAMILY FAVOURITES</t>
  </si>
  <si>
    <t>SET/4 COLOURFUL MIXING BOWLS</t>
  </si>
  <si>
    <t>LAVENDER TOILETTE BOTTLE</t>
  </si>
  <si>
    <t>FLYING PIG WATERING CAN</t>
  </si>
  <si>
    <t>NATURAL HANGING QUILTED HEARTS</t>
  </si>
  <si>
    <t>MINI PLAYING CARDS DOLLY GIRL</t>
  </si>
  <si>
    <t>EMBROIDERED RIBBON REEL DAISY</t>
  </si>
  <si>
    <t>6 CROCHET STRAWBERRIES</t>
  </si>
  <si>
    <t>84313B</t>
  </si>
  <si>
    <t>BLUE TV TRAY TABLE</t>
  </si>
  <si>
    <t>SET OF 2 CERAMIC CHRISTMAS TREES</t>
  </si>
  <si>
    <t>ASSORTED TUTTI FRUTTI PHOTO FRAME</t>
  </si>
  <si>
    <t>FELT FARM ANIMAL WHITE BUNNY</t>
  </si>
  <si>
    <t>EGG CUP MILKMAID HEIDI</t>
  </si>
  <si>
    <t>85071A</t>
  </si>
  <si>
    <t>BLUE CHARLIE+LOLA PERSONAL DOORSIGN</t>
  </si>
  <si>
    <t>MINI PLAYING CARDS BUFFALO BILL</t>
  </si>
  <si>
    <t>BIRTHDAY BANQUET GIFT WRAP</t>
  </si>
  <si>
    <t>CARD PARTY GAMES</t>
  </si>
  <si>
    <t>WALL ART TREASURE AHOY</t>
  </si>
  <si>
    <t>HOME SWEET HOME 3 PEG HANGER</t>
  </si>
  <si>
    <t>SMALL CHUNKY GLASS ROMAN  BOWL</t>
  </si>
  <si>
    <t>PINK POT PLANT CANDLE</t>
  </si>
  <si>
    <t>GREEN GOOSE FEATHER CHRISTMAS TREE</t>
  </si>
  <si>
    <t>SET/12 TAPER CANDLES</t>
  </si>
  <si>
    <t>LARGE ENGLISH ARBORETUM</t>
  </si>
  <si>
    <t>BOTANICAL ROSE GIFT WRAP</t>
  </si>
  <si>
    <t>84750A</t>
  </si>
  <si>
    <t>PINK SMALL GLASS CAKE STAND</t>
  </si>
  <si>
    <t>PACK OF 12 CIRCUS PARADE TISSUES</t>
  </si>
  <si>
    <t>84596E</t>
  </si>
  <si>
    <t>SMALL LICORICE DES PINK BOWL</t>
  </si>
  <si>
    <t>84750B</t>
  </si>
  <si>
    <t>BLACK SMALL GLASS CAKE STAND</t>
  </si>
  <si>
    <t>MIRRORED WALL ART PHOTO FRAMES</t>
  </si>
  <si>
    <t>MINI PLAYING CARDS SPACEBOY</t>
  </si>
  <si>
    <t>CARD WEDDING DAY</t>
  </si>
  <si>
    <t>CARD CAT AND TREE</t>
  </si>
  <si>
    <t>VIPPASSPORT COVER</t>
  </si>
  <si>
    <t>PERIWINKLE T-LIGHT HOLDER</t>
  </si>
  <si>
    <t>CERAMIC STRAWBERRY TRINKET TRAY</t>
  </si>
  <si>
    <t>ASSORTED COLOUR SILK GLASSES CASE</t>
  </si>
  <si>
    <t>RED FLOCK LOVE HEART PHOTO FRAME</t>
  </si>
  <si>
    <t>MINI PAINTED GARDEN DECORATION</t>
  </si>
  <si>
    <t>VINTAGE WOODEN BAR STOOL</t>
  </si>
  <si>
    <t>37482B</t>
  </si>
  <si>
    <t>CUBIC MUG BLUE POLKA DOT</t>
  </si>
  <si>
    <t>CHRISTMAS MUSICAL ZINC TREE</t>
  </si>
  <si>
    <t>MODERN VINTAGE COTTON SHOPPING BAG</t>
  </si>
  <si>
    <t>HEART T-LIGHT HOLDER</t>
  </si>
  <si>
    <t>GREEN CAT FLORAL CUSHION COVER</t>
  </si>
  <si>
    <t>85124C</t>
  </si>
  <si>
    <t>GREEN JUICY FRUIT PHOTO FRAME</t>
  </si>
  <si>
    <t>48173c</t>
  </si>
  <si>
    <t>ETCHED GLASS BIRD TREE DECORATION</t>
  </si>
  <si>
    <t>85136A</t>
  </si>
  <si>
    <t>YELLOW SHARK HELICOPTER</t>
  </si>
  <si>
    <t>JIGSAW RABBIT AND BIRDHOUSE</t>
  </si>
  <si>
    <t>SET/3 POT PLANT CANDLES</t>
  </si>
  <si>
    <t>RED HEART LUGGAGE TAG</t>
  </si>
  <si>
    <t>MINI PLAYING CARDS GYMKHANA</t>
  </si>
  <si>
    <t>ASSORTED LAQUERED INCENSE HOLDERS</t>
  </si>
  <si>
    <t>CHERUB HEART DECORATION SILVER</t>
  </si>
  <si>
    <t>CLASSICAL ROSE SMALL VASE</t>
  </si>
  <si>
    <t>SKULLS DESIGN FLANNEL</t>
  </si>
  <si>
    <t>TRELLIS COAT RACK</t>
  </si>
  <si>
    <t>47504H</t>
  </si>
  <si>
    <t>ENGLISH ROSE SPIRIT LEVEL</t>
  </si>
  <si>
    <t>RIDGED GLASS T-LIGHT HOLDER</t>
  </si>
  <si>
    <t>50'S CHRISTMAS PAPER GIFT BAG</t>
  </si>
  <si>
    <t>KITTENS DESIGN FLANNEL</t>
  </si>
  <si>
    <t>JIGSAW TREE WITH WATERING CAN</t>
  </si>
  <si>
    <t>EMBROIDERED RIBBON REEL SUSIE</t>
  </si>
  <si>
    <t>SMALL KITCHEN FLOWER POTS PLAQUE</t>
  </si>
  <si>
    <t>MAGIC DRAWING SLATE LEAP FROG</t>
  </si>
  <si>
    <t>GOLD STANDING GNOME</t>
  </si>
  <si>
    <t>FELT TOADSTOOL  SMALL</t>
  </si>
  <si>
    <t>FRUIT TREE AND BIRDS WALL PLAQUE</t>
  </si>
  <si>
    <t>MA CAMPAGNE MINI WOODEN CHEST</t>
  </si>
  <si>
    <t>FLOOR LAMP SHADE WOOD BASE</t>
  </si>
  <si>
    <t>HANGING BAUBLE T-LIGHT HOLDER SMALL</t>
  </si>
  <si>
    <t>37479B</t>
  </si>
  <si>
    <t>CUBIC MUG FLOCK BLUE ON BROWN</t>
  </si>
  <si>
    <t>TRAVEL CARD WALLET UNION JACK</t>
  </si>
  <si>
    <t>84989A</t>
  </si>
  <si>
    <t>75 GREEN FAIRY CAKE CASES</t>
  </si>
  <si>
    <t>PINK ROSE FABRIC MIRROR</t>
  </si>
  <si>
    <t>85131D</t>
  </si>
  <si>
    <t>BEADED CRYSTAL HEART PINK ON STICK</t>
  </si>
  <si>
    <t>CANDY SPOT EGG WARMER HARE</t>
  </si>
  <si>
    <t>MUMMY MOUSE RED GINGHAM RIBBON</t>
  </si>
  <si>
    <t>ZINC  HEART T-LIGHT HOLDER</t>
  </si>
  <si>
    <t>BLUE PAISLEY POCKET BOOK</t>
  </si>
  <si>
    <t>PRETTY HANGING QUILTED HEARTS</t>
  </si>
  <si>
    <t>84509C</t>
  </si>
  <si>
    <t>SET OF 4 POLKADOT PLACEMATS</t>
  </si>
  <si>
    <t>WRAP WEDDING DAY</t>
  </si>
  <si>
    <t>SILVER HEARTS TABLE DECORATION</t>
  </si>
  <si>
    <t>GLITTER CHRISTMAS TREE</t>
  </si>
  <si>
    <t>PANTRY CHOPPING BOARD</t>
  </si>
  <si>
    <t>SET/3 TALL GLASS CANDLE HOLDER PINK</t>
  </si>
  <si>
    <t>STAR  T-LIGHT HOLDER</t>
  </si>
  <si>
    <t>HANGING QUILTED PATCHWORK APPLES</t>
  </si>
  <si>
    <t>DANISH ROSE BEDSIDE CABINET</t>
  </si>
  <si>
    <t>BLUE POLKADOT PASSPORT COVER</t>
  </si>
  <si>
    <t>VINTAGE PINK DECORATIVE PARASOL</t>
  </si>
  <si>
    <t>METAL SIGN HIS DINNER IS SERVED</t>
  </si>
  <si>
    <t>EIGHT PIECE CREEPY CRAWLIE SET</t>
  </si>
  <si>
    <t>85163A</t>
  </si>
  <si>
    <t>WHITE BAROQUE WALL CLOCK</t>
  </si>
  <si>
    <t>VINTAGE SHELLS PRINT</t>
  </si>
  <si>
    <t>3 WICK CHRISTMAS BRIAR CANDLE</t>
  </si>
  <si>
    <t>72800F</t>
  </si>
  <si>
    <t>4 IVORY DINNER CANDLES GOLD FLOCK</t>
  </si>
  <si>
    <t>DRAWER KNOB CERAMIC RED</t>
  </si>
  <si>
    <t>EASTER TIN CHICKS PINK DAISY</t>
  </si>
  <si>
    <t>84559B</t>
  </si>
  <si>
    <t>3D SHEET OF CAT STICKERS</t>
  </si>
  <si>
    <t>MIRROR MOSAIC GOBLET CANDLE HOLDER</t>
  </si>
  <si>
    <t>EMBROIDERED RIBBON REEL SOPHIE</t>
  </si>
  <si>
    <t>DECORATIVE WICKER HEART SMALL</t>
  </si>
  <si>
    <t>85179B</t>
  </si>
  <si>
    <t>WHITE BITTY LIGHT CHAIN</t>
  </si>
  <si>
    <t>79191C</t>
  </si>
  <si>
    <t>RETRO PLASTIC ELEPHANT TRAY</t>
  </si>
  <si>
    <t>ASSORTED EASTER GIFT TAGS</t>
  </si>
  <si>
    <t>SET OF 3 CONEY ISLAND OVAL BOXES</t>
  </si>
  <si>
    <t>84707A</t>
  </si>
  <si>
    <t>SILVER JEWELLED MIRROR TRINKET TRAY</t>
  </si>
  <si>
    <t>PAINTED METAL TREE WITH HOLLY BELLS</t>
  </si>
  <si>
    <t>RETROSPOT BABUSHKA DOORSTOP</t>
  </si>
  <si>
    <t>ANTIQUE CREAM CUTLERY SHELF</t>
  </si>
  <si>
    <t>84908B</t>
  </si>
  <si>
    <t>BLUE 5 PATCH FLOWER CUSHION COVER</t>
  </si>
  <si>
    <t>ASSTD MULTICOLOUR CIRCLES MUG</t>
  </si>
  <si>
    <t>SCANDINAVIAN 3 HEARTS NAPKIN RING</t>
  </si>
  <si>
    <t>HANGING CLEAR MINI BOTTLE</t>
  </si>
  <si>
    <t>JARDIN ETCHED GLASS CHEESE DISH</t>
  </si>
  <si>
    <t>84965A</t>
  </si>
  <si>
    <t>PINK KASHMIRI COFFEE TABLE</t>
  </si>
  <si>
    <t>GIFT BAG PSYCHEDELIC APPLES</t>
  </si>
  <si>
    <t>PARTY INVITES FOOTBALL</t>
  </si>
  <si>
    <t>HEART EAR MUFF HEADPHONES</t>
  </si>
  <si>
    <t>84908A</t>
  </si>
  <si>
    <t>PINK 5 PATCH FLOWER CUSHION COVER</t>
  </si>
  <si>
    <t>46775A</t>
  </si>
  <si>
    <t>BUBBLE GUM CHUNKY KNITTED THROW</t>
  </si>
  <si>
    <t>MINI LADLE LOVE HEART RED</t>
  </si>
  <si>
    <t>HOME SWEET HOME BOTTLE</t>
  </si>
  <si>
    <t>ASSORTED EASTER DECORATIONS  BELLS</t>
  </si>
  <si>
    <t>VINTAGE BEAD PINK EVENING BAG</t>
  </si>
  <si>
    <t>EASTER DECORATION HANGING BUNNY</t>
  </si>
  <si>
    <t>I LOVE LONDON BEAKER</t>
  </si>
  <si>
    <t>TRAVEL CARD WALLET SUKI</t>
  </si>
  <si>
    <t>BLUE TEATIME PRINT BOWL</t>
  </si>
  <si>
    <t>VINTAGE BEAD PINK SCARF</t>
  </si>
  <si>
    <t>SWEETIES  STICKERS</t>
  </si>
  <si>
    <t>PAPERWEIGHT SAVE THE PLANET</t>
  </si>
  <si>
    <t>72800D</t>
  </si>
  <si>
    <t>4 BLUE DINNER CANDLES SILVER FLOCK</t>
  </si>
  <si>
    <t>85124A</t>
  </si>
  <si>
    <t>PINK JUICY FRUIT PHOTO FRAME</t>
  </si>
  <si>
    <t>DOLLY HONEYCOMB GARLAND</t>
  </si>
  <si>
    <t>BLUE POLKADOT LUGGAGE TAG</t>
  </si>
  <si>
    <t>ZINC HEART FLOWER T-LIGHT HOLDER</t>
  </si>
  <si>
    <t>82616C</t>
  </si>
  <si>
    <t>MIDNIGHT GLAMOUR SCARF KNITTING KIT</t>
  </si>
  <si>
    <t>84405A</t>
  </si>
  <si>
    <t>S/3 PINK COL METAL BASKET W HANDLE</t>
  </si>
  <si>
    <t>BUNNY DECORATION MAGIC GARDEN</t>
  </si>
  <si>
    <t>SET OF 6 T-LIGHTS WEDDING CAKE</t>
  </si>
  <si>
    <t>PINK BUTTERFLY HANDBAG W BOBBLES</t>
  </si>
  <si>
    <t>WRAP RED VINTAGE DOILY</t>
  </si>
  <si>
    <t>SILVER  CANDLEPOT JARDIN</t>
  </si>
  <si>
    <t>SILVER GLASS T-LIGHT SET</t>
  </si>
  <si>
    <t>CANDY HEART HANGING DECORATION</t>
  </si>
  <si>
    <t>85180B</t>
  </si>
  <si>
    <t>PINK HEARTS LIGHT CHAIN</t>
  </si>
  <si>
    <t>LARGE ROUND CUTGLASS CANDLESTICK</t>
  </si>
  <si>
    <t>HEART MINI PORTRAIT FRAME</t>
  </si>
  <si>
    <t>84709B</t>
  </si>
  <si>
    <t>PINK OVAL JEWELLED MIRROR</t>
  </si>
  <si>
    <t>RIDGED GLASS STORAGE JAR CREAM LID</t>
  </si>
  <si>
    <t>SET OF 4 NAPKIN CHARMS LEAVES</t>
  </si>
  <si>
    <t>CARD DOG AND BALL</t>
  </si>
  <si>
    <t>FRENCH PAISLEY CUSHION COVER</t>
  </si>
  <si>
    <t>85031C</t>
  </si>
  <si>
    <t>CURIOUS IMAGES SCRAP BOOK SET</t>
  </si>
  <si>
    <t>ASSTD FRUIT+FLOWERS FRIDGE MAGNETS</t>
  </si>
  <si>
    <t>84596L</t>
  </si>
  <si>
    <t>BISCUITS SMALL BOWL LIGHT BLUE</t>
  </si>
  <si>
    <t>TROPICAL PASSPORT COVER</t>
  </si>
  <si>
    <t>85099f</t>
  </si>
  <si>
    <t>LIPSTICK PEN BABY PINK</t>
  </si>
  <si>
    <t>WRAP CHRISTMAS SCREEN PRINT</t>
  </si>
  <si>
    <t>84985A</t>
  </si>
  <si>
    <t>SET OF 72 GREEN PAPER DOILIES</t>
  </si>
  <si>
    <t>WHITE HEARTS WIRE PLANT POT HOLDER</t>
  </si>
  <si>
    <t>PINK BUTTERFLY CUSHION COVER</t>
  </si>
  <si>
    <t>WALL ART MID CENTURY MODERN</t>
  </si>
  <si>
    <t>NAMASTE SWAGAT INCENSE</t>
  </si>
  <si>
    <t>ZINC SWEETHEART WIRE LETTER RACK</t>
  </si>
  <si>
    <t>47310M</t>
  </si>
  <si>
    <t>SMALL POP BOX FUNKY MONKEY</t>
  </si>
  <si>
    <t>SET/6 COLLAGE PAPER CUPS</t>
  </si>
  <si>
    <t>72750B</t>
  </si>
  <si>
    <t>FLOWER FAIRY SET 3 CANDLES LAVENDER</t>
  </si>
  <si>
    <t>COLOURFUL FISHING GNOME</t>
  </si>
  <si>
    <t>RED SPOTTY PUDDING BOWL</t>
  </si>
  <si>
    <t>PACK OF 6 COCKTAIL PARASOL STRAWS</t>
  </si>
  <si>
    <t>FOLDING BUTTERFLY MIRROR RED</t>
  </si>
  <si>
    <t>STRAWBERRY CANDY BAG</t>
  </si>
  <si>
    <t>WALL ART GARDEN HAVEN</t>
  </si>
  <si>
    <t>SET OF SKULL WALL STICKERS</t>
  </si>
  <si>
    <t>EMBROIDERED RIBBON REEL REBECCA</t>
  </si>
  <si>
    <t>MRS ROBOT SOFT TOY</t>
  </si>
  <si>
    <t>SET OF 6 HALLOWEEN GHOST T-LIGHTS</t>
  </si>
  <si>
    <t>85170C</t>
  </si>
  <si>
    <t>SET/6 EAU DE NIL BIRD T-LIGHTS</t>
  </si>
  <si>
    <t>FIRST CLASS PASSPORT COVER</t>
  </si>
  <si>
    <t>GINGHAM OVEN GLOVE RED HEART</t>
  </si>
  <si>
    <t>85025B</t>
  </si>
  <si>
    <t>EAU DE NILE HEART SHAPE PHOTO FRAME</t>
  </si>
  <si>
    <t>ROSES IN WHITE HEART CANDLE</t>
  </si>
  <si>
    <t>84964B</t>
  </si>
  <si>
    <t>BLUE PAINTED KASHMIRI TABLE</t>
  </si>
  <si>
    <t>CANDY SHOP  STICKER SHEET</t>
  </si>
  <si>
    <t>84660C</t>
  </si>
  <si>
    <t>PINK STITCHED WALL CLOCK</t>
  </si>
  <si>
    <t>SWEETHEART WALL TIDY</t>
  </si>
  <si>
    <t>CONGRATULATIONS BUNTING</t>
  </si>
  <si>
    <t>82613B</t>
  </si>
  <si>
    <t>METAL SIGN,CUPCAKE SINGLE HOOK</t>
  </si>
  <si>
    <t>FOLKART ZINC STAR CHRISTMAS DEC</t>
  </si>
  <si>
    <t>MAGIC DRAWING SLATE GO TO THE FAIR</t>
  </si>
  <si>
    <t>BEACH HUT MIRROR</t>
  </si>
  <si>
    <t>PINK GLASS CANDLEHOLDER</t>
  </si>
  <si>
    <t>82616B</t>
  </si>
  <si>
    <t>FRAPPUCINO SCARF KNITTING KIT</t>
  </si>
  <si>
    <t>VINTAGE BEAD NOTEBOOK</t>
  </si>
  <si>
    <t>SKULLS STORAGE BOX SMALL</t>
  </si>
  <si>
    <t>CREAM CUSHION COVER WITH FLOWERS</t>
  </si>
  <si>
    <t>SILVER VANILLA FLOWER CANDLE POT</t>
  </si>
  <si>
    <t>84030e</t>
  </si>
  <si>
    <t>SET OF 3 CHRISTMAS BRIAR CANDLES</t>
  </si>
  <si>
    <t>85018D</t>
  </si>
  <si>
    <t>YULETIDE IMAGES S/6 PAPER BOXES</t>
  </si>
  <si>
    <t>EMBROIDERED RIBBON REEL ROSIE</t>
  </si>
  <si>
    <t>PASTEL COLOUR HONEYCOMB FAN</t>
  </si>
  <si>
    <t>PINK YELLOW PATCH CUSHION COVER</t>
  </si>
  <si>
    <t>COCKLE SHELL DISH</t>
  </si>
  <si>
    <t>35599B</t>
  </si>
  <si>
    <t>BLACK CHRISTMAS TREE 120CM</t>
  </si>
  <si>
    <t>PACK OF 12 VINTAGE DOILY TISSUES</t>
  </si>
  <si>
    <t>84873a</t>
  </si>
  <si>
    <t>FUNKY FLOWER PICNIC BAG FOR 4</t>
  </si>
  <si>
    <t>HANGING BUTTERFLY  EGG</t>
  </si>
  <si>
    <t>DOORSTOP RACING CAR DESIGN</t>
  </si>
  <si>
    <t>MAGAZINE RACK GEBRA ASSORTED</t>
  </si>
  <si>
    <t>HAWAIIAN GRASS SKIRT</t>
  </si>
  <si>
    <t>FILIGREE WALL MIRROR  ANTIQUE WHITE</t>
  </si>
  <si>
    <t>MIRROR MOSAIC CANDLE PLATE</t>
  </si>
  <si>
    <t>CAMOUFLAGE EAR MUFF HEADPHONES</t>
  </si>
  <si>
    <t>SET OF 12 MINI BUNNIES IN A BUCKET</t>
  </si>
  <si>
    <t>EMBROIDERED RIBBON REEL RACHEL</t>
  </si>
  <si>
    <t>EMBROIDERED RIBBON REEL SALLY</t>
  </si>
  <si>
    <t>SILVER PHOTO FRAME</t>
  </si>
  <si>
    <t>BLUE PAISLEY NOTEBOOK</t>
  </si>
  <si>
    <t>PING! MICROWAVE PLATE</t>
  </si>
  <si>
    <t>GREEN FERN NOTEBOOK</t>
  </si>
  <si>
    <t>85130D</t>
  </si>
  <si>
    <t>BEADED CRYSTAL HEART PINK LARGE</t>
  </si>
  <si>
    <t>85032B</t>
  </si>
  <si>
    <t>BLOSSOM IMAGES GIFT WRAP SET</t>
  </si>
  <si>
    <t>MADRAS NOTEBOOK MEDIUM</t>
  </si>
  <si>
    <t>72753B</t>
  </si>
  <si>
    <t>S/3 FLWR FAIRY LAVENDER CANDLES</t>
  </si>
  <si>
    <t>WHITE CHRISTMAS TREE DECORATION</t>
  </si>
  <si>
    <t>TABLE LAMP WHITE SHADE WOOD BASE</t>
  </si>
  <si>
    <t>SILVER FISHING GNOME</t>
  </si>
  <si>
    <t>ABSTRACT CIRCLES POCKET BOOK</t>
  </si>
  <si>
    <t>SET/9 CHRISTMAS T-LIGHTS SCENTED</t>
  </si>
  <si>
    <t>EDWARDIAN TOILET ROLL UNIT</t>
  </si>
  <si>
    <t>17012C</t>
  </si>
  <si>
    <t>ORIGAMI LAVENDER INCENSE/CANDL SET</t>
  </si>
  <si>
    <t>PARTY INVITES BALLOON GIRL</t>
  </si>
  <si>
    <t>85019B</t>
  </si>
  <si>
    <t>BLOSSOM  IMAGES NOTEBOOK SET</t>
  </si>
  <si>
    <t>84625C</t>
  </si>
  <si>
    <t>BLUE NEW BAROQUE CANDLESTICK CANDLE</t>
  </si>
  <si>
    <t>BIRTHDAY PARTY CORDON BARRIER TAPE</t>
  </si>
  <si>
    <t>TRAVEL CARD WALLET RETROSPOT</t>
  </si>
  <si>
    <t>CHRISTMAS CRAFT HEART DECORATIONS</t>
  </si>
  <si>
    <t>WALL ART THE MAGIC FOREST</t>
  </si>
  <si>
    <t>ASSORTED TUTTI FRUTTI KEYRING BALL</t>
  </si>
  <si>
    <t>LIBRARY LAMP</t>
  </si>
  <si>
    <t>MOTHER'S KITCHEN SPOON REST</t>
  </si>
  <si>
    <t>GARDEN PATH NOTEBOOK</t>
  </si>
  <si>
    <t>85031A</t>
  </si>
  <si>
    <t>ROMANTIC IMAGES SCRAP BOOK SET</t>
  </si>
  <si>
    <t>ROSE DU SUD OVEN GLOVE</t>
  </si>
  <si>
    <t>JAM CLOCK MAGNET</t>
  </si>
  <si>
    <t>85032C</t>
  </si>
  <si>
    <t>CURIOUS IMAGES GIFT WRAP SET</t>
  </si>
  <si>
    <t>MULTI HEARTS  STICKERS</t>
  </si>
  <si>
    <t>CHERRY BLOSSOM BATHROOM CABINET</t>
  </si>
  <si>
    <t>DAISY NOTEBOOK</t>
  </si>
  <si>
    <t>MOROCCAN BEATEN METAL DISH LARGE</t>
  </si>
  <si>
    <t>82001s</t>
  </si>
  <si>
    <t>SILVER RECORD COVER FRAME</t>
  </si>
  <si>
    <t>85160A</t>
  </si>
  <si>
    <t>WHITE BIRD GARDEN DESIGN MUG</t>
  </si>
  <si>
    <t>47504E</t>
  </si>
  <si>
    <t>ENGLISH ROSE SCISSORS</t>
  </si>
  <si>
    <t>CLOCK MAGNET MUM'S KITCHEN</t>
  </si>
  <si>
    <t>84800L</t>
  </si>
  <si>
    <t>LARGE WHITE/PINK ROSE ART FLOWER</t>
  </si>
  <si>
    <t>72800C</t>
  </si>
  <si>
    <t>4 PINK DINNER CANDLE SILVER FLOCK</t>
  </si>
  <si>
    <t>SWISS CHALET TREE DECORATION</t>
  </si>
  <si>
    <t>PINK PAISLEY SQUARE TISSUE BOX</t>
  </si>
  <si>
    <t>GOLD PHOTO FRAME</t>
  </si>
  <si>
    <t>SPOTS MUG</t>
  </si>
  <si>
    <t>84341B</t>
  </si>
  <si>
    <t>SMALL PINK MAGIC CHRISTMAS TREE</t>
  </si>
  <si>
    <t>82607A</t>
  </si>
  <si>
    <t>GLASS BONBON JAR PARFUME AUX FLEURE</t>
  </si>
  <si>
    <t>BLUE  DIAMANTE PEN IN GIFT BOX</t>
  </si>
  <si>
    <t>MIRROR MOSAIC T-LIGHT HOLDER</t>
  </si>
  <si>
    <t>PINK CAT BOWL</t>
  </si>
  <si>
    <t>85124B</t>
  </si>
  <si>
    <t>BLUE JUICY FRUIT PHOTO FRAME</t>
  </si>
  <si>
    <t>37492B</t>
  </si>
  <si>
    <t>BLUE YELLOW FLOWER PIGGY BANK</t>
  </si>
  <si>
    <t>CAKE SHOP  STICKER SHEET</t>
  </si>
  <si>
    <t>VINTAGE KEEPSAKE BOX TRAVELOGUE</t>
  </si>
  <si>
    <t>72529W</t>
  </si>
  <si>
    <t>WHITE ADVENT CANDLE</t>
  </si>
  <si>
    <t>SET 5 MINI GATEAUX  FRIDGE MAGNETS</t>
  </si>
  <si>
    <t>85130B</t>
  </si>
  <si>
    <t>BEADED CRYSTAL HEART GREEN LARGE</t>
  </si>
  <si>
    <t>84247E</t>
  </si>
  <si>
    <t>PACK/12 XMAS FUN CARD</t>
  </si>
  <si>
    <t>WHITE GOOSE FEATHER TREE 60CM</t>
  </si>
  <si>
    <t>CHUNKY SILVER NECKLACE PASTEL FLOWE</t>
  </si>
  <si>
    <t>SILVER GLITTER FLOWER VOTIVE HOLDER</t>
  </si>
  <si>
    <t>SET/4 BADGES DOGS</t>
  </si>
  <si>
    <t>85226A</t>
  </si>
  <si>
    <t>WHITE/BLUE PULL BACK RACING CAR</t>
  </si>
  <si>
    <t>ETCHED GLASS DROPLET DECORATION</t>
  </si>
  <si>
    <t>GLASS CHALICE GREEN  LARGE</t>
  </si>
  <si>
    <t>37482P</t>
  </si>
  <si>
    <t>CUBIC MUG PINK POLKADOT</t>
  </si>
  <si>
    <t>NEW BAROQUE JEWELLERY BOX</t>
  </si>
  <si>
    <t>NINE DRAWER OFFICE TIDY</t>
  </si>
  <si>
    <t>WRAP MONSTER FUN</t>
  </si>
  <si>
    <t>46776C</t>
  </si>
  <si>
    <t>WOVEN FROST CUSHION COVER</t>
  </si>
  <si>
    <t>GLASS CHALICE BLUE SMALL</t>
  </si>
  <si>
    <t>EGG FRYING PAN RED</t>
  </si>
  <si>
    <t>PINK STRIPE HOT WATER BOTTLE</t>
  </si>
  <si>
    <t>85121C</t>
  </si>
  <si>
    <t>RETRO LAUNDRY TUB PISTACHIO</t>
  </si>
  <si>
    <t>WALL ART WORK REST AND PLAY</t>
  </si>
  <si>
    <t>84660B</t>
  </si>
  <si>
    <t>BLACK STITCHED WALL CLOCK</t>
  </si>
  <si>
    <t>85031B</t>
  </si>
  <si>
    <t>BLOSSOM IMAGES SCRAP BOOK SET</t>
  </si>
  <si>
    <t>CERAMIC LOVE HEART MONEY BANK</t>
  </si>
  <si>
    <t>ANTIQUE CREAM CUTLERY CUPBOARD</t>
  </si>
  <si>
    <t>S/2 ZINC HEART DESIGN PLANTERS</t>
  </si>
  <si>
    <t>SET/5 BLUE SPOTTY LID GLASS BOWLS</t>
  </si>
  <si>
    <t>RED DAISY POCKET BOOK</t>
  </si>
  <si>
    <t>BLUE CHALET BIRDFEEDER</t>
  </si>
  <si>
    <t>TRAVEL CARD WALLET PANTRY</t>
  </si>
  <si>
    <t>84086C</t>
  </si>
  <si>
    <t>PINK/PURPLE RETRO RADIO</t>
  </si>
  <si>
    <t>PLAYING CARDS VINTAGE DOILY</t>
  </si>
  <si>
    <t>17109B</t>
  </si>
  <si>
    <t>FLOWER FAIRY INCENSE LAVENDER</t>
  </si>
  <si>
    <t>84760L</t>
  </si>
  <si>
    <t>LARGE HANGING GLASS+ZINC LANTERN</t>
  </si>
  <si>
    <t>TRAVEL CARD WALLET SKULLS</t>
  </si>
  <si>
    <t>FLOWERS  STICKERS</t>
  </si>
  <si>
    <t>85049e</t>
  </si>
  <si>
    <t>90175A</t>
  </si>
  <si>
    <t>WHITE GLASS CHUNKY CHARM BRACELET</t>
  </si>
  <si>
    <t>46000P</t>
  </si>
  <si>
    <t>POLYESTER FILLER PAD 65CMx65CM</t>
  </si>
  <si>
    <t>CHRYSANTHEMUM POCKET BOOK</t>
  </si>
  <si>
    <t>MARIE ANTOINETTE TRINKET BOX SILVER</t>
  </si>
  <si>
    <t>TUB 24 PINK FLOWER PEGS</t>
  </si>
  <si>
    <t>DECORATION  PINK CHICK MAGIC GARDEN</t>
  </si>
  <si>
    <t>PANDA AND BUNNIES STICKER SHEET</t>
  </si>
  <si>
    <t>85121B</t>
  </si>
  <si>
    <t>RETRO LAUNDRY TUB PINK</t>
  </si>
  <si>
    <t>FRENCH CARRIAGE LANTERN</t>
  </si>
  <si>
    <t>85019A</t>
  </si>
  <si>
    <t>ROMANTIC IMAGES NOTEBOOK SET</t>
  </si>
  <si>
    <t>JAZZ HEARTS MAGNETIC MEMO PAD</t>
  </si>
  <si>
    <t>35598B</t>
  </si>
  <si>
    <t>BLACK CHRISTMAS TREE 60CM</t>
  </si>
  <si>
    <t>STRING OF STARS CARD HOLDER</t>
  </si>
  <si>
    <t>JINGLE BELLS TREE DECORATION</t>
  </si>
  <si>
    <t>WIRE EGG BASKET</t>
  </si>
  <si>
    <t>FRENCH FLORAL CUSHION COVER</t>
  </si>
  <si>
    <t>90200E</t>
  </si>
  <si>
    <t>GREEN SWEETHEART BRACELET</t>
  </si>
  <si>
    <t>72799A</t>
  </si>
  <si>
    <t>BLACK PILLAR CANDLE SILVER FLOCK</t>
  </si>
  <si>
    <t>PANTRY 3 HOOK ROLLING PIN HANGER</t>
  </si>
  <si>
    <t>PARTY INVITES SPACEMAN</t>
  </si>
  <si>
    <t>84925F</t>
  </si>
  <si>
    <t>PSYCHEDELIC WALL THERMOMETER</t>
  </si>
  <si>
    <t>90200C</t>
  </si>
  <si>
    <t>BLUE SWEETHEART BRACELET</t>
  </si>
  <si>
    <t>85194S</t>
  </si>
  <si>
    <t>HANGING SPRING FLOWER EGG SMALL</t>
  </si>
  <si>
    <t>MARAKESH LANTERN SMALL</t>
  </si>
  <si>
    <t>CANDY PINK FRENCH BOUDOIR CLOCK</t>
  </si>
  <si>
    <t>MIRRORED DOVE WALL DECORATION</t>
  </si>
  <si>
    <t>MARIE ANTOINETTE TRINKET BOX GOLD</t>
  </si>
  <si>
    <t>SCALLOP SHELL SOAP DISH</t>
  </si>
  <si>
    <t>REINDEER HEART DECORATION GOLD</t>
  </si>
  <si>
    <t>VINTAGE COFFEE GRINDER BOX</t>
  </si>
  <si>
    <t>17012B</t>
  </si>
  <si>
    <t>ORIGAMI JASMINE INCENSE/CANDLE SET</t>
  </si>
  <si>
    <t>FROG CANDLE</t>
  </si>
  <si>
    <t>SILVER SKULL HOT WATER BOTTLE</t>
  </si>
  <si>
    <t>SMALL FOLKART STAR CHRISTMAS DEC</t>
  </si>
  <si>
    <t>DANISH ROSE TRINKET TRAYS</t>
  </si>
  <si>
    <t>85166B</t>
  </si>
  <si>
    <t>BLACK METAL BAROQUE PHOTO FRAME</t>
  </si>
  <si>
    <t>DANISH ROSE DECORATIVE PLATE</t>
  </si>
  <si>
    <t>WHITE WITH BLACK CATS MUG</t>
  </si>
  <si>
    <t>SMALL PINK GLASS SUNDAE DISH</t>
  </si>
  <si>
    <t>FRENCH BOTTLE , LAVENDER</t>
  </si>
  <si>
    <t>ELEPHANT TOY WITH BLUE T-SHIRT</t>
  </si>
  <si>
    <t>TEATIME PEN CASE &amp; PENS</t>
  </si>
  <si>
    <t>BROCADE PURSE,SMALL ARCH BUTTON</t>
  </si>
  <si>
    <t>GREEN FERN POCKET BOOK</t>
  </si>
  <si>
    <t>84660A</t>
  </si>
  <si>
    <t>WHITE STITCHED WALL CLOCK</t>
  </si>
  <si>
    <t>LARGE  TALL CAMPHOR WOOD TOADSTOOL</t>
  </si>
  <si>
    <t>HANGING BAUBLE T-LIGHT HOLDER LARGE</t>
  </si>
  <si>
    <t>MINI JIGSAW DINOSAUR</t>
  </si>
  <si>
    <t>FORKED CACTUS CANDLE</t>
  </si>
  <si>
    <t>2 PICTURE BOOK EGGS EASTER BUNNY</t>
  </si>
  <si>
    <t>72349b</t>
  </si>
  <si>
    <t>BLUE  SPOTTY PUDDING BOWL</t>
  </si>
  <si>
    <t>SET/12 FUNKY FELT FLOWER PEG IN BAG</t>
  </si>
  <si>
    <t>GIFT BAG BIRTHDAY</t>
  </si>
  <si>
    <t>84509a</t>
  </si>
  <si>
    <t>90161C</t>
  </si>
  <si>
    <t>ANT COPPER LIME BOUDICCA BRACELET</t>
  </si>
  <si>
    <t>CERAMIC BIRDHOUSE BLACK ROSE  LARGE</t>
  </si>
  <si>
    <t>BLUE SPOTTY PURSE</t>
  </si>
  <si>
    <t>85231L</t>
  </si>
  <si>
    <t>LAVENDER SCENTED SET/9 T-LIGHTS</t>
  </si>
  <si>
    <t>ANTIQUE EDWARDIAN DRESSER</t>
  </si>
  <si>
    <t>GOLD FISHING GNOME</t>
  </si>
  <si>
    <t>EGG CUP MILKMAID INGRID</t>
  </si>
  <si>
    <t>PACK OF 12 PAISLEY PARK TISSUES</t>
  </si>
  <si>
    <t>40018E</t>
  </si>
  <si>
    <t>TEA TIME PAPER LANTERNS</t>
  </si>
  <si>
    <t>INLAID WOOD INCENSE HOLDER</t>
  </si>
  <si>
    <t>47563A</t>
  </si>
  <si>
    <t>RETRO LONGBOARD IRONING BOARD COVER</t>
  </si>
  <si>
    <t>84762B</t>
  </si>
  <si>
    <t>PINK PICNIC BARBECUE BUCKET</t>
  </si>
  <si>
    <t>85071C</t>
  </si>
  <si>
    <t>CHARLIE+LOLA"EXTREMELY BUSY" SIGN</t>
  </si>
  <si>
    <t>84849A</t>
  </si>
  <si>
    <t>HELLO SAILOR BLUE SOAP HOLDER</t>
  </si>
  <si>
    <t>47367B</t>
  </si>
  <si>
    <t>PAIR PADDED HANGERS PINK CHECK</t>
  </si>
  <si>
    <t>ABSTRACT CIRCLES NOTEBOOK</t>
  </si>
  <si>
    <t>84951A</t>
  </si>
  <si>
    <t>SET OF 4 PISTACHIO LOVEBIRD COASTER</t>
  </si>
  <si>
    <t>HOME SWEET HOME  BLACKBOARD</t>
  </si>
  <si>
    <t>MINI  ZINC GARDEN DECORATIONS</t>
  </si>
  <si>
    <t>EASTER BUNNIES ON A STICK</t>
  </si>
  <si>
    <t>APOTHECARY MEASURING JAR</t>
  </si>
  <si>
    <t>ACRYLIC GEOMETRIC LAMP</t>
  </si>
  <si>
    <t>GINGHAM BABUSHKA DOORSTOP</t>
  </si>
  <si>
    <t>CERAMIC BIRDHOUSE BUTTERFLY LARGE</t>
  </si>
  <si>
    <t>BUNNY WOODEN PAINTED WITH FLOWER</t>
  </si>
  <si>
    <t>RIDGED GLASS FINGER BOWL</t>
  </si>
  <si>
    <t>DECORATION , HANGING METAL CHICKEN</t>
  </si>
  <si>
    <t>82613C</t>
  </si>
  <si>
    <t>LARGE CAMPHOR WOOD FIELD MUSHROOM</t>
  </si>
  <si>
    <t>17107D</t>
  </si>
  <si>
    <t>FLOWER FAIRY,5 SUMMER B'DRAW LINERS</t>
  </si>
  <si>
    <t>S/12 MINI RABBIT EASTER</t>
  </si>
  <si>
    <t>LOVELY BONBON STICKER SHEET</t>
  </si>
  <si>
    <t>VINTAGE NOTEBOOK PARIS DAYS</t>
  </si>
  <si>
    <t>PINK FLOWER FABRIC PONY</t>
  </si>
  <si>
    <t>SET/4 BADGES BEETLES</t>
  </si>
  <si>
    <t>FRENCH STYLE STORAGE JAR CAFE</t>
  </si>
  <si>
    <t>SHAKER THROW  QUILTED</t>
  </si>
  <si>
    <t>72801G</t>
  </si>
  <si>
    <t>4 BURGUNDY WINE DINNER CANDLES</t>
  </si>
  <si>
    <t>MADRAS NOTEBOOK LARGE</t>
  </si>
  <si>
    <t xml:space="preserve">RETRO "TEA FOR ONE" </t>
  </si>
  <si>
    <t>MIRRORED WALL ART SKULLS</t>
  </si>
  <si>
    <t>PAINTED PINK RABBIT</t>
  </si>
  <si>
    <t>DAISY JOURNAL</t>
  </si>
  <si>
    <t>PINK BUTTERFLY WASHBAG</t>
  </si>
  <si>
    <t>PARTY PIZZA DISH PINK POLKADOT</t>
  </si>
  <si>
    <t>IVORY CHANDELIER T-LIGHT HOLDER</t>
  </si>
  <si>
    <t>MINI LADLE LOVE HEART PINK</t>
  </si>
  <si>
    <t>RED REINDEER STRING OF 20 LIGHTS</t>
  </si>
  <si>
    <t>ZINC POLICE BOX LANTERN</t>
  </si>
  <si>
    <t>17012A</t>
  </si>
  <si>
    <t>ORIGAMI VANILLA INCENSE/CANDLE SET</t>
  </si>
  <si>
    <t>85188A</t>
  </si>
  <si>
    <t>GREEN METAL SWINGING BUNNY</t>
  </si>
  <si>
    <t>ANIMAL STICKERS</t>
  </si>
  <si>
    <t>84951B</t>
  </si>
  <si>
    <t>SET OF 4 BLACK LOVEBIRD COASTERS</t>
  </si>
  <si>
    <t>MONEY BOX CONFECTIONERY DESIGN</t>
  </si>
  <si>
    <t>MOUSEY LONG LEGS SOFT TOY</t>
  </si>
  <si>
    <t>VINTAGE KEEPSAKE BOX PINK FLOWER</t>
  </si>
  <si>
    <t>DECORATIVE HANGING SHELVING UNIT</t>
  </si>
  <si>
    <t>79342B</t>
  </si>
  <si>
    <t>BROWN FLOWER LIGHTS</t>
  </si>
  <si>
    <t>PAINTED YELLOW WOODEN DAISY</t>
  </si>
  <si>
    <t>CERAMIC LOVE HEARTS DESIGN MUG</t>
  </si>
  <si>
    <t>ROSE DU SUD CUSHION COVER</t>
  </si>
  <si>
    <t>47594B</t>
  </si>
  <si>
    <t>SCOTTIES DESIGN WASHBAG</t>
  </si>
  <si>
    <t>37494A</t>
  </si>
  <si>
    <t>FAIRY CAKE CERAMIC BUTTER DISH</t>
  </si>
  <si>
    <t>WALL ART CAT AND BIRD</t>
  </si>
  <si>
    <t>35915C</t>
  </si>
  <si>
    <t>PEACH KNITTED HEN</t>
  </si>
  <si>
    <t>85017A</t>
  </si>
  <si>
    <t>ENVELOPE 50 ROMANTIC IMAGES</t>
  </si>
  <si>
    <t>EMBROIDERED RIBBON REEL CLAIRE</t>
  </si>
  <si>
    <t>45008C</t>
  </si>
  <si>
    <t>DECORATIVE NET CANOPY CREAM</t>
  </si>
  <si>
    <t>RUSTIC STRAWBERRY JAM POT LARGE</t>
  </si>
  <si>
    <t>84782A</t>
  </si>
  <si>
    <t>PINK 3 TIER GLASS PLATE STAND</t>
  </si>
  <si>
    <t>47574A</t>
  </si>
  <si>
    <t>ENGLISH ROSE SCENTED HANGING FLOWER</t>
  </si>
  <si>
    <t>FLORAL BATHROOM SET</t>
  </si>
  <si>
    <t>EGG CUP HENRIETTA HEN CREAM</t>
  </si>
  <si>
    <t>RED APPLES CHOPPING BOARD</t>
  </si>
  <si>
    <t>84970s</t>
  </si>
  <si>
    <t>72799C</t>
  </si>
  <si>
    <t>PINK PILLAR CANDLE SILVER FLOCK</t>
  </si>
  <si>
    <t>URBAN CHIC CHOPSTICKS SET/5</t>
  </si>
  <si>
    <t>VINTAGE PHOTO ALBUM PARIS DAYS</t>
  </si>
  <si>
    <t>ZINC HEARTS PLANT POT HOLDER</t>
  </si>
  <si>
    <t>ESSENTIAL BALM 3.5g TIN IN ENVELOPE</t>
  </si>
  <si>
    <t>PHOTO FRAME LINEN AND LACE LARGE</t>
  </si>
  <si>
    <t>85130C</t>
  </si>
  <si>
    <t>BEADED CRYSTAL HEART BLUE  LARGE</t>
  </si>
  <si>
    <t>FUNKY MONKEY MUG</t>
  </si>
  <si>
    <t>84625D</t>
  </si>
  <si>
    <t>WHITE NEWBAROQUE CANDLESTICK CANDLE</t>
  </si>
  <si>
    <t>ASSTD DESIGN 3D PAPER STICKERS</t>
  </si>
  <si>
    <t>PIN CUSHION BABUSHKA BLUE</t>
  </si>
  <si>
    <t>2 PICTURE BOOK EGGS EASTER CHICKS</t>
  </si>
  <si>
    <t>90200B</t>
  </si>
  <si>
    <t>BLACK SWEETHEART BRACELET</t>
  </si>
  <si>
    <t>JARDIN ETCHED GLASS LARGE BELL JAR</t>
  </si>
  <si>
    <t>CERAMIC BIRDHOUSE RED ROOF LARGE</t>
  </si>
  <si>
    <t>ALPHABET HEARTS STICKER SHEET</t>
  </si>
  <si>
    <t>DARK BIRD HOUSE TREE DECORATION</t>
  </si>
  <si>
    <t>SET 4 NURSERY DES ROUND BOXES</t>
  </si>
  <si>
    <t>35095B</t>
  </si>
  <si>
    <t>RED VICTORIAN FABRIC OVAL BOX</t>
  </si>
  <si>
    <t>SET OF 4 NAPKIN CHARMS 3 KEYS</t>
  </si>
  <si>
    <t>EGG FRYING PAN IVORY</t>
  </si>
  <si>
    <t>84712B</t>
  </si>
  <si>
    <t>PINK JEWELLED PHOTO FRAME</t>
  </si>
  <si>
    <t>72755C</t>
  </si>
  <si>
    <t>FLOWER FAIRY OIL BURNER SET ROSE</t>
  </si>
  <si>
    <t>72750A</t>
  </si>
  <si>
    <t>F.FAIRY S/3 CANDLE/GLASS,LILY/VALLY</t>
  </si>
  <si>
    <t>84029C</t>
  </si>
  <si>
    <t>BROWN FURRY HOT WATER BOTTLE</t>
  </si>
  <si>
    <t>84534B</t>
  </si>
  <si>
    <t>FAIRY CAKE NOTEBOOK A5 SIZE</t>
  </si>
  <si>
    <t>16244B</t>
  </si>
  <si>
    <t>MAXWELL 2 TONE BLUE 60 PAGE PHOTO A</t>
  </si>
  <si>
    <t>84963A</t>
  </si>
  <si>
    <t>PINK PAINTED KASHMIRI CHAIR</t>
  </si>
  <si>
    <t>WRAP ALPHABET POSTER</t>
  </si>
  <si>
    <t>35811A</t>
  </si>
  <si>
    <t>ENAMEL PINK SUGAR CONTAINER</t>
  </si>
  <si>
    <t>90200A</t>
  </si>
  <si>
    <t>PURPLE SWEETHEART BRACELET</t>
  </si>
  <si>
    <t>84762C</t>
  </si>
  <si>
    <t>GREEN PICNIC BARBECUE BUCKET</t>
  </si>
  <si>
    <t>COCKTAIL SWORDS 50 PIECES</t>
  </si>
  <si>
    <t>BLUE GINGHAM ROSE CUSHION COVER</t>
  </si>
  <si>
    <t>84663A</t>
  </si>
  <si>
    <t>GRASS HOPPER WOODEN WALL CLOCK</t>
  </si>
  <si>
    <t>FOLDING BUTTERFLY MIRROR IVORY</t>
  </si>
  <si>
    <t>PINK  HONEYCOMB PAPER FAN</t>
  </si>
  <si>
    <t>IVORY HANGING BIRD PLANTER</t>
  </si>
  <si>
    <t>PIECE OF CAMO STATIONERY SET</t>
  </si>
  <si>
    <t>SET OF 2 TEA TOWELS PING MICROWAVE</t>
  </si>
  <si>
    <t>17165B</t>
  </si>
  <si>
    <t>ASS COL LARGE SAND GECKO P'WEIGHT</t>
  </si>
  <si>
    <t>THREE MINI HANGING FRAMES</t>
  </si>
  <si>
    <t>47581B</t>
  </si>
  <si>
    <t>FAIRY CAKE WICKER PICNIC BASKET</t>
  </si>
  <si>
    <t>CHRISTMAS TREE HANGING SILVER</t>
  </si>
  <si>
    <t>18PC WOODEN CUTLERY SET DISPOSABLE</t>
  </si>
  <si>
    <t>DECORATIVE PLANT POT WITH FRIEZE</t>
  </si>
  <si>
    <t>72800A</t>
  </si>
  <si>
    <t>S/4 BLACK DINNER CANDLE SILVER FLOC</t>
  </si>
  <si>
    <t>BLACK SILVER FLOWER T-LIGHT HOLDER</t>
  </si>
  <si>
    <t>GREEN ROSE QUILT</t>
  </si>
  <si>
    <t>MOROCCAN BEATEN METAL DISH</t>
  </si>
  <si>
    <t>DRAWER KNOB VINTAGE GLASS BALL</t>
  </si>
  <si>
    <t>VINTAGE BEAD PINK SHADE</t>
  </si>
  <si>
    <t>90209C</t>
  </si>
  <si>
    <t>PINK ENAMEL+GLASS HAIR COMB</t>
  </si>
  <si>
    <t>85135A</t>
  </si>
  <si>
    <t>YELLOW DRAGONFLY HELICOPTER</t>
  </si>
  <si>
    <t>SMALL BONNE JAM JAR  T-LIGHT HOLDER</t>
  </si>
  <si>
    <t>90161B</t>
  </si>
  <si>
    <t>ANT COPPER TURQ BOUDICCA BRACELET</t>
  </si>
  <si>
    <t>DANISH ROSE DELUXE COASTER</t>
  </si>
  <si>
    <t>RUSTIC STRAWBERRY JAM POT SMALL</t>
  </si>
  <si>
    <t>TOYBOX  WRAP</t>
  </si>
  <si>
    <t>CLAM SHELL SMALL</t>
  </si>
  <si>
    <t>VINTAGE LEAF CHOPPING BOARD</t>
  </si>
  <si>
    <t>SET OF 4 NAPKIN CHARMS CROWNS</t>
  </si>
  <si>
    <t>PAINTED BIRD ASSORTED CHRISTMAS</t>
  </si>
  <si>
    <t>47503F</t>
  </si>
  <si>
    <t>ASS FLORAL PRINT TORCH</t>
  </si>
  <si>
    <t>SWEET HEART CAKE CARRIER</t>
  </si>
  <si>
    <t>TRAVEL CARD WALLET FLOWER MEADOW</t>
  </si>
  <si>
    <t>SET OF 6 ICE CREAM SKITTLES</t>
  </si>
  <si>
    <t>3 RAFFIA RIBBONS VINTAGE CHRISTMAS</t>
  </si>
  <si>
    <t>84708B</t>
  </si>
  <si>
    <t>90209B</t>
  </si>
  <si>
    <t>GREEN ENAMEL+GLASS HAIR COMB</t>
  </si>
  <si>
    <t>DOLLY CABINET 3 DRAWERS</t>
  </si>
  <si>
    <t>85131B</t>
  </si>
  <si>
    <t>BEADED CRYSTAL HEART GREEN ON STICK</t>
  </si>
  <si>
    <t>SMALL TALL CAMPHOR WOOD TOADSTOOL</t>
  </si>
  <si>
    <t>SET OF 6 RIBBONS PERFECTLY PRETTY</t>
  </si>
  <si>
    <t>TROPICAL LUGGAGE TAG</t>
  </si>
  <si>
    <t>WALL ART DOG AND BALL</t>
  </si>
  <si>
    <t>85230F</t>
  </si>
  <si>
    <t>JASMINE VOTIVE CANDLE</t>
  </si>
  <si>
    <t>35095A</t>
  </si>
  <si>
    <t>BLUE VICTORIAN FABRIC OVAL BOX</t>
  </si>
  <si>
    <t>85017C</t>
  </si>
  <si>
    <t>ENVELOPE 50 CURIOUS IMAGES</t>
  </si>
  <si>
    <t>CANDY SPOT HAND BAG</t>
  </si>
  <si>
    <t>ROSE DU SUD WASHBAG</t>
  </si>
  <si>
    <t>84595E</t>
  </si>
  <si>
    <t>LARGE TORTILLA DESIGN RED BOWL</t>
  </si>
  <si>
    <t>SET/4 BADGES CUTE CREATURES</t>
  </si>
  <si>
    <t>SPACE OWL</t>
  </si>
  <si>
    <t>PINK CAT FLORAL CUSHION COVER</t>
  </si>
  <si>
    <t>FLAG OF ST GEORGE</t>
  </si>
  <si>
    <t>EDWARDIAN 2 DRAWER WALL CABINET</t>
  </si>
  <si>
    <t>82613A</t>
  </si>
  <si>
    <t>FOLKART BAUBLE CHRISTMAS DECORATION</t>
  </si>
  <si>
    <t>2 PICTURE BOOK EGGS EASTER DUCKS</t>
  </si>
  <si>
    <t>35915B</t>
  </si>
  <si>
    <t>BLUE KNITTED HEN</t>
  </si>
  <si>
    <t>TRIPLE WIRE HOOK IVORY HEART</t>
  </si>
  <si>
    <t>PLASMATRONIC LAMP</t>
  </si>
  <si>
    <t>85186A</t>
  </si>
  <si>
    <t>EASTER BUNNY GARLAND OF FLOWERS</t>
  </si>
  <si>
    <t>SET/20 COLLAGE PAPER NAPKIN</t>
  </si>
  <si>
    <t>79030D</t>
  </si>
  <si>
    <t>TUMBLER BAROQUE</t>
  </si>
  <si>
    <t>ZINC HEART LATTICE PLANTER BOWL</t>
  </si>
  <si>
    <t>SKULLS SQUARE TISSUE BOX</t>
  </si>
  <si>
    <t>RECTANGULAR SHAPED MIRROR</t>
  </si>
  <si>
    <t>CAMPHOR WOOD PORTOBELLO MUSHROOM</t>
  </si>
  <si>
    <t>MEDIUM CHINESE STYLE SCISSOR</t>
  </si>
  <si>
    <t>S/2 BEACH HUT TREASURE CHESTS</t>
  </si>
  <si>
    <t>EDWARDIAN HEART PHOTO FRAME</t>
  </si>
  <si>
    <t>OLIVE CHALET BIRDFEEDER</t>
  </si>
  <si>
    <t>CHRISTMAS TREE HANGING GOLD</t>
  </si>
  <si>
    <t>GREEN BIRDHOUSE DECORATION</t>
  </si>
  <si>
    <t>MIRRORED WALL ART STARS</t>
  </si>
  <si>
    <t>SMALL CAMPHOR WOOD FIELD  MUSHROOM</t>
  </si>
  <si>
    <t>COSY SLIPPER SHOES LARGE RED</t>
  </si>
  <si>
    <t>LOUVRE VANITY MIRROR</t>
  </si>
  <si>
    <t>IVORY HANGING DECORATION  EGG</t>
  </si>
  <si>
    <t>84952C</t>
  </si>
  <si>
    <t>MIRROR LOVE BIRD T-LIGHT HOLDER</t>
  </si>
  <si>
    <t>SET OF 4 NAPKIN CHARMS INSTRUMENT</t>
  </si>
  <si>
    <t>PANTRY APPLE CORER</t>
  </si>
  <si>
    <t>CANDY BUTTON PHOTO ALBUM</t>
  </si>
  <si>
    <t>84931B</t>
  </si>
  <si>
    <t>BLUE SCOTTIE DOG W FLOWER PATTERN</t>
  </si>
  <si>
    <t>84569A</t>
  </si>
  <si>
    <t>PACK 3 IRON ON DOG PATCHES</t>
  </si>
  <si>
    <t>BAKING MOULD ROSE WHITE CHOCOLATE</t>
  </si>
  <si>
    <t>RIDGED GLASS PENDANT LAMPSHADE</t>
  </si>
  <si>
    <t>84971L</t>
  </si>
  <si>
    <t>LARGE HEART FLOWERS HOOK</t>
  </si>
  <si>
    <t>PINK GINGHAM CAT WITH SCARF</t>
  </si>
  <si>
    <t>PARTY PIZZA DISH BLUE POLKADOT</t>
  </si>
  <si>
    <t>PINK GOOSE FEATHER TREE 60CM</t>
  </si>
  <si>
    <t>72755D</t>
  </si>
  <si>
    <t>FLOWER FAIRY OIL BURNER SET SUMMER</t>
  </si>
  <si>
    <t>BLUE PATCH PURSE PINK HEART</t>
  </si>
  <si>
    <t>GLASS CHALICE GREEN  SMALL</t>
  </si>
  <si>
    <t>FOLKART CLIP ON STARS</t>
  </si>
  <si>
    <t>72753A</t>
  </si>
  <si>
    <t>S/3 FLWR FAIRY LILLY CANDLES</t>
  </si>
  <si>
    <t>17165D</t>
  </si>
  <si>
    <t>ASS COL LARGE SAND FROG P'WEIGHT</t>
  </si>
  <si>
    <t>PINK PATCH PENCIL CASE BLUE HEART</t>
  </si>
  <si>
    <t>DAISY SKETCHBOOK</t>
  </si>
  <si>
    <t>FRENCH STYLE STORAGE JAR BONBONS</t>
  </si>
  <si>
    <t>90161D</t>
  </si>
  <si>
    <t>ANT COPPER PINK BOUDICCA BRACELET</t>
  </si>
  <si>
    <t>BOTANICAL ROSE GREETING CARD</t>
  </si>
  <si>
    <t>WHITE HAND TOWEL WITH BUTTERFLY</t>
  </si>
  <si>
    <t>85231E</t>
  </si>
  <si>
    <t>STRAWBERRY SCENTED SET/9 T-LIGHTS</t>
  </si>
  <si>
    <t>84986B</t>
  </si>
  <si>
    <t>SET OF 36 SILVER PAPER DOILIES</t>
  </si>
  <si>
    <t>84563A</t>
  </si>
  <si>
    <t>PINK &amp; WHITE BREAKFAST TRAY</t>
  </si>
  <si>
    <t>DINOSAUR BIRTHDAY CARD</t>
  </si>
  <si>
    <t>HOLLY TOP CHRISTMAS STOCKING</t>
  </si>
  <si>
    <t>37492D</t>
  </si>
  <si>
    <t>PURPLE GREEN FLOWER PIGGY BANK</t>
  </si>
  <si>
    <t>HILDA CANDY SPOT RABBIT</t>
  </si>
  <si>
    <t>17012F</t>
  </si>
  <si>
    <t>ORIGAMI SANDLEWOOD INCENSE/CAND SET</t>
  </si>
  <si>
    <t>BEACH HUT PHOTO FRAME</t>
  </si>
  <si>
    <t>ROBIN CHRISTMAS CARD</t>
  </si>
  <si>
    <t>62094B</t>
  </si>
  <si>
    <t>TURQ ICE CREAM BUM BAG</t>
  </si>
  <si>
    <t>84925D</t>
  </si>
  <si>
    <t>LA PALMIERA WALL THERMOMETER</t>
  </si>
  <si>
    <t>90082D</t>
  </si>
  <si>
    <t>DIAMANTE BOW BROOCH BLACK COLOUR</t>
  </si>
  <si>
    <t>90160C</t>
  </si>
  <si>
    <t>TURQ+RED BOUDICCA LARGE BRACELET</t>
  </si>
  <si>
    <t>DANISH ROSE UMBRELLA STAND</t>
  </si>
  <si>
    <t>VINTAGE NOTEBOOK TRAVELOGUE</t>
  </si>
  <si>
    <t>GREEN  DIAMANTE PEN IN GIFT BOX</t>
  </si>
  <si>
    <t>90184C</t>
  </si>
  <si>
    <t>BLACK CHUNKY BEAD BRACELET W STRAP</t>
  </si>
  <si>
    <t>72023F</t>
  </si>
  <si>
    <t>RED ORGANIC CANDLE IN GLASS</t>
  </si>
  <si>
    <t>75013B</t>
  </si>
  <si>
    <t>STRING OF 8 BUTTERFLIES,PINK</t>
  </si>
  <si>
    <t>85205B</t>
  </si>
  <si>
    <t>PINK FELT EASTER RABBIT GARLAND</t>
  </si>
  <si>
    <t>LARGE BONNE JAM JAR  T-LIGHT HOLDER</t>
  </si>
  <si>
    <t>PAPER BUNTING PAISLEY PARK</t>
  </si>
  <si>
    <t>HEARTS GIFT TAPE</t>
  </si>
  <si>
    <t>HANGING WOOD AND FELT BUTTERFLY</t>
  </si>
  <si>
    <t>SET OF RED SALAD SERVERS</t>
  </si>
  <si>
    <t>LARGE SKULL WINDMILL</t>
  </si>
  <si>
    <t>PACK OF 6 SMALL FRUIT STRAWS</t>
  </si>
  <si>
    <t>COLUMBIAN CANDLE RECTANGLE</t>
  </si>
  <si>
    <t>CAKES AND BOWS GIFT  TAPE</t>
  </si>
  <si>
    <t>CERAMIC PLATE LOVE HEART DESIGN</t>
  </si>
  <si>
    <t>47594A</t>
  </si>
  <si>
    <t>CAROUSEL DESIGN WASHBAG</t>
  </si>
  <si>
    <t>GREEN GOOSE FEATHER TREE 60CM</t>
  </si>
  <si>
    <t>85168B</t>
  </si>
  <si>
    <t>BLACK BAROQUE CARRIAGE CLOCK</t>
  </si>
  <si>
    <t>17012D</t>
  </si>
  <si>
    <t>ORIGAMI ROSE INCENSE/CANDLE SET</t>
  </si>
  <si>
    <t>46776E</t>
  </si>
  <si>
    <t>WOVEN CANDY CUSHION COVER</t>
  </si>
  <si>
    <t>MULTICOLOUR  CONFETTI IN TUBE</t>
  </si>
  <si>
    <t>85188B</t>
  </si>
  <si>
    <t>PINK METAL SWINGING BUNNY</t>
  </si>
  <si>
    <t>WRAP FLOWER SHOP</t>
  </si>
  <si>
    <t>PEARLISED IVORY HEART LARGE</t>
  </si>
  <si>
    <t>SET/4 2 TONE EGG SHAPE MIXING BOWLS</t>
  </si>
  <si>
    <t>IVORY RETRO KITCHEN WALL CLOCK</t>
  </si>
  <si>
    <t>17109C</t>
  </si>
  <si>
    <t>FLOWER FAIRY INCENSE ROSE</t>
  </si>
  <si>
    <t>PINK/WHITE "KEEP CLEAN" BULLET BIN</t>
  </si>
  <si>
    <t>16169K</t>
  </si>
  <si>
    <t>WRAP FOLK ART</t>
  </si>
  <si>
    <t>MINI CAKE STAND HANGING HEARTS</t>
  </si>
  <si>
    <t>85186C</t>
  </si>
  <si>
    <t>BUNNY EGG GARLAND</t>
  </si>
  <si>
    <t>46776D</t>
  </si>
  <si>
    <t>WOVEN SUNSET CUSHION COVER</t>
  </si>
  <si>
    <t>DENIM PATCH PURSE PINK BUTTERFLY</t>
  </si>
  <si>
    <t>BLUE BIRDHOUSE DECORATION</t>
  </si>
  <si>
    <t>SET/4 BUTTERFLY MIRROR MAGNETS</t>
  </si>
  <si>
    <t>GINGHAM HEART WREATH</t>
  </si>
  <si>
    <t>ASSORTED CHEESE FRIDGE MAGNETS</t>
  </si>
  <si>
    <t>QUEEN OF THE SKIES PASSPORT COVER</t>
  </si>
  <si>
    <t>17164B</t>
  </si>
  <si>
    <t>ASS COL SMALL SAND GECKO P'WEIGHT</t>
  </si>
  <si>
    <t>POSY SHOPPER BAG</t>
  </si>
  <si>
    <t>VICTORIAN METAL POSTCARD CHRISTMAS</t>
  </si>
  <si>
    <t>84993A</t>
  </si>
  <si>
    <t>75 GREEN PETIT FOUR CASES</t>
  </si>
  <si>
    <t>HAND TOWEL PALE BLUE W FLOWERS</t>
  </si>
  <si>
    <t>85160B</t>
  </si>
  <si>
    <t>BLACK BIRD GARDEN DESIGN MUG</t>
  </si>
  <si>
    <t>PAPERWEIGHT HOME SWEET HOME</t>
  </si>
  <si>
    <t>NEW BAROQUE BLACK PHOTO ALBUM</t>
  </si>
  <si>
    <t>CIRCLE OF FRIENDS CANDLE HOLDER</t>
  </si>
  <si>
    <t>PAPER LANTERN 7 POINT SNOW STAR</t>
  </si>
  <si>
    <t>NEW ENGLAND TEATOWELS</t>
  </si>
  <si>
    <t>85185D</t>
  </si>
  <si>
    <t>FROG SOCK PUPPET</t>
  </si>
  <si>
    <t>POP ART PEN CASE &amp; PENS</t>
  </si>
  <si>
    <t>84520D</t>
  </si>
  <si>
    <t>PACK OF 20 FAIRY CAKE PAPER NAPKINS</t>
  </si>
  <si>
    <t>16169M</t>
  </si>
  <si>
    <t>WRAP DAISY CARPET</t>
  </si>
  <si>
    <t>17084N</t>
  </si>
  <si>
    <t>FAIRY DREAMS INCENSE</t>
  </si>
  <si>
    <t>CHRISTMAS TREE T-LIGHT HOLDER</t>
  </si>
  <si>
    <t>CHERUB HEART DECORATION GOLD</t>
  </si>
  <si>
    <t>35004P</t>
  </si>
  <si>
    <t>SET OF 3 PINK FLYING DUCKS</t>
  </si>
  <si>
    <t>TRIANGULAR RIDGED GLASS POSY HOLDER</t>
  </si>
  <si>
    <t>47592A</t>
  </si>
  <si>
    <t>CAROUSEL DES CHILD'S OVERALL</t>
  </si>
  <si>
    <t>84872a</t>
  </si>
  <si>
    <t>VINTAGE JINGLE BELLS WREATH</t>
  </si>
  <si>
    <t>MEDIUM PARLOUR PICTURE FRAME</t>
  </si>
  <si>
    <t>BLUE CUSHION COVER WITH FLOWER</t>
  </si>
  <si>
    <t>FELT EGG COSY LADYBIRD</t>
  </si>
  <si>
    <t>CHRISTMAS CARD SINGING ANGEL</t>
  </si>
  <si>
    <t>OVAL  MINI PORTRAIT FRAME</t>
  </si>
  <si>
    <t>SILVER TEDDY BEAR</t>
  </si>
  <si>
    <t>LAUREL HEART ANTIQUE GOLD</t>
  </si>
  <si>
    <t>84964A</t>
  </si>
  <si>
    <t>PINK PAINTED KASHMIRI TABLE</t>
  </si>
  <si>
    <t>SMALL APOTHECARY MEASURING JAR</t>
  </si>
  <si>
    <t>85230E</t>
  </si>
  <si>
    <t>STRAWBRY SCENTED VOTIVE CANDLE</t>
  </si>
  <si>
    <t>DRAWER KNOB VINTAGE GLASS HEXAGON</t>
  </si>
  <si>
    <t>71101E</t>
  </si>
  <si>
    <t>STANDING FAIRY POLE SUPPORT</t>
  </si>
  <si>
    <t>SIX DRAWER OFFICE TIDY</t>
  </si>
  <si>
    <t>16169N</t>
  </si>
  <si>
    <t>WRAP BLUE RUSSIAN FOLKART</t>
  </si>
  <si>
    <t>FLORAL PINK MONSTER</t>
  </si>
  <si>
    <t>S/5 MINI ICE CREAM FRIDGE MAGNETS</t>
  </si>
  <si>
    <t>ROSE DU SUD CHILDS APRON</t>
  </si>
  <si>
    <t>82616A</t>
  </si>
  <si>
    <t>BUBBLE GUM SCARF KNITTING KIT</t>
  </si>
  <si>
    <t>84596J</t>
  </si>
  <si>
    <t>MIXED NUTS LIGHT GREEN BOWL</t>
  </si>
  <si>
    <t>STORAGE TIN HOME SWEET HOME</t>
  </si>
  <si>
    <t>RETRO SISTERS EXPRESSO CUPS</t>
  </si>
  <si>
    <t>PHOTO FRAME LINEN AND LACE SMALL</t>
  </si>
  <si>
    <t>16156N</t>
  </si>
  <si>
    <t>WRAP, FRIENDSHIP ON GREEN</t>
  </si>
  <si>
    <t>84507C</t>
  </si>
  <si>
    <t>BLUE CIRCLES DESIGN MONKEY DOLL</t>
  </si>
  <si>
    <t>CHRISTMAS CARD SCREEN PRINT</t>
  </si>
  <si>
    <t>VINTAGE WOODEN PLATE RACK</t>
  </si>
  <si>
    <t>FOOD/DRINK SPONGE STICKERS</t>
  </si>
  <si>
    <t>FLORAL SOFT CAR TOY</t>
  </si>
  <si>
    <t>ASS COLOUR GLOWING TIARAS</t>
  </si>
  <si>
    <t>HEART BUTTONS JEWELLERY BOX</t>
  </si>
  <si>
    <t>MUM'S KITCHEN CLOCK</t>
  </si>
  <si>
    <t>SET/4 SCENTED CANDLES IN RAMEKINS</t>
  </si>
  <si>
    <t>PARTY PIZZA DISH GREEN POLKADOT</t>
  </si>
  <si>
    <t>90198A</t>
  </si>
  <si>
    <t>VINTAGE ROSE BEAD BRACELET RASPBERR</t>
  </si>
  <si>
    <t>84859A</t>
  </si>
  <si>
    <t>SILVER DISCO HANDBAG</t>
  </si>
  <si>
    <t>84247G</t>
  </si>
  <si>
    <t>DECOUPAGE,GREETING CARD,</t>
  </si>
  <si>
    <t>85114c</t>
  </si>
  <si>
    <t>ORANGE FLOWER MUG</t>
  </si>
  <si>
    <t>LARGE APOTHECARY MEASURING JAR</t>
  </si>
  <si>
    <t>79315W</t>
  </si>
  <si>
    <t>FLYING SAUCER TABLE LIGHT IN WHITE</t>
  </si>
  <si>
    <t>DAISY FOLKART HEART DECORATION</t>
  </si>
  <si>
    <t>LOO ROLL  METAL SIGN</t>
  </si>
  <si>
    <t>84858C</t>
  </si>
  <si>
    <t>PINK RIVIERA HANDBAG</t>
  </si>
  <si>
    <t>MINI JIGSAW GO TO THE FAIR</t>
  </si>
  <si>
    <t>QUEEN OF SKIES LUGGAGE TAG</t>
  </si>
  <si>
    <t>12 MINI TOADSTOOL PEGS</t>
  </si>
  <si>
    <t>85028L</t>
  </si>
  <si>
    <t>FRENCH CHATEAU LARGE FRUIT BOWL</t>
  </si>
  <si>
    <t>90184B</t>
  </si>
  <si>
    <t>AMETHYST CHUNKY BEAD BRACELET W STR</t>
  </si>
  <si>
    <t>84932C</t>
  </si>
  <si>
    <t>SMALL ORIENTAL BLUE FOLDING STOOL</t>
  </si>
  <si>
    <t>CLAM SHELL LARGE</t>
  </si>
  <si>
    <t>FLORAL BLUE MONSTER</t>
  </si>
  <si>
    <t>EMBROIDERED RIBBON REEL RUBY</t>
  </si>
  <si>
    <t>84952B</t>
  </si>
  <si>
    <t>BLACK LOVE BIRD T-LIGHT HOLDER</t>
  </si>
  <si>
    <t>85169D</t>
  </si>
  <si>
    <t>PINK LOVE BIRD CANDLE</t>
  </si>
  <si>
    <t>BLUE PATCH PENCIL CASE PINK HEART</t>
  </si>
  <si>
    <t>SILVER ROCOCO CANDLE STICK</t>
  </si>
  <si>
    <t>84932A</t>
  </si>
  <si>
    <t>SMALL GREEN PEONY FOLDING STOOL</t>
  </si>
  <si>
    <t>85028S</t>
  </si>
  <si>
    <t>FRENCH CHATEAU SMALL FRUITBOWL</t>
  </si>
  <si>
    <t>84563B</t>
  </si>
  <si>
    <t>BLUE &amp; WHITE BREAKFAST TRAY</t>
  </si>
  <si>
    <t>NIGHTINGALE COATHOOK WHITE</t>
  </si>
  <si>
    <t>18094C</t>
  </si>
  <si>
    <t>WHITE AND BLUE CERAMIC OIL BURNER</t>
  </si>
  <si>
    <t>JARDIN ETCHED GLASS SMALL BELL JAR</t>
  </si>
  <si>
    <t>OLD DOC RUSSEL METAL SIGN</t>
  </si>
  <si>
    <t>17109D</t>
  </si>
  <si>
    <t>FLOWER FAIRY INCENSE BOUQUET</t>
  </si>
  <si>
    <t>ASSORTED SHAPES PHOTO CLIP SILVER</t>
  </si>
  <si>
    <t>BLUE PAISLEY TISSUE BOX</t>
  </si>
  <si>
    <t>79190B</t>
  </si>
  <si>
    <t>RETRO PLASTIC POLKA TRAY</t>
  </si>
  <si>
    <t>82011C</t>
  </si>
  <si>
    <t>BATHROOM SCALES FOOTPRINTS IN SAND</t>
  </si>
  <si>
    <t>COFFEE SCENT PILLAR CANDLE</t>
  </si>
  <si>
    <t>CLASSICAL ROSE DISH</t>
  </si>
  <si>
    <t>PACK OF 12 DOLLY GIRL TISSUES</t>
  </si>
  <si>
    <t>CERAMIC BIRDHOUSE FINCH BLUE  LARGE</t>
  </si>
  <si>
    <t>ZINC HEART LATTICE DOUBLE PLANTER</t>
  </si>
  <si>
    <t>62096A</t>
  </si>
  <si>
    <t>PINK/YELLOW FLOWERS HANDBAG</t>
  </si>
  <si>
    <t>CANDY SPOT TEA COSY</t>
  </si>
  <si>
    <t>GLASS CHICKEN BUTTER DISH</t>
  </si>
  <si>
    <t>SET/4 BADGES WOODLAND ANIMAL</t>
  </si>
  <si>
    <t>POLKA DOT PISTACHIO PAIL</t>
  </si>
  <si>
    <t>ARCHED GREY MIRROR</t>
  </si>
  <si>
    <t>84963B</t>
  </si>
  <si>
    <t>BLUE PAINTED KASHMIRI CHAIR</t>
  </si>
  <si>
    <t>GLASS SPHERE CANDLE STAND LARGE</t>
  </si>
  <si>
    <t>FRENCH BOTTLE, BRASSERIE DES ARTIST</t>
  </si>
  <si>
    <t>POTTING SHED SEED TIN</t>
  </si>
  <si>
    <t>WHITE SAGE INCENSE</t>
  </si>
  <si>
    <t>SET 12 VINTAGE DOILY CHALK</t>
  </si>
  <si>
    <t>KITTY PENCIL ERASERS</t>
  </si>
  <si>
    <t>ASSTD DESIGN POP ART SLIM PEN</t>
  </si>
  <si>
    <t>EGG CUP MILKMAID HELGA</t>
  </si>
  <si>
    <t>LIGHT BIRD HOUSE TREE DECORATION</t>
  </si>
  <si>
    <t>GOLD EAR MUFF HEADPHONES</t>
  </si>
  <si>
    <t>WALL ART I LOVE LONDON</t>
  </si>
  <si>
    <t>ROUND CACTUS CANDLE</t>
  </si>
  <si>
    <t>90199C</t>
  </si>
  <si>
    <t>5 STRAND GLASS NECKLACE CRYSTAL</t>
  </si>
  <si>
    <t>84707B</t>
  </si>
  <si>
    <t>PINK JEWELLED MIRROR TRINKET TRAY</t>
  </si>
  <si>
    <t>90010B</t>
  </si>
  <si>
    <t>BLACK/WHITE GLASS/SILVER BRACELET</t>
  </si>
  <si>
    <t>15056p</t>
  </si>
  <si>
    <t>CONCH SHELL</t>
  </si>
  <si>
    <t>ASSORTED COLOUR LIZARD SUCTION HOOK</t>
  </si>
  <si>
    <t>EASTER BUNNY WREATH</t>
  </si>
  <si>
    <t>GLASS TWIST BON BON JAR</t>
  </si>
  <si>
    <t>6PC WOOD PLATE SET DISPOSABLE</t>
  </si>
  <si>
    <t>84932D</t>
  </si>
  <si>
    <t>SMALL ORIENTAL RED FOLDING STOOL</t>
  </si>
  <si>
    <t>37444C</t>
  </si>
  <si>
    <t>PINK BREAKFAST CUP AND SAUCER</t>
  </si>
  <si>
    <t>17013D</t>
  </si>
  <si>
    <t>ORIGAMI ROSE INCENSE IN TUBE</t>
  </si>
  <si>
    <t>84846A</t>
  </si>
  <si>
    <t>SCENTED CANDLE IN DIGITALIS TIN</t>
  </si>
  <si>
    <t>84924A</t>
  </si>
  <si>
    <t>WAKE UP COCKEREL CALENDAR SIGN</t>
  </si>
  <si>
    <t>BLUE  TILE HOOK</t>
  </si>
  <si>
    <t>85019C</t>
  </si>
  <si>
    <t>CURIOUS  IMAGES NOTEBOOK SET</t>
  </si>
  <si>
    <t>SMALL PARLOUR PICTURE FRAME</t>
  </si>
  <si>
    <t>EDWARDIAN PHOTO FRAME</t>
  </si>
  <si>
    <t>85086A</t>
  </si>
  <si>
    <t>CANDY SPOT HEART DECORATION</t>
  </si>
  <si>
    <t>84569C</t>
  </si>
  <si>
    <t>PACK 4 FLOWER/BUTTERFLY PATCHES</t>
  </si>
  <si>
    <t>LAUREL STAR ANTIQUE SILVER</t>
  </si>
  <si>
    <t>84806B</t>
  </si>
  <si>
    <t>WHITE CANDYSTUFT ARTIFICIAL FLOWER</t>
  </si>
  <si>
    <t>85230B</t>
  </si>
  <si>
    <t>CINNAMON SCENTED VOTIVE CANDLE</t>
  </si>
  <si>
    <t>PACK OF 12 VINTAGE LEAF TISSUES</t>
  </si>
  <si>
    <t>90195A</t>
  </si>
  <si>
    <t>PURPLE GEMSTONE BRACELET</t>
  </si>
  <si>
    <t>16169C</t>
  </si>
  <si>
    <t>WRAP BLUE REINDEER</t>
  </si>
  <si>
    <t>85169C</t>
  </si>
  <si>
    <t>EAU DE NIL LOVE BIRD CANDLE</t>
  </si>
  <si>
    <t>HANGING WOOD AND FELT HEART</t>
  </si>
  <si>
    <t>47583A</t>
  </si>
  <si>
    <t>SET OF 3 WICKER BASKET ROSE</t>
  </si>
  <si>
    <t>TREE T-LIGHT HOLDER WILLIE WINKIE</t>
  </si>
  <si>
    <t>84569B</t>
  </si>
  <si>
    <t>PACK 3 FIRE ENGINE/CAR PATCHES</t>
  </si>
  <si>
    <t>ASSTD HEARTS DESIGN MUGS</t>
  </si>
  <si>
    <t>RED ROSE AND LACE C/COVER</t>
  </si>
  <si>
    <t>TEATIME GEL PENS ASST</t>
  </si>
  <si>
    <t>PARTY TIME PENCIL ERASERS</t>
  </si>
  <si>
    <t>84876D</t>
  </si>
  <si>
    <t>BLUE HEART COMPACT MIRROR</t>
  </si>
  <si>
    <t>SQUARE MINI PORTRAIT FRAME</t>
  </si>
  <si>
    <t>S/3 PINK SQUARE PLANTERS ROSES</t>
  </si>
  <si>
    <t>MIRRORED WALL ART POPPIES</t>
  </si>
  <si>
    <t>FRENCH LATTICE CUSHION COVER</t>
  </si>
  <si>
    <t>85129A</t>
  </si>
  <si>
    <t>WHITE PEARL BEADED HEART, SMALL</t>
  </si>
  <si>
    <t>CUTE CATS TAPE</t>
  </si>
  <si>
    <t>LARGE PARLOUR PICTURE FRAME</t>
  </si>
  <si>
    <t>90120D</t>
  </si>
  <si>
    <t>WHITE MURANO TWIST BRACELET</t>
  </si>
  <si>
    <t>SILVER BRACELET W PASTEL FLOWER</t>
  </si>
  <si>
    <t>FROG KING WATERING CAN</t>
  </si>
  <si>
    <t>WOODLAND SMALL RED FELT HEART</t>
  </si>
  <si>
    <t>84859C</t>
  </si>
  <si>
    <t>PINK DISCO HANDBAG</t>
  </si>
  <si>
    <t>84805B</t>
  </si>
  <si>
    <t>BLUE CLIMBING HYDRANGA ART FLOWER</t>
  </si>
  <si>
    <t>85071D</t>
  </si>
  <si>
    <t>CHARLIE+LOLA MY ROOM DOOR SIGN</t>
  </si>
  <si>
    <t>WHITE WITH BLACK CATS PLATE</t>
  </si>
  <si>
    <t>WRAP BIRD GARDEN</t>
  </si>
  <si>
    <t>SET 3 JARDIN DE FEMME SCENT CANDLES</t>
  </si>
  <si>
    <t>HEART TRELLIS TRIPLE T-LIGHT HOLDER</t>
  </si>
  <si>
    <t>90058B</t>
  </si>
  <si>
    <t>CRYSTAL STUD EARRINGS ASSORTED COL</t>
  </si>
  <si>
    <t>SET/4 BIRD MIRROR MAGNETS</t>
  </si>
  <si>
    <t>PREMIUM CHURCH CANDLE</t>
  </si>
  <si>
    <t>FOLKART CROWN TABLE DECORATIONS</t>
  </si>
  <si>
    <t>CANDY SPOT APRON</t>
  </si>
  <si>
    <t>CHRISTMAS CARD STACK OF PRESENTS</t>
  </si>
  <si>
    <t>MARAKESH LANTERN LARGE</t>
  </si>
  <si>
    <t>PAPER LANTERN 9 POINT HOLLY STAR L</t>
  </si>
  <si>
    <t>84596K</t>
  </si>
  <si>
    <t>JELLY BABIES YELLOW SMALL BOWL</t>
  </si>
  <si>
    <t>EMBOSSED HEART TRINKET BOX</t>
  </si>
  <si>
    <t>SET/6 GINGERBREAD STAR T-LIGHTS</t>
  </si>
  <si>
    <t>CROCHET ROSE PURSE WITH SUEDE BACK</t>
  </si>
  <si>
    <t>47021G</t>
  </si>
  <si>
    <t>SET/6 BEAD COASTERS GAUZE BAG GOLD</t>
  </si>
  <si>
    <t>SILVER CHARM NECKLACE 70CM</t>
  </si>
  <si>
    <t>WATERING CAN SINGLE HOOK PISTACHIO</t>
  </si>
  <si>
    <t>MIRRORED WALL ART SNOWFLAKES</t>
  </si>
  <si>
    <t>HANGING HEART BONHEUR</t>
  </si>
  <si>
    <t>ECONOMY LUGGAGE TAG</t>
  </si>
  <si>
    <t>RED BIRD HOUSE TREE DECORATION</t>
  </si>
  <si>
    <t>TEATIME ROUND PENCIL SHARPENER</t>
  </si>
  <si>
    <t>GOLD WINE GOBLET</t>
  </si>
  <si>
    <t>84414B</t>
  </si>
  <si>
    <t>FUSCHIA/GREEN STRIPE WOOLLY BLANKET</t>
  </si>
  <si>
    <t>84804B</t>
  </si>
  <si>
    <t>BLUE DELPHINIUM ARTIFICIAL FLOWER</t>
  </si>
  <si>
    <t>JARDIN ETCHED GLASS GINGER JAR</t>
  </si>
  <si>
    <t>PAPERWEIGHT KINGS CHOICE</t>
  </si>
  <si>
    <t>16169P</t>
  </si>
  <si>
    <t>WRAP GREEN RUSSIAN FOLKART</t>
  </si>
  <si>
    <t>ROUND PINK HEART MIRROR</t>
  </si>
  <si>
    <t>SMALL MARAKESH LANTERN ON STICK</t>
  </si>
  <si>
    <t>84984B</t>
  </si>
  <si>
    <t>RED PEONY CUSHION COVER</t>
  </si>
  <si>
    <t>KEEP OUT GIRLS DOOR HANGER</t>
  </si>
  <si>
    <t>85023B</t>
  </si>
  <si>
    <t>EAU DE NILE JEWELLED PHOTOFRAME</t>
  </si>
  <si>
    <t>84661B</t>
  </si>
  <si>
    <t>BLACK SQUARE TABLE CLOCK</t>
  </si>
  <si>
    <t>90160D</t>
  </si>
  <si>
    <t>PINK BOUDICCA LARGE BRACELET</t>
  </si>
  <si>
    <t>CAKES AND RABBITS DESIGN FLANNEL</t>
  </si>
  <si>
    <t>PHOTO CLIP LINE</t>
  </si>
  <si>
    <t>CHERRY BLOSSOM LUGGAGE TAG</t>
  </si>
  <si>
    <t>STARFISH SOAP DISH</t>
  </si>
  <si>
    <t>HEART BEADED TRELLIS DECORATION</t>
  </si>
  <si>
    <t>90175D</t>
  </si>
  <si>
    <t>TIGRIS EYE CHUNKY CHARM BRACELET</t>
  </si>
  <si>
    <t>84931A</t>
  </si>
  <si>
    <t>PINK SCOTTIE DOG W FLOWER PATTERN</t>
  </si>
  <si>
    <t>GREEN ROSE CUSHION COVER</t>
  </si>
  <si>
    <t>85226C</t>
  </si>
  <si>
    <t>BLUE PULL BACK RACING CAR</t>
  </si>
  <si>
    <t>ROSE SCENT CANDLES IN GLASS</t>
  </si>
  <si>
    <t>BLUE EGG  SPOON</t>
  </si>
  <si>
    <t>EASTER TIN CHICKS IN GARDEN</t>
  </si>
  <si>
    <t>MONEY BOX FIRST ADE DESIGN</t>
  </si>
  <si>
    <t>EGG FRYING PAN PINK</t>
  </si>
  <si>
    <t>YELLOW EASTER EGG HUNT START POST</t>
  </si>
  <si>
    <t>CLASSICAL ROSE CANDLESTAND</t>
  </si>
  <si>
    <t>SILVER FABRIC MIRROR</t>
  </si>
  <si>
    <t>72801C</t>
  </si>
  <si>
    <t>4 ROSE PINK DINNER CANDLES</t>
  </si>
  <si>
    <t>85179A</t>
  </si>
  <si>
    <t>GREEN BITTY LIGHT CHAIN</t>
  </si>
  <si>
    <t>HENRIETTA HEN MUG</t>
  </si>
  <si>
    <t>85039C</t>
  </si>
  <si>
    <t>S/4 BLACK MINI ROSE CANDLE IN BOWL</t>
  </si>
  <si>
    <t>SILVER BOOK MARK WITH BEADS</t>
  </si>
  <si>
    <t>SUMMER DAISIES BAG CHARM</t>
  </si>
  <si>
    <t>85129C</t>
  </si>
  <si>
    <t>BEADED CRYSTAL HEART BLUE SMALL</t>
  </si>
  <si>
    <t>FUNKY MONKEY CUSHION COVER</t>
  </si>
  <si>
    <t>SINGLE WIRE HOOK PINK HEART</t>
  </si>
  <si>
    <t>16168M</t>
  </si>
  <si>
    <t>FUNKY MONKEY GIFT BAG MEDIUM</t>
  </si>
  <si>
    <t>72807c</t>
  </si>
  <si>
    <t>IVORY WIRE SWEETHEART LETTER TRAY</t>
  </si>
  <si>
    <t>47559b</t>
  </si>
  <si>
    <t>84875B</t>
  </si>
  <si>
    <t>GREEN SQUARE COMPACT MIRROR</t>
  </si>
  <si>
    <t>84989B</t>
  </si>
  <si>
    <t>75 BLACK FAIRY CAKE CASES</t>
  </si>
  <si>
    <t>HELLO SAILOR BATHROOM SET</t>
  </si>
  <si>
    <t>SPRIG LAVENDER ARTIFICIAL FLOWER</t>
  </si>
  <si>
    <t>BLOND DOLL DOORSTOP</t>
  </si>
  <si>
    <t>RETRO PINK SPOT WASHING UP GLOVES</t>
  </si>
  <si>
    <t>84247L</t>
  </si>
  <si>
    <t>FAWN AND MUSHROOM GREETING CARD</t>
  </si>
  <si>
    <t>FIRST CLASS LUGGAGE TAG</t>
  </si>
  <si>
    <t>35810B</t>
  </si>
  <si>
    <t>ENAMEL BLUE RIM COFFEE CONTAINER</t>
  </si>
  <si>
    <t>PINK ROUND BUTTERFLY MIRROR</t>
  </si>
  <si>
    <t>BOX/12 CHICK &amp; EGG IN BASKET</t>
  </si>
  <si>
    <t>35004S</t>
  </si>
  <si>
    <t>SET OF 3 SILVER FLYING DUCKS</t>
  </si>
  <si>
    <t>85169B</t>
  </si>
  <si>
    <t>BLACK LOVE BIRD CANDLE</t>
  </si>
  <si>
    <t>84509c</t>
  </si>
  <si>
    <t>GLASS BONNE JAM JAR</t>
  </si>
  <si>
    <t>BIRD IN TREE MUG</t>
  </si>
  <si>
    <t>84877B</t>
  </si>
  <si>
    <t>GREEN ROUND COMPACT MIRROR</t>
  </si>
  <si>
    <t>MINI JIGSAW LEAP FROG</t>
  </si>
  <si>
    <t>ZINC HEART LATTICE 2 WALL PLANTER</t>
  </si>
  <si>
    <t>SET OF 6 RIBBONS COUNTRY STYLE</t>
  </si>
  <si>
    <t>BLUE FLOCK GLASS CANDLEHOLDER</t>
  </si>
  <si>
    <t>90014A</t>
  </si>
  <si>
    <t>SILVER/MOP ORBIT NECKLACE</t>
  </si>
  <si>
    <t>POPPY FIELDS CHOPPING BOARD</t>
  </si>
  <si>
    <t>SKULLS TAPE</t>
  </si>
  <si>
    <t>84706D</t>
  </si>
  <si>
    <t>CHERRY BLOSSOM TABLE CLOCK</t>
  </si>
  <si>
    <t>PATCHWORK PENCIL CASE BUTTERFLY</t>
  </si>
  <si>
    <t>TUSCAN VILLA DOVECOTE BIRD FEEDER</t>
  </si>
  <si>
    <t>PAPER LANTERN 5 POINT STAR MOON</t>
  </si>
  <si>
    <t>35600D</t>
  </si>
  <si>
    <t>PINK AND WHITE CHRISTMAS TREE 180CM</t>
  </si>
  <si>
    <t>84782C</t>
  </si>
  <si>
    <t>GREEN 3 TIER GLASS PLATE STAND</t>
  </si>
  <si>
    <t>85230A</t>
  </si>
  <si>
    <t>OPIUM SCENTED VOTIVE CANDLE</t>
  </si>
  <si>
    <t>HOUSE SHAPE PENCIL SHARPENER</t>
  </si>
  <si>
    <t>90195B</t>
  </si>
  <si>
    <t>BLACK GEMSTONE BRACELET</t>
  </si>
  <si>
    <t>DENIM PATCH PENCIL CASE BUTTERFLY</t>
  </si>
  <si>
    <t>84798B</t>
  </si>
  <si>
    <t>PURPLE FOXGLOVE ARTIIFCIAL FLOWER</t>
  </si>
  <si>
    <t>BALLERINA HEART DECORATION.</t>
  </si>
  <si>
    <t>85027L</t>
  </si>
  <si>
    <t>FRENCH CHATEAU LARGE PLATTER</t>
  </si>
  <si>
    <t>85014b</t>
  </si>
  <si>
    <t>ASS DES PHONE SPONGE CRAFT STICKER</t>
  </si>
  <si>
    <t>90160B</t>
  </si>
  <si>
    <t>RED BOUDICCA LARGE BRACELET</t>
  </si>
  <si>
    <t>84876B</t>
  </si>
  <si>
    <t>GREEN HEART COMPACT MIRROR</t>
  </si>
  <si>
    <t>BOTANICAL LAVENDER BIRTHDAY CARD</t>
  </si>
  <si>
    <t>FOLK ART METAL STAR T-LIGHT HOLDER</t>
  </si>
  <si>
    <t>84970l</t>
  </si>
  <si>
    <t>51020B</t>
  </si>
  <si>
    <t>STRIPY DESIGN SHOWER CAP</t>
  </si>
  <si>
    <t>FELT FARM ANIMAL HEN</t>
  </si>
  <si>
    <t>BLUE TILED TRAY</t>
  </si>
  <si>
    <t>FRENCH CHATEAU OVAL PLATTER</t>
  </si>
  <si>
    <t>84875D</t>
  </si>
  <si>
    <t>BLUE SQUARE COMPACT MIRROR</t>
  </si>
  <si>
    <t>35471A</t>
  </si>
  <si>
    <t>SET OF 3 BIRD L.BLUE FEATHER</t>
  </si>
  <si>
    <t>LAUREL STAR ANTIQUE GOLD</t>
  </si>
  <si>
    <t>BLACK FACE LAMB WITH PANTS</t>
  </si>
  <si>
    <t>84926E</t>
  </si>
  <si>
    <t>FLOWERS TILE COASTER</t>
  </si>
  <si>
    <t>VINTAGE GLASS SUGAR CADDY</t>
  </si>
  <si>
    <t>WRAP KEEP CALM BIRTHDAY</t>
  </si>
  <si>
    <t>BOTANICAL LAVENDER GIFT WRAP</t>
  </si>
  <si>
    <t>SILVER STANDING GNOME</t>
  </si>
  <si>
    <t>16244A</t>
  </si>
  <si>
    <t>MAXWELL 2 TONE PINK 60 PAGE PHOTO A</t>
  </si>
  <si>
    <t>PANTRY HOOK BALLOON WHISK</t>
  </si>
  <si>
    <t>DAIRY MAID  SMALL  MILK JUG</t>
  </si>
  <si>
    <t>72750C</t>
  </si>
  <si>
    <t>F.FAIRY S/3 CANDLE/GLASS, ROSE</t>
  </si>
  <si>
    <t>SET OF 6 RIBBONS PARTY</t>
  </si>
  <si>
    <t>85170B</t>
  </si>
  <si>
    <t>SET/6 BLACK BIRD T-LIGHT CANDLES</t>
  </si>
  <si>
    <t>84809A</t>
  </si>
  <si>
    <t>WHITE CHRYSANTHEMUMS ART FLOWER</t>
  </si>
  <si>
    <t>BANK ACCOUNT  GREETING  CARD</t>
  </si>
  <si>
    <t>85136B</t>
  </si>
  <si>
    <t>BLUE SHARK HELICOPTER</t>
  </si>
  <si>
    <t>37492C</t>
  </si>
  <si>
    <t>GREEN BLUE FLOWER PIGGY BANK</t>
  </si>
  <si>
    <t>40046A</t>
  </si>
  <si>
    <t>RED DAISY PAPER LAMPSHADE</t>
  </si>
  <si>
    <t>JADE DROP EARRINGS W FILIGREE</t>
  </si>
  <si>
    <t>SILVER HANGING T-LIGHT HOLDER DOME</t>
  </si>
  <si>
    <t>79071B</t>
  </si>
  <si>
    <t>ENGLISH ROSE METAL WASTE BIN</t>
  </si>
  <si>
    <t>35911A</t>
  </si>
  <si>
    <t>MULTICOLOUR RABBIT EGG WARMER</t>
  </si>
  <si>
    <t>72799B</t>
  </si>
  <si>
    <t>PURPLE PILLAR CANDLE BLACK FLOCK</t>
  </si>
  <si>
    <t>90010E</t>
  </si>
  <si>
    <t>AMBER GLASS/SILVER BRACELET</t>
  </si>
  <si>
    <t>PACK OF 12 RED APPLE TISSUES</t>
  </si>
  <si>
    <t>CANDY SPOT BREAD BASKETS</t>
  </si>
  <si>
    <t>51020A</t>
  </si>
  <si>
    <t>SUMMER FUN DESIGN SHOWER CAP</t>
  </si>
  <si>
    <t>COLUMBIAN CUBE CANDLE</t>
  </si>
  <si>
    <t>S/4 GROOVY CAT MAGNETS</t>
  </si>
  <si>
    <t>90120C</t>
  </si>
  <si>
    <t>GREEN MURANO TWIST BRACELET</t>
  </si>
  <si>
    <t>84972L</t>
  </si>
  <si>
    <t>GIANT PINK HEART MEMO HOLDER</t>
  </si>
  <si>
    <t>HANGING WOOD AND FELT FLOWER</t>
  </si>
  <si>
    <t>BASKET/8 SCENTED LOVE TOKEN CANDLES</t>
  </si>
  <si>
    <t>HAND TOWEL PINK FLOWER AND DAISY</t>
  </si>
  <si>
    <t>16207B</t>
  </si>
  <si>
    <t>PINK HEART RED HANDBAG</t>
  </si>
  <si>
    <t>RIDGED BONNE JAM JAR T-LIGHT HOLDER</t>
  </si>
  <si>
    <t>SILVER HOOP EARRINGS WITH FLOWER</t>
  </si>
  <si>
    <t>ASSORTED MONKEY SUCTION CUP HOOK</t>
  </si>
  <si>
    <t>LIGHTHOUSE PRINTED METAL SIGN</t>
  </si>
  <si>
    <t>ECONOMY PASSPORT COVER</t>
  </si>
  <si>
    <t>84984A</t>
  </si>
  <si>
    <t>GREEN PEONY CUSHION COVER</t>
  </si>
  <si>
    <t>MINI PLAYING CARDS FUN FAIR</t>
  </si>
  <si>
    <t>72225C</t>
  </si>
  <si>
    <t>LAVENDER SCENT CAKE CANDLE</t>
  </si>
  <si>
    <t>WRAP MAGIC FOREST</t>
  </si>
  <si>
    <t>90120B</t>
  </si>
  <si>
    <t>BLUE MURANO TWIST BRACELET</t>
  </si>
  <si>
    <t>PINK HEARTS PHOTO ALBUM</t>
  </si>
  <si>
    <t>84597C</t>
  </si>
  <si>
    <t>RETRO PINK BALL ASHTRAY</t>
  </si>
  <si>
    <t>17164D</t>
  </si>
  <si>
    <t>ASS COL SMALL SAND FROG P'WEIGHT</t>
  </si>
  <si>
    <t>COLUMBIAN CANDLE ROUND</t>
  </si>
  <si>
    <t>CHERRY BLOSSOM PASSPORT COVER</t>
  </si>
  <si>
    <t>CARTOON  PENCIL SHARPENERS</t>
  </si>
  <si>
    <t>72801D</t>
  </si>
  <si>
    <t>S/4 SKY BLUE DINNER CANDLES</t>
  </si>
  <si>
    <t>90198B</t>
  </si>
  <si>
    <t>VINTAGE ROSE BEAD BRACELET BLACK</t>
  </si>
  <si>
    <t>84857C</t>
  </si>
  <si>
    <t>PINK MONTE CARLO HANDBAG</t>
  </si>
  <si>
    <t>62096B</t>
  </si>
  <si>
    <t>PURPLE/TURQ FLOWERS HANDBAG</t>
  </si>
  <si>
    <t>16243B</t>
  </si>
  <si>
    <t>BROWN COZY SQUARE PHOTO ALBUM</t>
  </si>
  <si>
    <t>NINJA RABBIT PINK</t>
  </si>
  <si>
    <t>84508B</t>
  </si>
  <si>
    <t>STRIPES DESIGN TEDDY</t>
  </si>
  <si>
    <t>LAZER CUT NECKLACE W PASTEL BEADS</t>
  </si>
  <si>
    <t>79030A</t>
  </si>
  <si>
    <t>TUMBLER, ENGLISH ROSE</t>
  </si>
  <si>
    <t>PAPER LANTERN 9 POINT HOLLY STAR S</t>
  </si>
  <si>
    <t>84859B</t>
  </si>
  <si>
    <t>BLUE DISCO HANDBAG</t>
  </si>
  <si>
    <t>84510F</t>
  </si>
  <si>
    <t>SET OF 4 NEW ENGLAND COASTERS</t>
  </si>
  <si>
    <t>ROBOT MUG IN DISPLAY BOX</t>
  </si>
  <si>
    <t>84858B</t>
  </si>
  <si>
    <t>BLUE RIVIERA HANDBAG</t>
  </si>
  <si>
    <t>CHRISTMAS HANGING SNOWFLAKE</t>
  </si>
  <si>
    <t>84802B</t>
  </si>
  <si>
    <t>PURPLE ANEMONE ARTIFICIAL FLOWER</t>
  </si>
  <si>
    <t>ZINC HEART LATTICE TRAY OVAL</t>
  </si>
  <si>
    <t>POPART WOODEN PENCILS ASST</t>
  </si>
  <si>
    <t>90013B</t>
  </si>
  <si>
    <t>BLACK VINTAGE EARRINGS</t>
  </si>
  <si>
    <t>16161M</t>
  </si>
  <si>
    <t>WRAP  PINK FLOCK</t>
  </si>
  <si>
    <t>84966B</t>
  </si>
  <si>
    <t>BLUE KASHMIRI BOXED MIRROR</t>
  </si>
  <si>
    <t>PINK/BLUE DISC/MIRROR STRING</t>
  </si>
  <si>
    <t>84801A</t>
  </si>
  <si>
    <t>PINK HYDRANGEA ART FLOWER</t>
  </si>
  <si>
    <t>PAISLEY PATTERN  STICKERS</t>
  </si>
  <si>
    <t>NINJA RABBIT BLACK</t>
  </si>
  <si>
    <t>DECORATIVE NET CANOPY LEOPARD</t>
  </si>
  <si>
    <t>16207A</t>
  </si>
  <si>
    <t>PINK STRAWBERRY HANDBAG</t>
  </si>
  <si>
    <t>SMALL FOLDING SCISSOR(POINTED EDGE)</t>
  </si>
  <si>
    <t>SMALL MARAKESH METAL  LANTERN</t>
  </si>
  <si>
    <t>TEA TIME BREAKFAST BASKET</t>
  </si>
  <si>
    <t>FIRST CLASS HOLIDAY PURSE</t>
  </si>
  <si>
    <t>46126A</t>
  </si>
  <si>
    <t>ELVIS WALLHANGING / CURTAIN</t>
  </si>
  <si>
    <t>84967C</t>
  </si>
  <si>
    <t>GREEN KASHMIRI OCCASIONAL TABLE</t>
  </si>
  <si>
    <t>90201B</t>
  </si>
  <si>
    <t>BLACK ENAMEL FLOWER RING</t>
  </si>
  <si>
    <t>GOLD SCROLL GLASS T-LIGHT HOLDER</t>
  </si>
  <si>
    <t>MAGIC GARDEN MOUNT FUJI</t>
  </si>
  <si>
    <t>BOTANICAL LILY GREETING CARD</t>
  </si>
  <si>
    <t>84532B</t>
  </si>
  <si>
    <t>FAIRY CAKES RECTANGLUAR BOXES</t>
  </si>
  <si>
    <t>85014a</t>
  </si>
  <si>
    <t>ENAMEL BLUE RIM OVAL TRAY SET/2</t>
  </si>
  <si>
    <t>GOLD WASHBAG</t>
  </si>
  <si>
    <t>84529C</t>
  </si>
  <si>
    <t>YELLOW KNITTED KIDS RUCKSACK</t>
  </si>
  <si>
    <t>84804A</t>
  </si>
  <si>
    <t>CREAM DELPHINIUM ARTIFICIAL FLOWER</t>
  </si>
  <si>
    <t>S/3 TEAR DROP CUT GLASS DECORATION</t>
  </si>
  <si>
    <t>PAPERWEIGHT VINTAGE PAISLEY</t>
  </si>
  <si>
    <t>85097B</t>
  </si>
  <si>
    <t>BLUE ROCKING SINGING CANARY</t>
  </si>
  <si>
    <t>HOME SWEET HOME HOOK</t>
  </si>
  <si>
    <t>72803B</t>
  </si>
  <si>
    <t>OCEAN SCENT CANDLE JEWELLED DRAWER</t>
  </si>
  <si>
    <t>85230G</t>
  </si>
  <si>
    <t>ORANGE VOTIVE CANDLE</t>
  </si>
  <si>
    <t>BOOZE &amp; WOMEN GREETING CARD</t>
  </si>
  <si>
    <t>84873A</t>
  </si>
  <si>
    <t>84884a</t>
  </si>
  <si>
    <t>KASBAH LANTERN WITH GLASS</t>
  </si>
  <si>
    <t>SILVER FLOWR PINK SHELL NECKLACE</t>
  </si>
  <si>
    <t>16169F</t>
  </si>
  <si>
    <t>WRAP BLIZZARD</t>
  </si>
  <si>
    <t>84595B</t>
  </si>
  <si>
    <t>LARGE TRIFLE DESIGN L BLUE BOWL</t>
  </si>
  <si>
    <t>SET OF MEADOW  FLOWER STICKERS</t>
  </si>
  <si>
    <t>BLACK SILOUETTE CANDLE PLATE</t>
  </si>
  <si>
    <t>90206C</t>
  </si>
  <si>
    <t>CRYSTAL DIAMANTE STAR BROOCH</t>
  </si>
  <si>
    <t>EGG FRYING PAN BLUE</t>
  </si>
  <si>
    <t>84984D</t>
  </si>
  <si>
    <t>ORIENTAL RED C/COVER</t>
  </si>
  <si>
    <t>72801E</t>
  </si>
  <si>
    <t>S/4 FESTIVE GREEN DINNER CANDLES</t>
  </si>
  <si>
    <t>90013A</t>
  </si>
  <si>
    <t>MIDNIGHT BLUE VINTAGE EARRINGS</t>
  </si>
  <si>
    <t>84968e</t>
  </si>
  <si>
    <t>84510C</t>
  </si>
  <si>
    <t>SET OF 4 POLKADOT COASTERS</t>
  </si>
  <si>
    <t>BEECH WOOD PHOTO FRAME</t>
  </si>
  <si>
    <t>84798A</t>
  </si>
  <si>
    <t>PINK FOXGLOVE ARTIIFCIAL FLOWER</t>
  </si>
  <si>
    <t>MOCK LOBSTER FRIDGE MAGNET</t>
  </si>
  <si>
    <t>84932B</t>
  </si>
  <si>
    <t>SMALL PINK PEONY FOLDING STOOL</t>
  </si>
  <si>
    <t>84984C</t>
  </si>
  <si>
    <t>ORIENTAL BLUE C/COVER</t>
  </si>
  <si>
    <t>SNACK TRAY RED VINTAGE DOILY</t>
  </si>
  <si>
    <t>RED RETRO KITCHEN WALL CLOCK</t>
  </si>
  <si>
    <t>84762A</t>
  </si>
  <si>
    <t>WHITE PICNIC BARBECUE BUCKET</t>
  </si>
  <si>
    <t>16156L</t>
  </si>
  <si>
    <t>WRAP, CAROUSEL</t>
  </si>
  <si>
    <t>JARDIN DE FEMME SCENTED CANDLE</t>
  </si>
  <si>
    <t>SPACE FROG</t>
  </si>
  <si>
    <t>90180A</t>
  </si>
  <si>
    <t>BLACK+WHITE NECKLACE W TASSEL</t>
  </si>
  <si>
    <t>90120A</t>
  </si>
  <si>
    <t>PINK MURANO TWIST BRACELET</t>
  </si>
  <si>
    <t>LILLIES CANVAS PICTURE</t>
  </si>
  <si>
    <t>37444A</t>
  </si>
  <si>
    <t>YELLOW BREAKFAST CUP AND SAUCER</t>
  </si>
  <si>
    <t>84673B</t>
  </si>
  <si>
    <t>BLUE FLY SWAT</t>
  </si>
  <si>
    <t>84952A</t>
  </si>
  <si>
    <t>CLEAR LOVE BIRD T-LIGHT HOLDER</t>
  </si>
  <si>
    <t>VEGETABLE GARDEN CHOPPING BOARD</t>
  </si>
  <si>
    <t>NUMBER TILE COTTAGE GARDEN 1</t>
  </si>
  <si>
    <t>90201D</t>
  </si>
  <si>
    <t>GREEN ENAMEL FLOWER RING</t>
  </si>
  <si>
    <t>90124B</t>
  </si>
  <si>
    <t>BLUE MURANO TWIST NECKLACE</t>
  </si>
  <si>
    <t>84711A</t>
  </si>
  <si>
    <t>SILVER OVAL SHAPE TRINKET BOX</t>
  </si>
  <si>
    <t>IVORY SWEETHEART SOAP DISH</t>
  </si>
  <si>
    <t>90010A</t>
  </si>
  <si>
    <t>MIDNIGHT BLUE GLASS/SILVER BRACELET</t>
  </si>
  <si>
    <t>BLUE ROSE PATCH PURSE PINK BUTTERFL</t>
  </si>
  <si>
    <t>WHITE CERAMIC PARTY SET (5PCS)</t>
  </si>
  <si>
    <t>POP-ART FLUORESCENT PENS</t>
  </si>
  <si>
    <t>EGG FRYING PAN MINT</t>
  </si>
  <si>
    <t>T-LIGHT HOLDER SILVER HEART HANDLE</t>
  </si>
  <si>
    <t>DOLLY CABINET 2 DRAWERS</t>
  </si>
  <si>
    <t>BUTTONS AND STRIPES NOTEBOOK</t>
  </si>
  <si>
    <t>79191B</t>
  </si>
  <si>
    <t>ST TROPEZ NECKLACE</t>
  </si>
  <si>
    <t>ROSE PINK METAL FOLDING CHAIR</t>
  </si>
  <si>
    <t>SET OF 3 VINTAGE TEA TIME BOXES</t>
  </si>
  <si>
    <t>79051A</t>
  </si>
  <si>
    <t>SMOKEY GREY COLOUR D.O.F. GLASS</t>
  </si>
  <si>
    <t>16202B</t>
  </si>
  <si>
    <t>PASTEL BLUE PHOTO ALBUM</t>
  </si>
  <si>
    <t>16162L</t>
  </si>
  <si>
    <t>THE KING GIFT BAG</t>
  </si>
  <si>
    <t>90201A</t>
  </si>
  <si>
    <t>PURPLE ENAMEL FLOWER RING</t>
  </si>
  <si>
    <t>90082B</t>
  </si>
  <si>
    <t>DIAMANTE BOW BROOCH RED COLOUR</t>
  </si>
  <si>
    <t>90035B</t>
  </si>
  <si>
    <t>PEARL &amp; SHELL 42"NECKL. PINK</t>
  </si>
  <si>
    <t>90184A</t>
  </si>
  <si>
    <t>AMBER CHUNKY BEAD BRACELET W STRAP</t>
  </si>
  <si>
    <t>16258A</t>
  </si>
  <si>
    <t>SWIRLY CIRCULAR RUBBERS IN BAG</t>
  </si>
  <si>
    <t>ENGLISH ROSE IRONING BOARD COVER</t>
  </si>
  <si>
    <t>84533B</t>
  </si>
  <si>
    <t>FAIRY CAKES ROUND NESTING BOXES</t>
  </si>
  <si>
    <t>12 PENCILS SMALL TUBE POSY</t>
  </si>
  <si>
    <t>85033G</t>
  </si>
  <si>
    <t>SET/6 GOLD REINDEER T-LIGHT CANDLES</t>
  </si>
  <si>
    <t>84429A</t>
  </si>
  <si>
    <t>MEDIUM PINK BUDDHA HEAD</t>
  </si>
  <si>
    <t>84741C</t>
  </si>
  <si>
    <t>CITRUS GARLAND FELT FLOWERS</t>
  </si>
  <si>
    <t>MILK MAIDS MUG</t>
  </si>
  <si>
    <t>84877D</t>
  </si>
  <si>
    <t>BLUE ROUND COMPACT MIRROR</t>
  </si>
  <si>
    <t>PAIR OF PINK FLOWER CLUSTER SLIDE</t>
  </si>
  <si>
    <t>VINTAGE NOTEBOOK BEAUTY GIRL</t>
  </si>
  <si>
    <t>OLD ROSE COMBO BEAD NECKLACE</t>
  </si>
  <si>
    <t>NUMBER TILE COTTAGE GARDEN 2</t>
  </si>
  <si>
    <t>LIGHT PINK FLOCK GLASS CANDLEHOLDER</t>
  </si>
  <si>
    <t>84760S</t>
  </si>
  <si>
    <t>SMALL HANGING GLASS+ZINC LANTERN</t>
  </si>
  <si>
    <t>47503G</t>
  </si>
  <si>
    <t>ASS FLORAL PRINT TAPE MEASURE</t>
  </si>
  <si>
    <t>SNACK TRAY PAISLEY PARK</t>
  </si>
  <si>
    <t>47504G</t>
  </si>
  <si>
    <t>ENGLISH ROSE TAPE MEASURE</t>
  </si>
  <si>
    <t>35915A</t>
  </si>
  <si>
    <t>CREAM KNITTED HEN</t>
  </si>
  <si>
    <t>84926D</t>
  </si>
  <si>
    <t>LA PALMIERA TILE COASTER</t>
  </si>
  <si>
    <t>FOLK ART METAL HEART T-LIGHT HOLDER</t>
  </si>
  <si>
    <t>90164B</t>
  </si>
  <si>
    <t>WHITE  ROSEBUD PEARL BRACELET</t>
  </si>
  <si>
    <t>SNACK TRAY I LOVE LONDON</t>
  </si>
  <si>
    <t>90160A</t>
  </si>
  <si>
    <t>PURPLE BOUDICCA LARGE BRACELET</t>
  </si>
  <si>
    <t>85026B</t>
  </si>
  <si>
    <t>EAU DE NILE JEWELLED T-LIGHT HOLDER</t>
  </si>
  <si>
    <t>CANDY SPOT EGG WARMER RABBIT</t>
  </si>
  <si>
    <t>PARTY TIME DESIGN FLANNEL</t>
  </si>
  <si>
    <t>84402D</t>
  </si>
  <si>
    <t>PINK DRESS JEWELLERY STAND</t>
  </si>
  <si>
    <t>90036E</t>
  </si>
  <si>
    <t>FLOWER GLASS GARLD NECKL36"AMETHYST</t>
  </si>
  <si>
    <t>FLAG OF ST GEORGE CHAIR</t>
  </si>
  <si>
    <t>90002D</t>
  </si>
  <si>
    <t>FLOWER BURST SILVER RING CRYSTAL</t>
  </si>
  <si>
    <t>35912B</t>
  </si>
  <si>
    <t>WHITE/PINK CHICK DECORATION</t>
  </si>
  <si>
    <t>84711B</t>
  </si>
  <si>
    <t>PINK OVAL SHAPE TRINKET BOX</t>
  </si>
  <si>
    <t>84800M</t>
  </si>
  <si>
    <t>MEDIUM WHITE/PINK ROSE ART FLOWER</t>
  </si>
  <si>
    <t>CLASSICAL ROSE URN</t>
  </si>
  <si>
    <t>PINK MILKSHAKE GLASS</t>
  </si>
  <si>
    <t>ROSES WHITE ROUND CANDLE</t>
  </si>
  <si>
    <t>90019A</t>
  </si>
  <si>
    <t>SILVER M.O.P ORBIT BRACELET</t>
  </si>
  <si>
    <t>LETTER SHAPE PENCIL SHARPENER</t>
  </si>
  <si>
    <t>90082A</t>
  </si>
  <si>
    <t>DIAMANTE BOW BROOCH GREEN COLOUR</t>
  </si>
  <si>
    <t>90013C</t>
  </si>
  <si>
    <t>GREEN VINTAGE EARRINGS</t>
  </si>
  <si>
    <t>PANTRY HOOK TEA STRAINER</t>
  </si>
  <si>
    <t>SET/6  ANGEL T-LIGHTS WHITE/GOLD</t>
  </si>
  <si>
    <t>PANTRY HOOK SPATULA</t>
  </si>
  <si>
    <t>84802A</t>
  </si>
  <si>
    <t>WHITE ANEMONE ARTIFICIAL FLOWER</t>
  </si>
  <si>
    <t>84898F</t>
  </si>
  <si>
    <t>YELLOW FLOWERS FELT HANDBAG KIT</t>
  </si>
  <si>
    <t>46000R</t>
  </si>
  <si>
    <t>POLYESTER FILLER PAD 45x30cm</t>
  </si>
  <si>
    <t>79190A</t>
  </si>
  <si>
    <t>RETRO PLASTIC 70'S TRAY</t>
  </si>
  <si>
    <t>84809B</t>
  </si>
  <si>
    <t>PINK CHRYSANTHEMUMS ART FLOWER</t>
  </si>
  <si>
    <t>90161A</t>
  </si>
  <si>
    <t>ANT COPPER RED BOUDICCA BRACELET</t>
  </si>
  <si>
    <t>SET/4 MODERN VINTAGE COTTON NAPKINS</t>
  </si>
  <si>
    <t>82011B</t>
  </si>
  <si>
    <t>BATHROOM SCALES RUBBER DUCKS</t>
  </si>
  <si>
    <t>ROUND GEORGIAN SILVER MIRROR</t>
  </si>
  <si>
    <t>84249D</t>
  </si>
  <si>
    <t>FAIRY CAKE GREETINGS CARD</t>
  </si>
  <si>
    <t>84535A</t>
  </si>
  <si>
    <t>ENGLISH ROSE NOTEBOOK A6 SIZE</t>
  </si>
  <si>
    <t>84801B</t>
  </si>
  <si>
    <t>WHITE HYDRANGEA ART FLOWER</t>
  </si>
  <si>
    <t>ECONOMY HOLIDAY PURSE</t>
  </si>
  <si>
    <t>PINK BOUDOIR T-LIGHT HOLDER</t>
  </si>
  <si>
    <t>35004c</t>
  </si>
  <si>
    <t>90014B</t>
  </si>
  <si>
    <t>GOLD M PEARL  ORBIT NECKLACE</t>
  </si>
  <si>
    <t>35833P</t>
  </si>
  <si>
    <t>4 PINK FLOCK CHRISTMAS BALLS</t>
  </si>
  <si>
    <t>BLUE WIRE SPIRAL CANDLE HOLDER</t>
  </si>
  <si>
    <t>SET/6 GARDEN GNOME T-LIGHT CANDLES</t>
  </si>
  <si>
    <t>SILVER LARIAT 40CM</t>
  </si>
  <si>
    <t>BOTANICAL LILY GIFT WRAP</t>
  </si>
  <si>
    <t>SET/4 DAISY MIRROR MAGNETS</t>
  </si>
  <si>
    <t>SMALL ZINC/GLASS CANDLEHOLDER</t>
  </si>
  <si>
    <t>75149N</t>
  </si>
  <si>
    <t>STRING CRYSTALS NATURAL</t>
  </si>
  <si>
    <t>79303B</t>
  </si>
  <si>
    <t>BLUE STAR BLOCK TABLE LAMP</t>
  </si>
  <si>
    <t>84925A</t>
  </si>
  <si>
    <t>WAKE UP COCKEREL WALL THERMOMETER</t>
  </si>
  <si>
    <t>OYSTER TRINKET BOX</t>
  </si>
  <si>
    <t>PINK CHICK EGG WARMER + EGG CUP</t>
  </si>
  <si>
    <t>BLUE CAT BISCUIT BARREL PINK HEART</t>
  </si>
  <si>
    <t>17011F</t>
  </si>
  <si>
    <t>ORIGAMI SANDLEWOOD INCENSE+FLOWER</t>
  </si>
  <si>
    <t>NUMBER TILE VINTAGE FONT No</t>
  </si>
  <si>
    <t>90178A</t>
  </si>
  <si>
    <t>AMBER CHUNKY GLASS+BEAD NECKLACE</t>
  </si>
  <si>
    <t>ZINC HEART LATTICE CHARGER LARGE</t>
  </si>
  <si>
    <t>17109A</t>
  </si>
  <si>
    <t>FLOWER FAIRY INCENSE LILY</t>
  </si>
  <si>
    <t>PAPER LANTERN 5 POINT SEQUIN STAR</t>
  </si>
  <si>
    <t>RED  EGG  SPOON</t>
  </si>
  <si>
    <t>90201C</t>
  </si>
  <si>
    <t>RED ENAMEL FLOWER RING</t>
  </si>
  <si>
    <t>90175C</t>
  </si>
  <si>
    <t>BLUE GLASS CHUNKY CHARM BRACELET</t>
  </si>
  <si>
    <t>BEAUTY SPEED EXPRESSO CUPS</t>
  </si>
  <si>
    <t>47583B</t>
  </si>
  <si>
    <t>SET OF 3 WICKER BASKET TEA AND CAKE</t>
  </si>
  <si>
    <t>CANDY SPOT BUNNY</t>
  </si>
  <si>
    <t>FELT FARM ANIMAL SHEEP</t>
  </si>
  <si>
    <t>RUBY GLASS CLUSTER BRACELET</t>
  </si>
  <si>
    <t>LONG SILVER NECKLACE PASTEL FLOWER</t>
  </si>
  <si>
    <t>35637C</t>
  </si>
  <si>
    <t>PINK STRING CURTAIN WITH POLE</t>
  </si>
  <si>
    <t>85024B</t>
  </si>
  <si>
    <t>84870C</t>
  </si>
  <si>
    <t>GREEN GEISHA GIRL</t>
  </si>
  <si>
    <t>EASTER BUNNY HANGING GARLAND</t>
  </si>
  <si>
    <t>90129B</t>
  </si>
  <si>
    <t>TURQUOISE GLASS TASSLE BAG CHARM</t>
  </si>
  <si>
    <t>PIG MUG IN TWO COLOUR DESIGNS</t>
  </si>
  <si>
    <t>72739B</t>
  </si>
  <si>
    <t>WHITE CHOCOLATE SCENT CANDLE</t>
  </si>
  <si>
    <t>NUMBER TILE COTTAGE GARDEN No</t>
  </si>
  <si>
    <t>VIP HOLIDAY PURSE</t>
  </si>
  <si>
    <t>PINK KNITTED COW STUFFED TOY</t>
  </si>
  <si>
    <t>SWEET PUDDING STICKER SHEET</t>
  </si>
  <si>
    <t>84706A</t>
  </si>
  <si>
    <t>ENGLISH ROSE TABLE CLOCK</t>
  </si>
  <si>
    <t>LOUVRE CHALKBOARD</t>
  </si>
  <si>
    <t>90018A</t>
  </si>
  <si>
    <t>SILVER M.O.P ORBIT DROP EARRINGS</t>
  </si>
  <si>
    <t>CANDLE HOLDER SILVER MADELINE</t>
  </si>
  <si>
    <t>17091B</t>
  </si>
  <si>
    <t>JASMINE TEA INCENSE IN TIN</t>
  </si>
  <si>
    <t>WOODLAND LARGE PINK FELT HEART</t>
  </si>
  <si>
    <t>84509E</t>
  </si>
  <si>
    <t>SET OF 4 CAROUSEL PLACEMATS</t>
  </si>
  <si>
    <t>DOILY THANK YOU CARD</t>
  </si>
  <si>
    <t>84870B</t>
  </si>
  <si>
    <t>BLUE GEISHA GIRL</t>
  </si>
  <si>
    <t>90197B</t>
  </si>
  <si>
    <t>BLACK GLASS BRACELET W HEART CHARMS</t>
  </si>
  <si>
    <t>85131C</t>
  </si>
  <si>
    <t>BEADED CRYSTAL HEART BLUE ON STICK</t>
  </si>
  <si>
    <t>ANT WHITE SWEETHEART TABLE W 3 DRAW</t>
  </si>
  <si>
    <t>85033S</t>
  </si>
  <si>
    <t>SET/6 SILVER REINDEER T-LIGHTS</t>
  </si>
  <si>
    <t>84795b</t>
  </si>
  <si>
    <t>84933C</t>
  </si>
  <si>
    <t>LARGE BLUE ORIENTAL FOLDING STOOL</t>
  </si>
  <si>
    <t>BLUE PUDDING SPOON</t>
  </si>
  <si>
    <t>84673A</t>
  </si>
  <si>
    <t>PINK FLY SWAT</t>
  </si>
  <si>
    <t>85129B</t>
  </si>
  <si>
    <t>BEADED CRYSTAL HEART GREEN SMALL</t>
  </si>
  <si>
    <t>84933A</t>
  </si>
  <si>
    <t>LARGE GREEN PEONY FOLDING STOOL</t>
  </si>
  <si>
    <t>46000U</t>
  </si>
  <si>
    <t>POLYESTER FILLER PAD 30CMx30CM</t>
  </si>
  <si>
    <t>90000D</t>
  </si>
  <si>
    <t>COPPER/OLIVE GREEN FLOWER NECKLACE</t>
  </si>
  <si>
    <t>35638B</t>
  </si>
  <si>
    <t>PINK/BLUE STRING CURTAIN</t>
  </si>
  <si>
    <t>90209A</t>
  </si>
  <si>
    <t>PURPLE ENAMEL+GLASS HAIR COMB</t>
  </si>
  <si>
    <t>ANT WHITE HIGH RISE BIRD BOX</t>
  </si>
  <si>
    <t>90016B</t>
  </si>
  <si>
    <t>GOLD/M.O.P PENDANT ORBIT NECKLACE</t>
  </si>
  <si>
    <t>84671B</t>
  </si>
  <si>
    <t>CROCHET BEAR WITH BLUE STRIPES</t>
  </si>
  <si>
    <t>PINK PARTY SUNGLASSES</t>
  </si>
  <si>
    <t>BOX/12 MOTHER &amp; CHICK IN BASKET/BOW</t>
  </si>
  <si>
    <t>NUMBER TILE COTTAGE GARDEN 4</t>
  </si>
  <si>
    <t>62095B</t>
  </si>
  <si>
    <t>TURQOISE ICE CREAM SUNHAT</t>
  </si>
  <si>
    <t>PINK GINGHAM ROSE FLOOR CUSHION</t>
  </si>
  <si>
    <t>84933B</t>
  </si>
  <si>
    <t>LARGE PINK PEONY FOLDING STOOL</t>
  </si>
  <si>
    <t>84661A</t>
  </si>
  <si>
    <t>WHITE SQUARE TABLE CLOCK</t>
  </si>
  <si>
    <t>17012E</t>
  </si>
  <si>
    <t>ORIGAMI OPIUM INCENSE/CANDLE SET</t>
  </si>
  <si>
    <t>LARGE BLUE PROVENCAL CERAMIC BALL</t>
  </si>
  <si>
    <t>ROUND WHITE CONFETTI IN TUBE</t>
  </si>
  <si>
    <t>FLOWER WINDMILL</t>
  </si>
  <si>
    <t>PINK B'FLY C/COVER W BOBBLES</t>
  </si>
  <si>
    <t>47593A</t>
  </si>
  <si>
    <t>CAROUSEL DESIGN BABY BIB</t>
  </si>
  <si>
    <t>SET OF 3 PANTRY WOODEN SPOONS</t>
  </si>
  <si>
    <t>PAIR BUTTERFLY HAIR CLIPS</t>
  </si>
  <si>
    <t>TRANSPARENT ACRYLIC TAPE DISPENSER</t>
  </si>
  <si>
    <t>ASS COL CIRCLE MOBILE</t>
  </si>
  <si>
    <t>90175B</t>
  </si>
  <si>
    <t>PINK GLASS CHUNKY CHARM BRACELET</t>
  </si>
  <si>
    <t>LARGE GLASS SUNDAE DISH CLEAR</t>
  </si>
  <si>
    <t>SPACE CADET RED</t>
  </si>
  <si>
    <t>90036D</t>
  </si>
  <si>
    <t>FLOWER GLASS GARLAND NECKL.36"BLACK</t>
  </si>
  <si>
    <t>JARDIN ETCHED GLASS CANDLEHLDR LONG</t>
  </si>
  <si>
    <t>BLUE RETRO KITCHEN WALL CLOCK</t>
  </si>
  <si>
    <t>VINTAGE BEAD PINK JEWEL BOX</t>
  </si>
  <si>
    <t>90035C</t>
  </si>
  <si>
    <t>PEARL &amp; SHELL 42"NECKL. IVORY</t>
  </si>
  <si>
    <t>HEN PARTY CORDON BARRIER TAPE</t>
  </si>
  <si>
    <t>84800S</t>
  </si>
  <si>
    <t>SMALL WHITE/PINK ROSE ART FLOWER</t>
  </si>
  <si>
    <t>PAINT YOUR OWN EGGS IN CRATE</t>
  </si>
  <si>
    <t>90124A</t>
  </si>
  <si>
    <t>PINK MURANO TWIST NECKLACE</t>
  </si>
  <si>
    <t>35981C</t>
  </si>
  <si>
    <t>WHITE SNOW SCANDINAVIAN STOCKING</t>
  </si>
  <si>
    <t>RAINBOW PEGS PHOTO CLIP STRING</t>
  </si>
  <si>
    <t>HEAVENS SCENT FRAGRANCE OILS ASSTD</t>
  </si>
  <si>
    <t>84247N</t>
  </si>
  <si>
    <t>PACK/12 BLUE FOLKART CARDS</t>
  </si>
  <si>
    <t>CORDIAL GLASS JUG</t>
  </si>
  <si>
    <t>GREEN WIRE STANDING CANDLE HOLDER</t>
  </si>
  <si>
    <t>79190D</t>
  </si>
  <si>
    <t>RETRO PLASTIC DAISY TRAY</t>
  </si>
  <si>
    <t>GOLD FABRIC MIRROR</t>
  </si>
  <si>
    <t>FOUR RABBIT EASTER DECORATIONS</t>
  </si>
  <si>
    <t>NECKLACE+BRACELET PINK BUTTERFLY</t>
  </si>
  <si>
    <t>90129A</t>
  </si>
  <si>
    <t>PINK GLASS TASSLE BAG CHARM</t>
  </si>
  <si>
    <t>SET 5 MINI DOUGHNUT FRIDGE MAGNET</t>
  </si>
  <si>
    <t>IVORY HANGING DECORATION  CHICKEN</t>
  </si>
  <si>
    <t>SIX STRING SCANDINAVIAN HEART DECS</t>
  </si>
  <si>
    <t>84926A</t>
  </si>
  <si>
    <t>WAKE UP COCKEREL TILE COASTER</t>
  </si>
  <si>
    <t>FUNKY GIRLZ ASST MAGNETIC MEMO PAD</t>
  </si>
  <si>
    <t>72801F</t>
  </si>
  <si>
    <t>S/4 FESTIVE RED DINNER CANDLES</t>
  </si>
  <si>
    <t>WHITE WITH BLACK CATS BOWL</t>
  </si>
  <si>
    <t>90030B</t>
  </si>
  <si>
    <t>RED KUKUI COCONUT SEED NECKLACE</t>
  </si>
  <si>
    <t>EGG CUP HENRIETTA HEN PINK</t>
  </si>
  <si>
    <t>84529A</t>
  </si>
  <si>
    <t>PINK KNITTED KIDS RUCKSACK</t>
  </si>
  <si>
    <t>SILVER APERITIF GLASS</t>
  </si>
  <si>
    <t>CURIO CABINET LINEN AND LACE</t>
  </si>
  <si>
    <t>NUMBER TILE COTTAGE GARDEN 3</t>
  </si>
  <si>
    <t>LARGE ZINC GLASS CANDLEHOLDER</t>
  </si>
  <si>
    <t>GEISHA GIRL CHOPSTICKS SET/5</t>
  </si>
  <si>
    <t>47578A</t>
  </si>
  <si>
    <t>ENGLISH ROSE SMALL SCENTED FLOWER</t>
  </si>
  <si>
    <t>GLASS CHALICE BLUE  LARGE</t>
  </si>
  <si>
    <t>90185D</t>
  </si>
  <si>
    <t>CRYSTAL DIAMANTE EXPANDABLE RING</t>
  </si>
  <si>
    <t>90014C</t>
  </si>
  <si>
    <t>SILVER/BLACK ORBIT NECKLACE</t>
  </si>
  <si>
    <t>ICON MUG REVOLUTIONARY</t>
  </si>
  <si>
    <t>QUEEN OF THE SKIES HOLIDAY PURSE</t>
  </si>
  <si>
    <t>HEART SHAPE BUTTON FRAME</t>
  </si>
  <si>
    <t>18096C</t>
  </si>
  <si>
    <t>WHITE ROUND PORCELAIN TLIGHT HOLDER</t>
  </si>
  <si>
    <t>PINK POODLE HANGING DECORATION</t>
  </si>
  <si>
    <t>WIRE FLOWER T-LIGHT HOLDER</t>
  </si>
  <si>
    <t>84508C</t>
  </si>
  <si>
    <t>BLUE CIRCLES DESIGN TEDDY</t>
  </si>
  <si>
    <t>36 PENCILS TUBE POSY</t>
  </si>
  <si>
    <t>85167A</t>
  </si>
  <si>
    <t>WHITE GRAND BAROQUE PHOTO FRAME</t>
  </si>
  <si>
    <t>37444B</t>
  </si>
  <si>
    <t>BLUE BREAKFAST CUP AND SAUCER</t>
  </si>
  <si>
    <t>85049g</t>
  </si>
  <si>
    <t>PEARLISED IVORY HEART SMALL</t>
  </si>
  <si>
    <t>90163A</t>
  </si>
  <si>
    <t>PINK ROSEBUD &amp; PEARL NECKLACE</t>
  </si>
  <si>
    <t>SET/3 RABBITS FLOWER SKIPPPING ROPE</t>
  </si>
  <si>
    <t>ASSORTED COLOUR METAL CAT</t>
  </si>
  <si>
    <t>84926F</t>
  </si>
  <si>
    <t>PSYCHEDELIC TILE COASTER</t>
  </si>
  <si>
    <t>72739C</t>
  </si>
  <si>
    <t>DARK CHOCOLATE SCENTCANDLE</t>
  </si>
  <si>
    <t>84625B</t>
  </si>
  <si>
    <t>BLCK NEW BAROQUE CANDLESTICK CANDLE</t>
  </si>
  <si>
    <t>SUMMER BUTTERFLIES BAG CHARM</t>
  </si>
  <si>
    <t>90122A</t>
  </si>
  <si>
    <t>PINK CRYSTAL+GLASS BRACELET</t>
  </si>
  <si>
    <t>MIRRORED WALL ART GENTS</t>
  </si>
  <si>
    <t>35096A</t>
  </si>
  <si>
    <t>BLUE VICTORIAN FABRIC HEART BOX</t>
  </si>
  <si>
    <t>VINTAGE GOLD TINSEL REEL</t>
  </si>
  <si>
    <t>ASSTD COL BUTTERFLY/CRYSTAL W/CHIME</t>
  </si>
  <si>
    <t>84966C</t>
  </si>
  <si>
    <t>GREEN KASHMIRI BOXED MIRROR</t>
  </si>
  <si>
    <t>ZINC WIRE SWEETHEART LETTER TRAY</t>
  </si>
  <si>
    <t>47586A</t>
  </si>
  <si>
    <t>SET/6 POSIES PAPER PLATES</t>
  </si>
  <si>
    <t>WHITE HONEYCOMB PAPER FAN</t>
  </si>
  <si>
    <t>84927F</t>
  </si>
  <si>
    <t>PSYCHEDELIC TILE HOOK</t>
  </si>
  <si>
    <t>TRIPLE WIRE HOOK PINK HEART</t>
  </si>
  <si>
    <t>84924D</t>
  </si>
  <si>
    <t>LA PALMIERA METAL SIGN CALENDAR</t>
  </si>
  <si>
    <t>NUMBER TILE COTTAGE GARDEN 0</t>
  </si>
  <si>
    <t>BLACK FLOWER CANDLE PLATE</t>
  </si>
  <si>
    <t>NUMBER TILE COTTAGE GARDEN 6</t>
  </si>
  <si>
    <t>IVORY SHELL HEART NECKLACE</t>
  </si>
  <si>
    <t>TEATIME PUSH DOWN RUBBER</t>
  </si>
  <si>
    <t>WOODLAND SMALL BLUE FELT HEART</t>
  </si>
  <si>
    <t>NUMBER TILE COTTAGE GARDEN 9</t>
  </si>
  <si>
    <t>47591A</t>
  </si>
  <si>
    <t>CAROUSEL DES CHILD'S APRON</t>
  </si>
  <si>
    <t>79303D</t>
  </si>
  <si>
    <t>LILAC FLOWER BLOCK TABLE LAMP</t>
  </si>
  <si>
    <t>HANGING HEART BASKET</t>
  </si>
  <si>
    <t>90122C</t>
  </si>
  <si>
    <t>TURQUOISE CRYSTAL+GLASS BRACELET</t>
  </si>
  <si>
    <t>72753D</t>
  </si>
  <si>
    <t>S/3 FLWR FAIRY SUMMER CANDLES</t>
  </si>
  <si>
    <t>BLACK BOX MIRROR LANTERN</t>
  </si>
  <si>
    <t>GOLD TEDDY BEAR</t>
  </si>
  <si>
    <t>NUMBER TILE COTTAGE GARDEN 7</t>
  </si>
  <si>
    <t>RIVIERA NECKLACE</t>
  </si>
  <si>
    <t>MIRRORED WALL ART TABLE LAMP</t>
  </si>
  <si>
    <t>50CM METAL STRING WITH  7 CLIPS</t>
  </si>
  <si>
    <t>SPACE CADET WHITE</t>
  </si>
  <si>
    <t>ASSORTED CIRCULAR MOBILE</t>
  </si>
  <si>
    <t>WOODLAND LARGE RED FELT HEART</t>
  </si>
  <si>
    <t>90129E</t>
  </si>
  <si>
    <t>PURPLE GLASS TASSLE BAG CHARM</t>
  </si>
  <si>
    <t>NUMBER TILE COTTAGE GARDEN 5</t>
  </si>
  <si>
    <t>84806A</t>
  </si>
  <si>
    <t>PINK CANDYSTUFT ARTIFICIAL FLOWER</t>
  </si>
  <si>
    <t>VINTAGE BLUE TINSEL REEL</t>
  </si>
  <si>
    <t>FINE SILVER NECKLACE W PASTEL FLOWE</t>
  </si>
  <si>
    <t>72799D</t>
  </si>
  <si>
    <t>BLUE PILLAR CANDLE SILVER FLOCK</t>
  </si>
  <si>
    <t>84597B</t>
  </si>
  <si>
    <t>RETRO BROWN BALL ASHTRAY</t>
  </si>
  <si>
    <t>BUTTONS DESIGN JEWELLERY BOX</t>
  </si>
  <si>
    <t>THREE CANVAS LUGGAGE TAGS</t>
  </si>
  <si>
    <t>84613C</t>
  </si>
  <si>
    <t>BLUE NEW BAROQUE FLOCK CANDLESTICK</t>
  </si>
  <si>
    <t>90035A</t>
  </si>
  <si>
    <t>PEARL &amp; SHELL 42"NECKL. GREEN</t>
  </si>
  <si>
    <t>84520b</t>
  </si>
  <si>
    <t>85179C</t>
  </si>
  <si>
    <t>PINK BITTY LIGHT CHAIN</t>
  </si>
  <si>
    <t>BIG PINK POODLE</t>
  </si>
  <si>
    <t>GOLDIE LOOKING MIRROR</t>
  </si>
  <si>
    <t>90040B</t>
  </si>
  <si>
    <t>MURANO STYLE GLASS BRACELET BLACK</t>
  </si>
  <si>
    <t>CANDY STRIPE ROSE C/COVER</t>
  </si>
  <si>
    <t>84601A</t>
  </si>
  <si>
    <t>NEW BAROQUE IVORY CUSHION COVER</t>
  </si>
  <si>
    <t>72801d</t>
  </si>
  <si>
    <t>4 SKY BLUE DINNER CANDLES</t>
  </si>
  <si>
    <t>PORCELAIN BUDAH INCENSE HOLDER</t>
  </si>
  <si>
    <t>85232b</t>
  </si>
  <si>
    <t>NEW BAROQUE LARGE NECKLACE BLK/WHIT</t>
  </si>
  <si>
    <t>NUMBER TILE VINTAGE FONT 3</t>
  </si>
  <si>
    <t>VINTAGE DESIGN GIFT TAGS</t>
  </si>
  <si>
    <t>DARK PINK FLOCK GLASS CANDLEHOLDER</t>
  </si>
  <si>
    <t>NUMBER TILE COTTAGE GARDEN 8</t>
  </si>
  <si>
    <t>MIRRORED WALL ART FOXY</t>
  </si>
  <si>
    <t>90081C</t>
  </si>
  <si>
    <t>LILY BROOCH OLIVE COLOUR</t>
  </si>
  <si>
    <t>VINTAGE ENAMEL &amp; CRYSTAL EARRINGS</t>
  </si>
  <si>
    <t>47503H</t>
  </si>
  <si>
    <t>ASS FLORAL PRINT SPIRIT LEVEL</t>
  </si>
  <si>
    <t>ROSES BLUE BASE CUSHION COVER</t>
  </si>
  <si>
    <t>84030c</t>
  </si>
  <si>
    <t>KNITTED RAINBOW HOT WATER BOTTLE</t>
  </si>
  <si>
    <t>90081A</t>
  </si>
  <si>
    <t>LILY BROOCH AMETHYST COLOUR</t>
  </si>
  <si>
    <t>10123C</t>
  </si>
  <si>
    <t>HEARTS WRAPPING TAPE</t>
  </si>
  <si>
    <t>TUSCAN VILLA BIRD FEEDER</t>
  </si>
  <si>
    <t>BLUE GINGHAM ROSE FLOOR CUSHION</t>
  </si>
  <si>
    <t>90036C</t>
  </si>
  <si>
    <t>FLOWER GLASS GARLAND NECKL.36"BLUE</t>
  </si>
  <si>
    <t>82011A</t>
  </si>
  <si>
    <t>BATHROOM SCALES, TROPICAL BEACH</t>
  </si>
  <si>
    <t>METALIC LEAVES BAG CHARMS</t>
  </si>
  <si>
    <t>84993B</t>
  </si>
  <si>
    <t>75 BLACK PETIT FOUR CASES</t>
  </si>
  <si>
    <t>NECKLACE+BRACELET SET BLUE BLOSSOM</t>
  </si>
  <si>
    <t>90129C</t>
  </si>
  <si>
    <t>GREEN GLASS TASSLE BAG CHARM</t>
  </si>
  <si>
    <t>35818P</t>
  </si>
  <si>
    <t>ACRYLIC JEWEL ICICLE, PINK</t>
  </si>
  <si>
    <t>WOODLAND SMALL PINK FELT HEART</t>
  </si>
  <si>
    <t>90196B</t>
  </si>
  <si>
    <t>BLACK GEMSTONE NECKLACE 45CM</t>
  </si>
  <si>
    <t>ZINC WIRE KITCHEN ORGANISER</t>
  </si>
  <si>
    <t>90210D</t>
  </si>
  <si>
    <t>PURPLE ACRYLIC FACETED BANGLE</t>
  </si>
  <si>
    <t>12 PINK HEN+CHICKS IN BASKET</t>
  </si>
  <si>
    <t>GREEN EASTER EGG HUNT START POST</t>
  </si>
  <si>
    <t>POP'S GREASY SPOON METAL SIGN</t>
  </si>
  <si>
    <t>PINK PATCH PURSE BLUE HEART</t>
  </si>
  <si>
    <t>NEW ENGLAND CERAMIC CAKE SERVER</t>
  </si>
  <si>
    <t>SNACK TRAY HAPPY FOREST</t>
  </si>
  <si>
    <t>ANTIQUE IVORY WIRE BOWL SMALL</t>
  </si>
  <si>
    <t>TEAL/FUSCHIA COL BEAD NECKLACE</t>
  </si>
  <si>
    <t>84247K</t>
  </si>
  <si>
    <t>FOLK ART GREETING CARD,pack/12</t>
  </si>
  <si>
    <t>LARGE GLASS ROSE SCENTED CANDLE</t>
  </si>
  <si>
    <t>47587A</t>
  </si>
  <si>
    <t>PINK FAIRY CAKE COASTER</t>
  </si>
  <si>
    <t>ENGLISH ROSE MUG IN GIFT BOX</t>
  </si>
  <si>
    <t>90210B</t>
  </si>
  <si>
    <t>CLEAR ACRYLIC FACETED BANGLE</t>
  </si>
  <si>
    <t>PINK MINI TAPE MEASURE</t>
  </si>
  <si>
    <t>84796a</t>
  </si>
  <si>
    <t>NUMBER TILE VINTAGE FONT 1</t>
  </si>
  <si>
    <t>84660c</t>
  </si>
  <si>
    <t>T-LIGHT HOLDER SILVER PETIT FOUR</t>
  </si>
  <si>
    <t>90185B</t>
  </si>
  <si>
    <t>AMETHYST DIAMANTE EXPANDABLE RING</t>
  </si>
  <si>
    <t>WHITE 3 FRAME BIRDS AND TREE</t>
  </si>
  <si>
    <t>84797b</t>
  </si>
  <si>
    <t>SET/6 BLACK SNOWFLAKE T-LIGHTS</t>
  </si>
  <si>
    <t>16256B</t>
  </si>
  <si>
    <t>FLOWER PENCIL/RUBBER+5 MINI PENCILS</t>
  </si>
  <si>
    <t>PINK BUNNY EASTER EGG BASKET</t>
  </si>
  <si>
    <t>POCKET MIRROR WOODLAND</t>
  </si>
  <si>
    <t>90181B</t>
  </si>
  <si>
    <t>AMETHYST GLASS/SHELL/PEARL NECKLACE</t>
  </si>
  <si>
    <t>16202C</t>
  </si>
  <si>
    <t>BEIGE PHOTO ALBUM</t>
  </si>
  <si>
    <t>90164A</t>
  </si>
  <si>
    <t>PINK ROSEBUD PEARL BRACELET</t>
  </si>
  <si>
    <t>BLUE BUNNY EASTER EGG BASKET</t>
  </si>
  <si>
    <t>DAISY HAIR BAND</t>
  </si>
  <si>
    <t>90196A</t>
  </si>
  <si>
    <t>PURPLE GEMSTONE NECKLACE 45CM</t>
  </si>
  <si>
    <t>90122B</t>
  </si>
  <si>
    <t>JADE CRYSTAL+GLASS BRACELET</t>
  </si>
  <si>
    <t>ASSORTED TUTTI FRUTTI KEYRING</t>
  </si>
  <si>
    <t>90199B</t>
  </si>
  <si>
    <t>5 STRAND GLASS NECKLACE AMETHYST</t>
  </si>
  <si>
    <t>17084P</t>
  </si>
  <si>
    <t>DRAGONS BLOOD INCENSE</t>
  </si>
  <si>
    <t>35809B</t>
  </si>
  <si>
    <t>ENAMEL BLUE RIM TEA CONTAINER</t>
  </si>
  <si>
    <t>71028B</t>
  </si>
  <si>
    <t>SILVER BLUE EGG T-LIGHT HOLDER</t>
  </si>
  <si>
    <t>84705C</t>
  </si>
  <si>
    <t>PINK FLOCK PHOTO FRAME</t>
  </si>
  <si>
    <t>72750D</t>
  </si>
  <si>
    <t>F.FAIRY S/3 CANDLE/GLASS</t>
  </si>
  <si>
    <t>TRAVEL CARD WALLET VINTAGE ROSE</t>
  </si>
  <si>
    <t>RESIN NECKLACE W PASTEL BEADS</t>
  </si>
  <si>
    <t>84966A</t>
  </si>
  <si>
    <t>PINK KASHMIRI BOXED MIRROR</t>
  </si>
  <si>
    <t>FRUIT SALAD BAG CHARM</t>
  </si>
  <si>
    <t>MIRRORED WALL ART SPLODGES</t>
  </si>
  <si>
    <t>90186A</t>
  </si>
  <si>
    <t>AMETHYST HOOP EARRING FLORAL LEAF</t>
  </si>
  <si>
    <t>35597B</t>
  </si>
  <si>
    <t>BLACKCHRISTMAS TREE 30CM</t>
  </si>
  <si>
    <t>90125D</t>
  </si>
  <si>
    <t>PURPLE BERTIE GLASS BEAD BAG CHARM</t>
  </si>
  <si>
    <t>SWEET VALENCIA CANDLE+CUP</t>
  </si>
  <si>
    <t>16258B</t>
  </si>
  <si>
    <t>DAISY ERASERS IN BAG</t>
  </si>
  <si>
    <t>17011C</t>
  </si>
  <si>
    <t>ORIGAMI LAVENDER INCENSE+FLOWER</t>
  </si>
  <si>
    <t>CANDLE IN JAR COLLAGE , VANILLA</t>
  </si>
  <si>
    <t>17013B</t>
  </si>
  <si>
    <t>ORIGAMI JASMINE INCENSE IN TUBE</t>
  </si>
  <si>
    <t>72807b</t>
  </si>
  <si>
    <t>35833G</t>
  </si>
  <si>
    <t>4 GOLD FLOCK CHRISTMAS BALLS</t>
  </si>
  <si>
    <t>62086A</t>
  </si>
  <si>
    <t>PINK RETRO BIG FLOWER BAG</t>
  </si>
  <si>
    <t>90124C</t>
  </si>
  <si>
    <t>GREEN MURANO TWIST NECKLACE</t>
  </si>
  <si>
    <t>90123A</t>
  </si>
  <si>
    <t>PINK HEART OF GLASS BRACELET</t>
  </si>
  <si>
    <t>72225D</t>
  </si>
  <si>
    <t>VANILLA SCENT CAKE CANDLE</t>
  </si>
  <si>
    <t>85168A</t>
  </si>
  <si>
    <t>WHITE BAROQUE CARRIAGE CLOCK</t>
  </si>
  <si>
    <t>90058A</t>
  </si>
  <si>
    <t>CRYSTAL STUD EARRINGS CLEAR DISPLAY</t>
  </si>
  <si>
    <t>NUMBER TILE VINTAGE FONT 2</t>
  </si>
  <si>
    <t>NUMBER TILE VINTAGE FONT 5</t>
  </si>
  <si>
    <t>90005A</t>
  </si>
  <si>
    <t>JADE GREEN ENAMEL HAIR COMB</t>
  </si>
  <si>
    <t>35817P</t>
  </si>
  <si>
    <t>ACRYLIC JEWEL SNOWFLAKE,PINK</t>
  </si>
  <si>
    <t>FREESTYLE CANVAS ART PICTURE</t>
  </si>
  <si>
    <t>S/3 PUPPIES CHRISTMAS DECORATIONS</t>
  </si>
  <si>
    <t>RED POPPY ARTIFICIAL FLOWER</t>
  </si>
  <si>
    <t>90036A</t>
  </si>
  <si>
    <t>FLOWER GARLAND NECKLACE RED</t>
  </si>
  <si>
    <t>84247C</t>
  </si>
  <si>
    <t>PACK/12 BLUE REINDEER CARD</t>
  </si>
  <si>
    <t>MIRRORED WALL ART LADIES</t>
  </si>
  <si>
    <t>BUTTERFLY WATER TRANSFER TATTOOS</t>
  </si>
  <si>
    <t>DOOR MAT SWEET HOME</t>
  </si>
  <si>
    <t>51012C</t>
  </si>
  <si>
    <t>FEATHER DUSTER, COAL BLACK</t>
  </si>
  <si>
    <t>90214A</t>
  </si>
  <si>
    <t>LETTER "A" BLING KEY RING</t>
  </si>
  <si>
    <t>90019C</t>
  </si>
  <si>
    <t>SILVER BLACK ORBIT BRACELET</t>
  </si>
  <si>
    <t>16201A</t>
  </si>
  <si>
    <t>PASTEL PINK PHOTO ALBUM</t>
  </si>
  <si>
    <t>RED PUDDING SPOON</t>
  </si>
  <si>
    <t>84805A</t>
  </si>
  <si>
    <t>CREAM CLIMBING HYDRANGA ART FLOWER</t>
  </si>
  <si>
    <t>47574B</t>
  </si>
  <si>
    <t>ENGLISH ROSE SCENTED HANGING HEART</t>
  </si>
  <si>
    <t>90185C</t>
  </si>
  <si>
    <t>BLACK DIAMANTE EXPANDABLE RING</t>
  </si>
  <si>
    <t>85039a</t>
  </si>
  <si>
    <t>84313A</t>
  </si>
  <si>
    <t>PINK TV TRAY TABLE</t>
  </si>
  <si>
    <t>37492A</t>
  </si>
  <si>
    <t>YELLOW RED FLOWER PIGGY BANK</t>
  </si>
  <si>
    <t>90003D</t>
  </si>
  <si>
    <t>CRYSTAL PAIR HEART HAIR SLIDES</t>
  </si>
  <si>
    <t>NUMBER TILE VINTAGE FONT 4</t>
  </si>
  <si>
    <t>47343A</t>
  </si>
  <si>
    <t>FUSCHIA FLOWER PURSE WITH BEADS</t>
  </si>
  <si>
    <t>90210A</t>
  </si>
  <si>
    <t>GREY ACRYLIC FACETED BANGLE</t>
  </si>
  <si>
    <t>GOLD APERITIF GLASS</t>
  </si>
  <si>
    <t>84927E</t>
  </si>
  <si>
    <t>FLOWERS TILE HOOK</t>
  </si>
  <si>
    <t>SILVER FINCH DECORATION</t>
  </si>
  <si>
    <t>NUMBER TILE VINTAGE FONT 6</t>
  </si>
  <si>
    <t>84706F</t>
  </si>
  <si>
    <t>RED PEONY TABLE CLOCK</t>
  </si>
  <si>
    <t>CHUNKY CRACKED GLAZE NECKLACE IVORY</t>
  </si>
  <si>
    <t>90016A</t>
  </si>
  <si>
    <t>SILVER/M.O.P PENDANT ORBIT NECKLACE</t>
  </si>
  <si>
    <t>ENGLISH ROSE TEA SET IN GIFT BOX</t>
  </si>
  <si>
    <t>CRYSTAL SEA HORSE PHONE CHARM</t>
  </si>
  <si>
    <t>90040A</t>
  </si>
  <si>
    <t>MURANO STYLE GLASS BRACELET RED</t>
  </si>
  <si>
    <t>S/2 BEACH HUT STOOLS</t>
  </si>
  <si>
    <t>17014D</t>
  </si>
  <si>
    <t>ORIGAMI ROSE INCENSE CONES</t>
  </si>
  <si>
    <t>90024B</t>
  </si>
  <si>
    <t>NEW BAROQUE B'FLY NECKLACE RED</t>
  </si>
  <si>
    <t>35824B</t>
  </si>
  <si>
    <t>HANGING FLOWERS+MIRROR,BLUE</t>
  </si>
  <si>
    <t>SMALL GLASS ROSE SCENTED CANDLE</t>
  </si>
  <si>
    <t>NEW ENGLAND MILK JUG W GIFT BOX</t>
  </si>
  <si>
    <t>DOOR MAT KISS MY.......</t>
  </si>
  <si>
    <t>72754A</t>
  </si>
  <si>
    <t>FLOWER FAIRY POTPOURRI CUSHION LILY</t>
  </si>
  <si>
    <t>PINK TEATIME PRINT BOWL</t>
  </si>
  <si>
    <t>SILVER DROP EARRINGS WITH FLOWER</t>
  </si>
  <si>
    <t>CRYSTAL STILETTO PHONE CHARM</t>
  </si>
  <si>
    <t>FROSTED WHITE BASE</t>
  </si>
  <si>
    <t>90000A</t>
  </si>
  <si>
    <t>RASPBERRY ANT COPPER FLOWER NECKLAC</t>
  </si>
  <si>
    <t>84797a</t>
  </si>
  <si>
    <t>16202A</t>
  </si>
  <si>
    <t>47504F</t>
  </si>
  <si>
    <t>ENGLISH ROSE TORCH</t>
  </si>
  <si>
    <t>BLOKEY SILVER TOOL SET</t>
  </si>
  <si>
    <t>90211B</t>
  </si>
  <si>
    <t>JET BLACK LAS VEGAS NECKLACE 45CM</t>
  </si>
  <si>
    <t>PINK CRYSTAL HEART PHONE CHARM</t>
  </si>
  <si>
    <t>NEW BAROQUE SMALL NECKLACE BLACK</t>
  </si>
  <si>
    <t>84985B</t>
  </si>
  <si>
    <t>SET OF 72 BLACK PAPER DOILIES</t>
  </si>
  <si>
    <t>A PRETTY THANK YOU CARD</t>
  </si>
  <si>
    <t>90065A</t>
  </si>
  <si>
    <t>WHITE VINTAGE CRYSTAL BRACELET</t>
  </si>
  <si>
    <t>35819B</t>
  </si>
  <si>
    <t>ACRYLIC HANGING JEWEL,BLUE</t>
  </si>
  <si>
    <t>KINGS CHOICE SMALL TUBE MATCHES</t>
  </si>
  <si>
    <t>ANT WHITE IRON BASKET</t>
  </si>
  <si>
    <t>84255B</t>
  </si>
  <si>
    <t>ORANGE COCKTAIL GLASS LAMP</t>
  </si>
  <si>
    <t>84899F</t>
  </si>
  <si>
    <t>YELLOW PURPLE DAISY FELT PURSE KIT</t>
  </si>
  <si>
    <t>90036F</t>
  </si>
  <si>
    <t>FLOWER GLASS GARLD NECKL36"TURQUOIS</t>
  </si>
  <si>
    <t>84926C</t>
  </si>
  <si>
    <t>FAIRY CAKES TILE COASTER</t>
  </si>
  <si>
    <t>72051S</t>
  </si>
  <si>
    <t>BAG OF SILVER STONES</t>
  </si>
  <si>
    <t>90178B</t>
  </si>
  <si>
    <t>PURPLE CHUNKY GLASS+BEAD NECKLACE</t>
  </si>
  <si>
    <t>NECKLACE+BRACELET SET FRUIT SALAD</t>
  </si>
  <si>
    <t>S/6 SEW ON CROCHET FLOWERS</t>
  </si>
  <si>
    <t>PLANTPOT SINGLE HOOK PISTACHIO</t>
  </si>
  <si>
    <t>84706B</t>
  </si>
  <si>
    <t>FAIRY CAKES TABLE CLOCK</t>
  </si>
  <si>
    <t>COTE D'AZURE NECKLACE</t>
  </si>
  <si>
    <t>90130B</t>
  </si>
  <si>
    <t>TURQ STONE/CRYSTAL EARRINGS</t>
  </si>
  <si>
    <t>85114b</t>
  </si>
  <si>
    <t>90210C</t>
  </si>
  <si>
    <t>RED   ACRYLIC FACETED BANGLE</t>
  </si>
  <si>
    <t>84510a</t>
  </si>
  <si>
    <t>84877A</t>
  </si>
  <si>
    <t>PINK ROUND COMPACT MIRROR</t>
  </si>
  <si>
    <t>85114a</t>
  </si>
  <si>
    <t>35838A</t>
  </si>
  <si>
    <t>S/6 MULTICOLOUR ORNAMENETAL CANDLE</t>
  </si>
  <si>
    <t>GREEN FLORAL FELTCRAFT SHOULDER BAG</t>
  </si>
  <si>
    <t>35911B</t>
  </si>
  <si>
    <t>PINK/FLOWER RABBIT EGG WARMER</t>
  </si>
  <si>
    <t>CHAMBRE HOOK</t>
  </si>
  <si>
    <t>PORCELAIN HANGING BELL SMALL</t>
  </si>
  <si>
    <t>84803A</t>
  </si>
  <si>
    <t>PINK ALLIUM  ARTIFICIAL FLOWER</t>
  </si>
  <si>
    <t>84029D</t>
  </si>
  <si>
    <t>LEOPARD PRINT HOT WATER BOTTLE</t>
  </si>
  <si>
    <t>BIRD BOX CHRISTMAS TREE DECORATION</t>
  </si>
  <si>
    <t>90129F</t>
  </si>
  <si>
    <t>RED GLASS TASSLE BAG CHARM</t>
  </si>
  <si>
    <t>CRYSTAL FROG PHONE CHARM</t>
  </si>
  <si>
    <t>17090A</t>
  </si>
  <si>
    <t>LAVENDER INCENSE 40 CONES IN TIN</t>
  </si>
  <si>
    <t>90214S</t>
  </si>
  <si>
    <t>LETTER "S" BLING KEY RING</t>
  </si>
  <si>
    <t>90185A</t>
  </si>
  <si>
    <t>AMBER DIAMANTE EXPANDABLE RING</t>
  </si>
  <si>
    <t>SMALL BLUE PROVENCAL CERAMIC BALL</t>
  </si>
  <si>
    <t>79144B</t>
  </si>
  <si>
    <t>PAINTED LIGHTBULB STAR+ MOON</t>
  </si>
  <si>
    <t>S/60 PINK FLUFFY CHICKS IN BOX</t>
  </si>
  <si>
    <t>37379B</t>
  </si>
  <si>
    <t>BLUE CHERRY BLOSSOM CUP &amp; SAUCER</t>
  </si>
  <si>
    <t>79144C</t>
  </si>
  <si>
    <t>PAINTED LIGHTBULB RAINBOW DESIGN</t>
  </si>
  <si>
    <t>72 ROUND PINK DOILIES</t>
  </si>
  <si>
    <t>35818B</t>
  </si>
  <si>
    <t>ACRYLIC JEWEL ICICLE, BLUE</t>
  </si>
  <si>
    <t>90180B</t>
  </si>
  <si>
    <t>PURPLE AMETHYST NECKLACE W TASSEL</t>
  </si>
  <si>
    <t>47347B</t>
  </si>
  <si>
    <t>BLUE FLOWER T-LIGHT HOLDER</t>
  </si>
  <si>
    <t>SET/3 COLOUR PAINTED KASHMIRI STOOL</t>
  </si>
  <si>
    <t>84661C</t>
  </si>
  <si>
    <t>PINK SQUARE TABLE CLOCK</t>
  </si>
  <si>
    <t>CAPIZ CHANDELIER</t>
  </si>
  <si>
    <t>17011A</t>
  </si>
  <si>
    <t>ORIGAMI VANILLA INCENSE+FLOWER</t>
  </si>
  <si>
    <t>90063A</t>
  </si>
  <si>
    <t>WHITE VINT ART DECO CRYSTAL NECKLAC</t>
  </si>
  <si>
    <t>90013D</t>
  </si>
  <si>
    <t>PURPLE VINTAGE EARRINGS</t>
  </si>
  <si>
    <t>SPACE CADET BLACK</t>
  </si>
  <si>
    <t>90000B</t>
  </si>
  <si>
    <t>MIDNIGHT BLUE COPPER FLOWER NECKLAC</t>
  </si>
  <si>
    <t>84927D</t>
  </si>
  <si>
    <t>LA PALMIERA TILE HOOK</t>
  </si>
  <si>
    <t>90003C</t>
  </si>
  <si>
    <t>MIDNIGHT BLUE PAIR HEART HAIR SLIDE</t>
  </si>
  <si>
    <t>RUBY DROP CHANDELIER EARRINGS</t>
  </si>
  <si>
    <t>METAL RABBIT LADDER EASTER</t>
  </si>
  <si>
    <t>82607C</t>
  </si>
  <si>
    <t>GLASS BONBON JAR. SUPERFINES</t>
  </si>
  <si>
    <t>6 SEGMENT COLOURED SNACK BOWL</t>
  </si>
  <si>
    <t>NUMBER TILE VINTAGE FONT 7</t>
  </si>
  <si>
    <t>BLUE DAISY MOBILE</t>
  </si>
  <si>
    <t>90123D</t>
  </si>
  <si>
    <t>WHITE HEART OF GLASS BRACELET</t>
  </si>
  <si>
    <t>90060F</t>
  </si>
  <si>
    <t>FIRE POLISHED GLASS NECKL GREEN</t>
  </si>
  <si>
    <t>85185C</t>
  </si>
  <si>
    <t>COW  SOCK PUPPET</t>
  </si>
  <si>
    <t>BLUE EASTER EGG HUNT START POST</t>
  </si>
  <si>
    <t>84706C</t>
  </si>
  <si>
    <t>PINK FLOCK TABLE CLOCK</t>
  </si>
  <si>
    <t>90063B</t>
  </si>
  <si>
    <t>BLACK VINT ART DEC CRYSTAL NECKLACE</t>
  </si>
  <si>
    <t>17014A</t>
  </si>
  <si>
    <t>ORIGAMI VANILLA INCENSE CONES</t>
  </si>
  <si>
    <t>85040a</t>
  </si>
  <si>
    <t>47570b</t>
  </si>
  <si>
    <t>84531A</t>
  </si>
  <si>
    <t>PINK KNITTED EGG COSY</t>
  </si>
  <si>
    <t>37491C</t>
  </si>
  <si>
    <t>GREEN/BLUE CERAMIC CANDLE HOLDER</t>
  </si>
  <si>
    <t>PINK &amp; WHITE ROSEBUD RING</t>
  </si>
  <si>
    <t>90019B</t>
  </si>
  <si>
    <t>GOLD M.O.P ORBIT BRACELET</t>
  </si>
  <si>
    <t>90065B</t>
  </si>
  <si>
    <t>BLACK VINT ART DEC CRYSTAL BRACELET</t>
  </si>
  <si>
    <t>85205A</t>
  </si>
  <si>
    <t>IVORY FELT EASTER RABBIT GARLAND</t>
  </si>
  <si>
    <t>90186B</t>
  </si>
  <si>
    <t>CRYSTAL HOOP EARRING FLORAL LEAF</t>
  </si>
  <si>
    <t>SET/6 POSIES PAPER CUPS</t>
  </si>
  <si>
    <t>84531B</t>
  </si>
  <si>
    <t>BLUE KNITTED EGG COSY</t>
  </si>
  <si>
    <t>35916C</t>
  </si>
  <si>
    <t>PINK FELT HANGING HEART W FLOWER</t>
  </si>
  <si>
    <t>90123B</t>
  </si>
  <si>
    <t>TURQUOISE HEART OF GLASS BRACELET</t>
  </si>
  <si>
    <t>90211A</t>
  </si>
  <si>
    <t>DIAMOND LAS VEGAS NECKLACE 45CM</t>
  </si>
  <si>
    <t>EASTER BUNNY WITH BASKET ON BACK</t>
  </si>
  <si>
    <t>90214L</t>
  </si>
  <si>
    <t>LETTER "L" BLING KEY RING</t>
  </si>
  <si>
    <t>PAISLEY PARK CARD</t>
  </si>
  <si>
    <t>37479P</t>
  </si>
  <si>
    <t>CUBIC MUG FLOCK PINK ON BROWN</t>
  </si>
  <si>
    <t>90018B</t>
  </si>
  <si>
    <t>GOLD M.O.P ORBIT DROP EARRINGS</t>
  </si>
  <si>
    <t>90129D</t>
  </si>
  <si>
    <t>AMBER GLASS TASSLE BAG CHARM</t>
  </si>
  <si>
    <t>85024C</t>
  </si>
  <si>
    <t>PINK SMALL JEWELLED PHOTOFRAME</t>
  </si>
  <si>
    <t>90039D</t>
  </si>
  <si>
    <t>FIRE POLISHED GLASS BRACELET GREEN</t>
  </si>
  <si>
    <t>90214C</t>
  </si>
  <si>
    <t>LETTER "C" BLING KEY RING</t>
  </si>
  <si>
    <t>47369B</t>
  </si>
  <si>
    <t>BLUE GREEN EMBROIDERY COSMETIC BAG</t>
  </si>
  <si>
    <t>FLORAL DINOSAUR GREEN</t>
  </si>
  <si>
    <t>90190C</t>
  </si>
  <si>
    <t>SILVER/AMETHYST DROP EARRINGS LEAF</t>
  </si>
  <si>
    <t>CHERRY BLOSSOM CANVAS ART PICTURE</t>
  </si>
  <si>
    <t>90214J</t>
  </si>
  <si>
    <t>LETTER "J" BLING KEY RING</t>
  </si>
  <si>
    <t>90042A</t>
  </si>
  <si>
    <t>FRESHWATER PEARL BRACELET GOLD</t>
  </si>
  <si>
    <t>90123C</t>
  </si>
  <si>
    <t>GREEN HEART OF GLASS BRACELET</t>
  </si>
  <si>
    <t>SILVER SLEIGHBELL  WREATH</t>
  </si>
  <si>
    <t>NUMBER TILE VINTAGE FONT 8</t>
  </si>
  <si>
    <t>81952V</t>
  </si>
  <si>
    <t>ROUND PURPLE CLOCK WITH SUCKER</t>
  </si>
  <si>
    <t>CANDY STRIPE ROSE FLOOR CUSHION</t>
  </si>
  <si>
    <t>SET 4 PICNIC CUTLERY BLUEBERRY</t>
  </si>
  <si>
    <t>90214K</t>
  </si>
  <si>
    <t>LETTER "K" BLING KEY RING</t>
  </si>
  <si>
    <t>90162B</t>
  </si>
  <si>
    <t>ANT SILVER LIME GREEN BOUDICCA RING</t>
  </si>
  <si>
    <t>37379A</t>
  </si>
  <si>
    <t>PINK CHERRY BLOSSOM CUP &amp; SAUCER</t>
  </si>
  <si>
    <t>POPART RECT PENCIL SHARPENER ASST</t>
  </si>
  <si>
    <t>85166A</t>
  </si>
  <si>
    <t>WHITE METAL BAROQUE PHOTO FRAME</t>
  </si>
  <si>
    <t>90125A</t>
  </si>
  <si>
    <t>PINK BERTIE GLASS BEAD BAG CHARM</t>
  </si>
  <si>
    <t>MUG AND COASTER SET RED CIRCLES</t>
  </si>
  <si>
    <t>TEXRIO TOMATOES CANDLE+CUP</t>
  </si>
  <si>
    <t>DOOR MAT CAMOUFLAGE</t>
  </si>
  <si>
    <t>BLUE WHITE SCARF HOT WATER BOTTLE</t>
  </si>
  <si>
    <t>72140E</t>
  </si>
  <si>
    <t>BEST DAD CANDLE LETTERS</t>
  </si>
  <si>
    <t>BATHROOM HOOK</t>
  </si>
  <si>
    <t>16202E</t>
  </si>
  <si>
    <t>BLACK PHOTO ALBUM</t>
  </si>
  <si>
    <t>TUSCAN VILLA BIRD TABLE</t>
  </si>
  <si>
    <t>FLAT PALM T-LIGHT HOLDER</t>
  </si>
  <si>
    <t>HEN HOUSE W CHICK STANDING</t>
  </si>
  <si>
    <t>84914A</t>
  </si>
  <si>
    <t>PINK ROSE PICNIC RUG</t>
  </si>
  <si>
    <t>TROPICAL HOLIDAY PURSE</t>
  </si>
  <si>
    <t>PAIR OF ENAMEL BUTTERFLY HAIRCLIP</t>
  </si>
  <si>
    <t>72351a</t>
  </si>
  <si>
    <t>84924F</t>
  </si>
  <si>
    <t>PSYCHEDELIC METAL SIGN CALENDAR</t>
  </si>
  <si>
    <t>PANTRY KITCHEN THERMOMETER</t>
  </si>
  <si>
    <t>72801c</t>
  </si>
  <si>
    <t>47518F</t>
  </si>
  <si>
    <t>ICON PLACEMAT POP ART ELVIS</t>
  </si>
  <si>
    <t>79192A</t>
  </si>
  <si>
    <t>PINK GINGHAM ROSE CUSHION COVER</t>
  </si>
  <si>
    <t>90030C</t>
  </si>
  <si>
    <t>BROWN KUKUI COCONUT SEED NECKLACE</t>
  </si>
  <si>
    <t>84968a</t>
  </si>
  <si>
    <t>90003B</t>
  </si>
  <si>
    <t>ROSE COLOUR PAIR HEART HAIR SLIDES</t>
  </si>
  <si>
    <t>84989a</t>
  </si>
  <si>
    <t>79161A</t>
  </si>
  <si>
    <t>ST GEORGE SET OF 10 PARTY LIGHTS</t>
  </si>
  <si>
    <t>90042C</t>
  </si>
  <si>
    <t>FRESHWATER PEARL BRACELET IVORY</t>
  </si>
  <si>
    <t>FLAMES SUNGLASSES PINK LENSES</t>
  </si>
  <si>
    <t>84927A</t>
  </si>
  <si>
    <t>WAKE UP COCKEREL TILE HOOK</t>
  </si>
  <si>
    <t>17108D</t>
  </si>
  <si>
    <t>FLOWER FAIRY SUMMER BOUQUET SACHET</t>
  </si>
  <si>
    <t>90040D</t>
  </si>
  <si>
    <t>MURANO STYLE GLASS BRACELET PINK</t>
  </si>
  <si>
    <t>84709A</t>
  </si>
  <si>
    <t>SILVER OVAL JEWELLED MIRROR</t>
  </si>
  <si>
    <t>71496A</t>
  </si>
  <si>
    <t>A4 WALL TIDY BLUE OFFICE</t>
  </si>
  <si>
    <t>47351B</t>
  </si>
  <si>
    <t>BLUE  VOILE LAMPSHADE</t>
  </si>
  <si>
    <t>90059A</t>
  </si>
  <si>
    <t>DIAMANTE HAIR GRIP PACK/2 CRYSTAL</t>
  </si>
  <si>
    <t>DOT MATRIX CANVAS ART PICTURE</t>
  </si>
  <si>
    <t>90040C</t>
  </si>
  <si>
    <t>MURANO STYLE GLASS BRACELET GOLD</t>
  </si>
  <si>
    <t>90002A</t>
  </si>
  <si>
    <t>FLOWER BURST SILVER RING OPAL</t>
  </si>
  <si>
    <t>35610B</t>
  </si>
  <si>
    <t>BLACK CHRISTMAS FLOCK DROPLET</t>
  </si>
  <si>
    <t>90016C</t>
  </si>
  <si>
    <t>SILVER/BLACK PENDANT ORBIT NECKLACE</t>
  </si>
  <si>
    <t>90036B</t>
  </si>
  <si>
    <t>FLOWER GLASS GARLAND NECKL.36"GREEN</t>
  </si>
  <si>
    <t>CLEAR CRYSTAL STAR PHONE CHARM</t>
  </si>
  <si>
    <t>46138B</t>
  </si>
  <si>
    <t>BLUE CHENILLE SHAGGY CUSHION COVER</t>
  </si>
  <si>
    <t>84874B</t>
  </si>
  <si>
    <t>BLUE TRAVEL FIRST AID KIT</t>
  </si>
  <si>
    <t>72740A</t>
  </si>
  <si>
    <t>LARGE STRAWBERRY CHOCOLATE CANDLE</t>
  </si>
  <si>
    <t>90214M</t>
  </si>
  <si>
    <t>LETTER "M" BLING KEY RING</t>
  </si>
  <si>
    <t>47590b</t>
  </si>
  <si>
    <t>47369A</t>
  </si>
  <si>
    <t>PINK GREEN EMBROIDERY COSMETIC BAG</t>
  </si>
  <si>
    <t>NEW BAROQUE BLACK BOXES</t>
  </si>
  <si>
    <t>SILVER ROCOCO CANDELABRA</t>
  </si>
  <si>
    <t>90212B</t>
  </si>
  <si>
    <t>JET BLACK LAS VEGAS BRACELET ROUND</t>
  </si>
  <si>
    <t>SEAGRASS S/3 SQU LAUNDRY BOX</t>
  </si>
  <si>
    <t>90199A</t>
  </si>
  <si>
    <t>5 STRAND GLASS NECKLACE BLACK</t>
  </si>
  <si>
    <t>VINTAGE ZINC WATERING CAN</t>
  </si>
  <si>
    <t>90199D</t>
  </si>
  <si>
    <t>5 STRAND GLASS NECKLACE AMBER</t>
  </si>
  <si>
    <t>90214E</t>
  </si>
  <si>
    <t>LETTER "E" BLING KEY RING</t>
  </si>
  <si>
    <t>84510c</t>
  </si>
  <si>
    <t>SET 4 PICNIC CUTLERY CHERRY</t>
  </si>
  <si>
    <t>90183A</t>
  </si>
  <si>
    <t>AMBER DROP EARRINGS W LONG BEADS</t>
  </si>
  <si>
    <t>72754B</t>
  </si>
  <si>
    <t>F FAIRY POTPOURRI CUSHIONS LAVENDER</t>
  </si>
  <si>
    <t>35816P</t>
  </si>
  <si>
    <t>ACRYLIC JEWEL ANGEL,PINK</t>
  </si>
  <si>
    <t>RESIN BRACELET W PASTEL BEADS</t>
  </si>
  <si>
    <t>CROCHET WHITE RABBIT KEYRING</t>
  </si>
  <si>
    <t>DOGGY RUBBER</t>
  </si>
  <si>
    <t>35824P</t>
  </si>
  <si>
    <t>HANGING FLOWERS+MIRROR,PINK</t>
  </si>
  <si>
    <t>SILVER/NATURAL SHELL NECKLACE</t>
  </si>
  <si>
    <t>90024E</t>
  </si>
  <si>
    <t>NEW BAROQUE B'FLY NECKLACE MONTANA</t>
  </si>
  <si>
    <t>SILVER LARIAT BLACK STONE EARRINGS</t>
  </si>
  <si>
    <t>90038A</t>
  </si>
  <si>
    <t>GLASS AND PAINTED BEADS BRACELET TO</t>
  </si>
  <si>
    <t>17011D</t>
  </si>
  <si>
    <t>ORIGAMI ROSE INCENSE+FLOWER</t>
  </si>
  <si>
    <t>DOLPHIN WINDMILL</t>
  </si>
  <si>
    <t>85132a</t>
  </si>
  <si>
    <t>COLUMBIAN  CUBE CANDLE</t>
  </si>
  <si>
    <t>16020C</t>
  </si>
  <si>
    <t>CLEAR STATIONERY BOX SET</t>
  </si>
  <si>
    <t>NUMBER TILE VINTAGE FONT 0</t>
  </si>
  <si>
    <t>JACOBS LADDER SMALL</t>
  </si>
  <si>
    <t>84555A</t>
  </si>
  <si>
    <t>YELLOW VW BEETLE CERAMIC MONEY BOX</t>
  </si>
  <si>
    <t>79191D</t>
  </si>
  <si>
    <t>35980C</t>
  </si>
  <si>
    <t>REDWHITE STRIPE SCANDINAVIAN HEART</t>
  </si>
  <si>
    <t>35609A</t>
  </si>
  <si>
    <t>PINK FEATHER CHRISTMAS DECORATION</t>
  </si>
  <si>
    <t>46137D</t>
  </si>
  <si>
    <t>GREEN CHENILLE SHAGGY RUG</t>
  </si>
  <si>
    <t>90190B</t>
  </si>
  <si>
    <t>GOLD/AMBER DROP EARRINGS W LEAF</t>
  </si>
  <si>
    <t>PINK COMBO MINI CRYSTALS NECKLACE</t>
  </si>
  <si>
    <t>EDWARDIAN DROP EARRINGS JET BLACK</t>
  </si>
  <si>
    <t>FOLDING SHOE TIDY</t>
  </si>
  <si>
    <t>47592B</t>
  </si>
  <si>
    <t>SCOTTIES DESIGN CHILD'S OVERALL</t>
  </si>
  <si>
    <t>FILIGREE DIAMANTE EARRINGS</t>
  </si>
  <si>
    <t>90165B</t>
  </si>
  <si>
    <t>WHITE ROSEBUD  PEARL EARRINGS</t>
  </si>
  <si>
    <t>PINK STOCKING CHRISTMAS DECORATION</t>
  </si>
  <si>
    <t>WHITE ROSE C/COVER</t>
  </si>
  <si>
    <t>NUMBER TILE VINTAGE FONT 9</t>
  </si>
  <si>
    <t>FUNKY GIRL ADDRESS BOOK</t>
  </si>
  <si>
    <t>84925E</t>
  </si>
  <si>
    <t>FLOWERS WALL THERMOMETER</t>
  </si>
  <si>
    <t>VINTAGE NOTEBOOK RED ROSE</t>
  </si>
  <si>
    <t>NECKLACE+BRACELET SET BLUE HIBISCUS</t>
  </si>
  <si>
    <t>90190A</t>
  </si>
  <si>
    <t>SILVER/CRYSTAL DROP EARRINGS W LEAF</t>
  </si>
  <si>
    <t>MULTICOLOUR DOTS PLATE</t>
  </si>
  <si>
    <t>BLUE METAL WALL SHELF</t>
  </si>
  <si>
    <t>GROOVY CACTUS INFLATABLE</t>
  </si>
  <si>
    <t>85160a</t>
  </si>
  <si>
    <t>84858A</t>
  </si>
  <si>
    <t>NATURAL RIVIERA HANDBAG</t>
  </si>
  <si>
    <t>90181A</t>
  </si>
  <si>
    <t>AMBER GLASS/SHELL/PEARL NECKLACE</t>
  </si>
  <si>
    <t>84559D</t>
  </si>
  <si>
    <t>3D SHEET OF SEA WORLD STICKERS</t>
  </si>
  <si>
    <t>84251G</t>
  </si>
  <si>
    <t>GREETING CARD, OVERCROWDED POOL.</t>
  </si>
  <si>
    <t>90024D</t>
  </si>
  <si>
    <t>NEW BAROQUE B'FLY NECKLACE PINK</t>
  </si>
  <si>
    <t>84782B</t>
  </si>
  <si>
    <t>BLACK 3 TIER GLASS PLATE STAND</t>
  </si>
  <si>
    <t>85018C</t>
  </si>
  <si>
    <t>S/6 PAPER BOXES CURIOUS IMAGES</t>
  </si>
  <si>
    <t>81950B</t>
  </si>
  <si>
    <t>FLOWER BLUE CLOCK W/SUCKER</t>
  </si>
  <si>
    <t>16168S</t>
  </si>
  <si>
    <t>FUNKY MONKEY GIFT BAG SMALL</t>
  </si>
  <si>
    <t>SET 4 PICNIC CUTLERY FONDANT</t>
  </si>
  <si>
    <t>LA STREGA CANVAS PICTURE</t>
  </si>
  <si>
    <t>82607E</t>
  </si>
  <si>
    <t>GLASS BONBON JAR. D'AMANDES</t>
  </si>
  <si>
    <t>BLUE BLOSSOM HAIR CLIP</t>
  </si>
  <si>
    <t>POPART COL BALLPOINT PEN ASST</t>
  </si>
  <si>
    <t>SNACK TRAY RED GINGHAM</t>
  </si>
  <si>
    <t>WHITE/PINK MINI CRYSTALS NECKLACE</t>
  </si>
  <si>
    <t>84558a</t>
  </si>
  <si>
    <t>PINK FLOWER HANGING HEART</t>
  </si>
  <si>
    <t>90162C</t>
  </si>
  <si>
    <t>ANT SILVER FUSCHIA BOUDICCA RING</t>
  </si>
  <si>
    <t>90202D</t>
  </si>
  <si>
    <t>PINK ENAMEL FLOWER HAIR TIE</t>
  </si>
  <si>
    <t>17191A</t>
  </si>
  <si>
    <t>ROSE FLOWER CANDLE+INCENSE 16X16CM</t>
  </si>
  <si>
    <t>GOLD FLOWER CUSHION COVER</t>
  </si>
  <si>
    <t>WOODLAND LARGE BLUE FELT HEART</t>
  </si>
  <si>
    <t>POCKET MIRROR "GLAMOROUS"</t>
  </si>
  <si>
    <t>79308B</t>
  </si>
  <si>
    <t>MOSAIC CANDLE DISH BLUE PURPLE</t>
  </si>
  <si>
    <t>90205C</t>
  </si>
  <si>
    <t>LARGE CRYSTAL DIAMANTE HAIRSLIDE</t>
  </si>
  <si>
    <t>GLOW IN DARK DOLPHINS</t>
  </si>
  <si>
    <t>44242B</t>
  </si>
  <si>
    <t>PINK FEATHERS CURTAIN</t>
  </si>
  <si>
    <t>84288B</t>
  </si>
  <si>
    <t>SET/2 BLUE  NOODLE BASKETS</t>
  </si>
  <si>
    <t>VINTAGE ZINC PLANTER</t>
  </si>
  <si>
    <t>MOSAIC GLASS BALL CANDLEHOLDER</t>
  </si>
  <si>
    <t>35916B</t>
  </si>
  <si>
    <t>BLUE FELT HANGING HEART WITH FLOWER</t>
  </si>
  <si>
    <t>35607A</t>
  </si>
  <si>
    <t>PINK FLUFFY CHRISTMAS DECORATION</t>
  </si>
  <si>
    <t>90018C</t>
  </si>
  <si>
    <t>SILVER BLACK ORBIT DROP EARRINGS</t>
  </si>
  <si>
    <t>BOX OF 6 PEBBLE CANDLES</t>
  </si>
  <si>
    <t>FLOWER BROOCH 4 ASSORTED COLOURS</t>
  </si>
  <si>
    <t>90177D</t>
  </si>
  <si>
    <t>DROP DIAMANTE EARRINGS PURPLE</t>
  </si>
  <si>
    <t>VINTAGE NOTEBOOK PINK FLOWER</t>
  </si>
  <si>
    <t>84510E</t>
  </si>
  <si>
    <t>SET OF 4 GREEN CAROUSEL COASTERS</t>
  </si>
  <si>
    <t>84751B</t>
  </si>
  <si>
    <t>BLACK MEDIUM GLASS CAKE STAND</t>
  </si>
  <si>
    <t>35824C</t>
  </si>
  <si>
    <t>HANGING FLOWERS+MIRROR,CLEAR</t>
  </si>
  <si>
    <t>90002C</t>
  </si>
  <si>
    <t>FLOWER BURST SILVER RING MIDN'T BLU</t>
  </si>
  <si>
    <t>ZINC SWEETHEART SOAP DISH</t>
  </si>
  <si>
    <t>FRENCH STYLE STORAGE JAR JAM</t>
  </si>
  <si>
    <t>16206B</t>
  </si>
  <si>
    <t>RED PURSE WITH PINK HEART</t>
  </si>
  <si>
    <t>WHITE FRANGIPANI NECKLACE</t>
  </si>
  <si>
    <t>ZINC HEART LATTICE CHARGER SMALL</t>
  </si>
  <si>
    <t>3 PINK HEN+CHICKS IN BASKET</t>
  </si>
  <si>
    <t>LITTLE PINK MONSTER SOFT TOY</t>
  </si>
  <si>
    <t>90030A</t>
  </si>
  <si>
    <t>SPOTTED WHITE NATURAL SEED NECKLACE</t>
  </si>
  <si>
    <t>84705B</t>
  </si>
  <si>
    <t>FAIRY CAKES PHOTO FRAME</t>
  </si>
  <si>
    <t>84249A</t>
  </si>
  <si>
    <t>GREETING CARD,SQUARE, DOUGHNUTS</t>
  </si>
  <si>
    <t>84614A</t>
  </si>
  <si>
    <t>PINK BAROQUE FLOCK CANDLE HOLDER</t>
  </si>
  <si>
    <t>90003E</t>
  </si>
  <si>
    <t>GREEN PAIR HEART HAIR SLIDES</t>
  </si>
  <si>
    <t>90179C</t>
  </si>
  <si>
    <t>BLACK FINE BEAD NECKLACE W TASSEL</t>
  </si>
  <si>
    <t>POP ART PUSH DOWN RUBBER</t>
  </si>
  <si>
    <t>SET/6 GREEN SPRING PAPER CUPS</t>
  </si>
  <si>
    <t>CREAM AND PINK FLOWERS PONY</t>
  </si>
  <si>
    <t>PINK/PURPLE CIRCLE CURTAIN</t>
  </si>
  <si>
    <t>35916A</t>
  </si>
  <si>
    <t>YELLOW FELT HANGING HEART W FLOWER</t>
  </si>
  <si>
    <t>SQUARE METAL CANDLEHOLDER BASE</t>
  </si>
  <si>
    <t>71495B</t>
  </si>
  <si>
    <t>CD WALL TIDY RED FLOWERS</t>
  </si>
  <si>
    <t>FOLKART CHRISTMAS TREE T-LIGHT HOLD</t>
  </si>
  <si>
    <t>ASSORTED COLOUR JUMBO PEN</t>
  </si>
  <si>
    <t>PURPLE FRANGIPANI NECKLACE</t>
  </si>
  <si>
    <t>BEECH WOOD P/FRAME</t>
  </si>
  <si>
    <t>GREEN WITH METAL BAG CHARM</t>
  </si>
  <si>
    <t>85185F</t>
  </si>
  <si>
    <t>LION SOCK PUPPET</t>
  </si>
  <si>
    <t>84247H</t>
  </si>
  <si>
    <t>PACK/12 DECOUPAGE CARD</t>
  </si>
  <si>
    <t>RUBY GLASS CLUSTER EARRINGS</t>
  </si>
  <si>
    <t>PURPLE FRANGIPANI HAIRCLIP</t>
  </si>
  <si>
    <t>CHERRY BLOSSOM PURSE</t>
  </si>
  <si>
    <t>72753C</t>
  </si>
  <si>
    <t>S/3 FLWR FAIRY ROSE CANDLES</t>
  </si>
  <si>
    <t>35096B</t>
  </si>
  <si>
    <t>RED VICTORIAN FABRIC HEART BOX</t>
  </si>
  <si>
    <t>FLAT GLASS  BAUBLE WHITE FLOCK</t>
  </si>
  <si>
    <t>SET 10 CARDS DINKY TREE 17076</t>
  </si>
  <si>
    <t>84562B</t>
  </si>
  <si>
    <t>BLUE/WHITE RIBBED MELAMINE JUG</t>
  </si>
  <si>
    <t>90165A</t>
  </si>
  <si>
    <t>PINK ROSEBUD PEARL EARRINGS</t>
  </si>
  <si>
    <t>2 DAISIES HAIR COMB</t>
  </si>
  <si>
    <t>72038P</t>
  </si>
  <si>
    <t>PRICE'S CANDLE PEACH</t>
  </si>
  <si>
    <t>WRAP , SUMMER ROSE DESIGN</t>
  </si>
  <si>
    <t>84867A</t>
  </si>
  <si>
    <t>PINK BABY GIRLS PHOTO ALBUM</t>
  </si>
  <si>
    <t>CRACKED GLAZE NECKLACE RED</t>
  </si>
  <si>
    <t>WOODEN CHRISTMAS TREE 3 HANGING</t>
  </si>
  <si>
    <t>35610A</t>
  </si>
  <si>
    <t>PINK CHRISTMAS FLOCK DROPLET</t>
  </si>
  <si>
    <t>S/3 RABBIT FLOWER/EGG/CARROT ROPE</t>
  </si>
  <si>
    <t>17090D</t>
  </si>
  <si>
    <t>VANILLA INCENSE 40 CONES IN TIN</t>
  </si>
  <si>
    <t>16169D</t>
  </si>
  <si>
    <t>WRAP WINTER FOREST</t>
  </si>
  <si>
    <t>90141A</t>
  </si>
  <si>
    <t>GREEN PENDANT TRIPLE SHELL NECKLACE</t>
  </si>
  <si>
    <t>VINTAGE ENAMEL &amp; CRYSTAL NECKLACE</t>
  </si>
  <si>
    <t>SHOPPING BAG DOORSTOP</t>
  </si>
  <si>
    <t>SILVER WASHBAG</t>
  </si>
  <si>
    <t>35910A</t>
  </si>
  <si>
    <t>MULTICOLOUR EASTER RABBIT</t>
  </si>
  <si>
    <t>CLASSICAL ROSE TABLE LAMP</t>
  </si>
  <si>
    <t>16248B</t>
  </si>
  <si>
    <t>BLUE HOLE PUNCH</t>
  </si>
  <si>
    <t>84613A</t>
  </si>
  <si>
    <t>PINK NEW BAROQUE FLOCK CANDLESTICK</t>
  </si>
  <si>
    <t>LITTLE GREEN MONSTER SOFT TOY</t>
  </si>
  <si>
    <t>90125C</t>
  </si>
  <si>
    <t>TURQUOISE BERTIE GLASS BEAD CHARM</t>
  </si>
  <si>
    <t>72369A</t>
  </si>
  <si>
    <t>PINK CLEAR GLASS CANDLE PLATE</t>
  </si>
  <si>
    <t>FRENCH ENAMEL SOAP DISH WITH LID</t>
  </si>
  <si>
    <t>CUPID SCENTED CANDLE IN GLASS</t>
  </si>
  <si>
    <t>84968d</t>
  </si>
  <si>
    <t>PAINTED SEA SHELL METAL WINDCHIME</t>
  </si>
  <si>
    <t>SEAGRASS S/2 CORNER LAUNDRY</t>
  </si>
  <si>
    <t>SET 10 CARDS RED RIDING HOOD 17214</t>
  </si>
  <si>
    <t>15 PINK FLUFFY CHICKS IN BOX</t>
  </si>
  <si>
    <t>10123G</t>
  </si>
  <si>
    <t>ARMY CAMO WRAPPING TAPE</t>
  </si>
  <si>
    <t>VINTAGE ZINC WATERING CAN SMALL</t>
  </si>
  <si>
    <t>VINTAGE SILVER TINSEL REEL</t>
  </si>
  <si>
    <t>84575A</t>
  </si>
  <si>
    <t>PINK DOG CANNISTER</t>
  </si>
  <si>
    <t>GOLD COSMETIC BAG PINK STAR</t>
  </si>
  <si>
    <t>90163B</t>
  </si>
  <si>
    <t>WHITE ROSEBUD &amp; PEARL NECKLACE</t>
  </si>
  <si>
    <t>84705D</t>
  </si>
  <si>
    <t>CHERRY BLOSSOM PHOTO FRAME</t>
  </si>
  <si>
    <t>16161G</t>
  </si>
  <si>
    <t>WRAP BAD HAIR DAY</t>
  </si>
  <si>
    <t>BLUE SHELL+SILVER NECKLACE</t>
  </si>
  <si>
    <t>90067A</t>
  </si>
  <si>
    <t>PINK VINTAGE VICTORIAN EARRINGS</t>
  </si>
  <si>
    <t>90059D</t>
  </si>
  <si>
    <t>DIAMANTE HAIR GRIP PACK/2 PERIDOT</t>
  </si>
  <si>
    <t>85132b</t>
  </si>
  <si>
    <t>35913B</t>
  </si>
  <si>
    <t>WHITE/PINK CHICK EASTER DECORATION</t>
  </si>
  <si>
    <t>17084J</t>
  </si>
  <si>
    <t>LOVE POTION MASALA INCENSE</t>
  </si>
  <si>
    <t>84559a</t>
  </si>
  <si>
    <t>KNITTED RABBIT DOLL</t>
  </si>
  <si>
    <t>BUTTERFLY HAIR BAND</t>
  </si>
  <si>
    <t>84891B</t>
  </si>
  <si>
    <t>GREEN WIRE GOBLET CANDLEHOLDER</t>
  </si>
  <si>
    <t>90214R</t>
  </si>
  <si>
    <t>LETTER "R" BLING KEY RING</t>
  </si>
  <si>
    <t>84967A</t>
  </si>
  <si>
    <t>PINK KASHMIRI OCCASIONAL TABLE</t>
  </si>
  <si>
    <t>72606A</t>
  </si>
  <si>
    <t>BROWN ANTIQUE CUBE CANDLE</t>
  </si>
  <si>
    <t>44217M</t>
  </si>
  <si>
    <t>MULTICOLOUR FEATHERS CURTAIN</t>
  </si>
  <si>
    <t>PINK CRYSTAL SKULL PHONE CHARM</t>
  </si>
  <si>
    <t>90026A</t>
  </si>
  <si>
    <t>GLASS BEAD HOOP NECKLACE BLACK</t>
  </si>
  <si>
    <t>90024C</t>
  </si>
  <si>
    <t>NEW BAROQUE B'FLY NECKLACE GREEN</t>
  </si>
  <si>
    <t>17084A</t>
  </si>
  <si>
    <t>TRANQUILITY MASALA INCENSE</t>
  </si>
  <si>
    <t>WISE MAN STAR SHAPE EGG PAN</t>
  </si>
  <si>
    <t>MONTANA DIAMOND CLUSTER NECKLACE</t>
  </si>
  <si>
    <t>84753A</t>
  </si>
  <si>
    <t>PINK EAU DE COLOGNE BOTTLE</t>
  </si>
  <si>
    <t>PINK DAISY BAG CHARM</t>
  </si>
  <si>
    <t>GOLD JEWELERY BOX</t>
  </si>
  <si>
    <t>90214G</t>
  </si>
  <si>
    <t>LETTER "G" BLING KEY RING</t>
  </si>
  <si>
    <t>90177B</t>
  </si>
  <si>
    <t>DROP DIAMANTE EARRINGS BLACK DIAMON</t>
  </si>
  <si>
    <t>90177C</t>
  </si>
  <si>
    <t>DROP DIAMANTE EARRINGS CRYSTAL</t>
  </si>
  <si>
    <t>PINK DOLLY HAIR CLIPS</t>
  </si>
  <si>
    <t>VIP LUGGAGE TAG</t>
  </si>
  <si>
    <t>84437A</t>
  </si>
  <si>
    <t>S/6 PINK EASTER DECS IN BOX</t>
  </si>
  <si>
    <t>90214D</t>
  </si>
  <si>
    <t>LETTER "D" BLING KEY RING</t>
  </si>
  <si>
    <t>79026B</t>
  </si>
  <si>
    <t>S/4 ICON COASTER,ELVIS LIVES</t>
  </si>
  <si>
    <t>BLACK SIL'T SQU CANDLE PLATE</t>
  </si>
  <si>
    <t>PACKING CHARGE</t>
  </si>
  <si>
    <t>71406C</t>
  </si>
  <si>
    <t>BLACK ORANGE SQUEEZER</t>
  </si>
  <si>
    <t>NEW ENGLAND EGG WARMER</t>
  </si>
  <si>
    <t>90162A</t>
  </si>
  <si>
    <t>ANT SILVER TURQUOISE BOUDICCA RING</t>
  </si>
  <si>
    <t>35638A</t>
  </si>
  <si>
    <t>PINK AND BLACK STRING CURTAIN</t>
  </si>
  <si>
    <t>71495A</t>
  </si>
  <si>
    <t>CD WALL TIDY BLUE OFFICE</t>
  </si>
  <si>
    <t>MANHATTAN CANVAS ART PICTURE</t>
  </si>
  <si>
    <t>12 HANGING EGGS HAND PAINTED</t>
  </si>
  <si>
    <t>35822B</t>
  </si>
  <si>
    <t>ACRYLIC BEAD CHAIN, BLUE</t>
  </si>
  <si>
    <t>COLOURFUL FLOWER FRUIT BOWL</t>
  </si>
  <si>
    <t>37462B</t>
  </si>
  <si>
    <t>PET MUG, BUDGIE</t>
  </si>
  <si>
    <t>90039C</t>
  </si>
  <si>
    <t>FIRE POLISHED GLASS BRACELET BLACK</t>
  </si>
  <si>
    <t>SET 10 CARDS 12 DAYS WRAP  17058</t>
  </si>
  <si>
    <t>84424A</t>
  </si>
  <si>
    <t>FOUR PICTURE WHITE GLASS FRAME</t>
  </si>
  <si>
    <t>35271S</t>
  </si>
  <si>
    <t>GOLD PRINT PAPER BAG</t>
  </si>
  <si>
    <t>90012B</t>
  </si>
  <si>
    <t>BLACK DROP CRYSTAL NECKLACE</t>
  </si>
  <si>
    <t>90162D</t>
  </si>
  <si>
    <t>ANT SILVER PURPLE BOUDICCA RING</t>
  </si>
  <si>
    <t>WOBBLING METAL CHICKEN EASTER</t>
  </si>
  <si>
    <t>85099c</t>
  </si>
  <si>
    <t>35838B</t>
  </si>
  <si>
    <t>S/6 SILVER ORNAMENETAL CANDLE</t>
  </si>
  <si>
    <t>90026D</t>
  </si>
  <si>
    <t>GLASS BEAD HOOP NECKLACE AMETHYST</t>
  </si>
  <si>
    <t>90001D</t>
  </si>
  <si>
    <t>ANTIQUE OLIVE GREEN FLOWER EARRINGS</t>
  </si>
  <si>
    <t>17027A</t>
  </si>
  <si>
    <t>INCENSE BAZAAR CANNABIS</t>
  </si>
  <si>
    <t>46775B</t>
  </si>
  <si>
    <t>BERRIES CHUNKY KNITTED THROW</t>
  </si>
  <si>
    <t>TEATIME PENCIL W STAMP ASST</t>
  </si>
  <si>
    <t>84450B</t>
  </si>
  <si>
    <t>PINK/YELLOW RABBIT SAT EASTER</t>
  </si>
  <si>
    <t>81952B</t>
  </si>
  <si>
    <t>ROUND BLUE CLOCK W/SUCKER</t>
  </si>
  <si>
    <t>84251F</t>
  </si>
  <si>
    <t>GREETING CARD, RITA</t>
  </si>
  <si>
    <t>90141C</t>
  </si>
  <si>
    <t>TURQ PENDANT TRIPLE SHELL NECKLACE</t>
  </si>
  <si>
    <t>DAISY HAIR COMB</t>
  </si>
  <si>
    <t>Dotcomgiftshop Gift Voucher £100.00</t>
  </si>
  <si>
    <t>SET/6 BLACK ROSE T-LIGHT CANDLES</t>
  </si>
  <si>
    <t>90176D</t>
  </si>
  <si>
    <t>DIAMANTE NECKLACE PURPLE</t>
  </si>
  <si>
    <t>84030C</t>
  </si>
  <si>
    <t>90002B</t>
  </si>
  <si>
    <t>FLOWER BURST SILVER RING ROSE</t>
  </si>
  <si>
    <t>90189A</t>
  </si>
  <si>
    <t>SILVER 2 STRAND NECKLACE-LEAF CHARM</t>
  </si>
  <si>
    <t>84251B</t>
  </si>
  <si>
    <t>GREETING CARD, STICKY GORDON</t>
  </si>
  <si>
    <t>90130A</t>
  </si>
  <si>
    <t>WHITE STONE/CRYSTAL EARRINGS</t>
  </si>
  <si>
    <t>RUBY GLASS CLUSTER NECKLACE</t>
  </si>
  <si>
    <t>SET 5 MINI CHOCOLATE FRIDGE MAGNETS</t>
  </si>
  <si>
    <t>90183B</t>
  </si>
  <si>
    <t>AMETHYST DROP EARRINGS W LONG BEADS</t>
  </si>
  <si>
    <t>35610C</t>
  </si>
  <si>
    <t>WHITE CHRISTMAS FLOCK DROPLET</t>
  </si>
  <si>
    <t>16201B</t>
  </si>
  <si>
    <t>84596I</t>
  </si>
  <si>
    <t>WRAP SWEETS LIGHT PINK SMALL BOWL</t>
  </si>
  <si>
    <t>17011E</t>
  </si>
  <si>
    <t>ORIGAMI OPIUM SCENT INCENSE+FLOWER</t>
  </si>
  <si>
    <t>84415B</t>
  </si>
  <si>
    <t>BLUE FLOCK CUSHION COVER</t>
  </si>
  <si>
    <t>IVORY GOLD METAL BAG CHARM</t>
  </si>
  <si>
    <t>90206A</t>
  </si>
  <si>
    <t>GOLD DIAMANTE STAR BROOCH</t>
  </si>
  <si>
    <t>90125B</t>
  </si>
  <si>
    <t>AQUA BERTIE GLASS BEAD BAG CHARM</t>
  </si>
  <si>
    <t>84795E</t>
  </si>
  <si>
    <t>RIO PINK STRIPE HAMMOCK</t>
  </si>
  <si>
    <t>CROCHET BEAR RED/BLUE  KEYRING</t>
  </si>
  <si>
    <t>90038B</t>
  </si>
  <si>
    <t>GLASS AND PAINTED BEADS BRACELET OL</t>
  </si>
  <si>
    <t>90064A</t>
  </si>
  <si>
    <t>WHITE VINTAGE CRYSTAL EARRINGS</t>
  </si>
  <si>
    <t>90039B</t>
  </si>
  <si>
    <t>FIRE POLISHED GLASS BRACELET MONTAN</t>
  </si>
  <si>
    <t>84251C</t>
  </si>
  <si>
    <t>GREETING CARD, TWO SISTERS.</t>
  </si>
  <si>
    <t>SET OF 3 RABBIT CARROTS EASTER</t>
  </si>
  <si>
    <t>90059E</t>
  </si>
  <si>
    <t>DIAMANTE HAIR GRIP PACK/2 RUBY</t>
  </si>
  <si>
    <t>PINK STAR CHRISTMAS DECORATION</t>
  </si>
  <si>
    <t>90214H</t>
  </si>
  <si>
    <t>LETTER "H" BLING KEY RING</t>
  </si>
  <si>
    <t>90214N</t>
  </si>
  <si>
    <t>LETTER "N" BLING KEY RING</t>
  </si>
  <si>
    <t>Dad's Cab Electronic Meter</t>
  </si>
  <si>
    <t>CROCHET ROSE DES CLOTHES HANGER</t>
  </si>
  <si>
    <t>84425A</t>
  </si>
  <si>
    <t>WHITE GLASS TV TRIPLE FRAME</t>
  </si>
  <si>
    <t>NECKLACE+BRACELET SET PINK DAISY</t>
  </si>
  <si>
    <t>FILIGREE DIAMANTE CHAIN</t>
  </si>
  <si>
    <t>90176A</t>
  </si>
  <si>
    <t>CLASSIC DIAMANTE NECKLACE JET</t>
  </si>
  <si>
    <t>35815P</t>
  </si>
  <si>
    <t>ACRYLIC JEWEL SNOWFLAKE, PINK</t>
  </si>
  <si>
    <t>PINK EASTER HENS+FLOWER</t>
  </si>
  <si>
    <t>TREE OF NOAH FESTIVE SCENTED CANDLE</t>
  </si>
  <si>
    <t>62043B</t>
  </si>
  <si>
    <t>BLUE CHECK BAG W HANDLE 34X20CM</t>
  </si>
  <si>
    <t>16161E</t>
  </si>
  <si>
    <t>WRAP BOUDOIR</t>
  </si>
  <si>
    <t>90064B</t>
  </si>
  <si>
    <t>BLACK VINTAGE  CRYSTAL EARRINGS</t>
  </si>
  <si>
    <t>ASS RETROSPOOF MUGS,SPORTS</t>
  </si>
  <si>
    <t>72802a</t>
  </si>
  <si>
    <t>72807a</t>
  </si>
  <si>
    <t>ENCHANTED GARDEN WROUGHT IRON TABLE</t>
  </si>
  <si>
    <t>VINTAGE PINK TINSEL REEL</t>
  </si>
  <si>
    <t>90012A</t>
  </si>
  <si>
    <t>MIDNIGHT BLUE DROP CRYSTAL NECKLACE</t>
  </si>
  <si>
    <t>84899E</t>
  </si>
  <si>
    <t>YELLOW + BROWN BEAR FELT PURSE KIT</t>
  </si>
  <si>
    <t>NEW ENGLAND MUG W GIFT BOX</t>
  </si>
  <si>
    <t>90202C</t>
  </si>
  <si>
    <t>GREEN ENAMEL FLOWER HAIR TIE</t>
  </si>
  <si>
    <t>FAN BLACK FRAME</t>
  </si>
  <si>
    <t>90130C</t>
  </si>
  <si>
    <t>GREEN STONE/CRYSTAL EARRINGS</t>
  </si>
  <si>
    <t>PINK FLOCK GLASS CANDLEHOLDER</t>
  </si>
  <si>
    <t>6 RABBIT CHAIN EASTER</t>
  </si>
  <si>
    <t>90202A</t>
  </si>
  <si>
    <t>PURPLE ENAMEL FLOWER HAIR TIE</t>
  </si>
  <si>
    <t>SET OF 6 DOTS CHOPSTICKS</t>
  </si>
  <si>
    <t>16151A</t>
  </si>
  <si>
    <t>FLOWERS HANDBAG blue and orange</t>
  </si>
  <si>
    <t>90214B</t>
  </si>
  <si>
    <t>LETTER "B" BLING KEY RING</t>
  </si>
  <si>
    <t>84427B</t>
  </si>
  <si>
    <t>BLACK GLASS TV DOUBLE P/FRAME 15X10</t>
  </si>
  <si>
    <t>90027D</t>
  </si>
  <si>
    <t>GLASS BEAD HOOP EARRINGS AMETHYST</t>
  </si>
  <si>
    <t>BILI NUT AND WOOD NECKLACE</t>
  </si>
  <si>
    <t>90038C</t>
  </si>
  <si>
    <t>GLASS AND BEADS BRACELET IVORY</t>
  </si>
  <si>
    <t>CERISE+GOLD CHRISTMAS STOCKING DEC</t>
  </si>
  <si>
    <t>90060D</t>
  </si>
  <si>
    <t>FIRE POLISHED GLASS NECKL BRONZE</t>
  </si>
  <si>
    <t>84925C</t>
  </si>
  <si>
    <t>FAIRY CAKES  WALL THERMOMETER</t>
  </si>
  <si>
    <t>17007B</t>
  </si>
  <si>
    <t>S/3 POT POURI CUSHIONS BLUE COLOURS</t>
  </si>
  <si>
    <t>84415A</t>
  </si>
  <si>
    <t>PINK FLOCK SUEDE CUSHION COVER</t>
  </si>
  <si>
    <t>90037B</t>
  </si>
  <si>
    <t>TINY CRYSTAL BRACELET GREEN</t>
  </si>
  <si>
    <t>90179A</t>
  </si>
  <si>
    <t>AMBER FINE BEAD NECKLACE W TASSEL</t>
  </si>
  <si>
    <t>84803B</t>
  </si>
  <si>
    <t>WHITE ALLIUM  ARTIFICIAL FLOWER</t>
  </si>
  <si>
    <t>84086B</t>
  </si>
  <si>
    <t>YELLOW/BLUE RETRO RADIO</t>
  </si>
  <si>
    <t>90187B</t>
  </si>
  <si>
    <t>GREEN DROP EARRINGS W BEAD CLUSTER</t>
  </si>
  <si>
    <t>PORCELAIN HANGING BELL LARGE</t>
  </si>
  <si>
    <t>CRACKED GLAZE NECKLACE IVORY</t>
  </si>
  <si>
    <t>ASSORTED COLOUR SUCTION CUP HOOK</t>
  </si>
  <si>
    <t>90059F</t>
  </si>
  <si>
    <t>DIAMANTE HAIR GRIP PACK/2 LT ROSE</t>
  </si>
  <si>
    <t>84705A</t>
  </si>
  <si>
    <t>ENGLISH ROSE PHOTO FRAME</t>
  </si>
  <si>
    <t>PINK/AMETHYST/GOLD NECKLACE</t>
  </si>
  <si>
    <t>90176C</t>
  </si>
  <si>
    <t>DIAMANTE NECKLACE</t>
  </si>
  <si>
    <t>72140F</t>
  </si>
  <si>
    <t>HAPPY ANNIVERSARY CANDLE LETTERS</t>
  </si>
  <si>
    <t>90037C</t>
  </si>
  <si>
    <t>TINY CRYSTAL BRACELET BLUE</t>
  </si>
  <si>
    <t>METAL BASE FOR CANDLES</t>
  </si>
  <si>
    <t>90121B</t>
  </si>
  <si>
    <t>VINTAGE ROSE BEAD BRACELET BLUE</t>
  </si>
  <si>
    <t>84857A</t>
  </si>
  <si>
    <t>SILVER MONTE CARLO HANDBAG</t>
  </si>
  <si>
    <t>PINK SWEETIE NECKLACE</t>
  </si>
  <si>
    <t>90026B</t>
  </si>
  <si>
    <t>GLASS BEAD HOOP NECKLACE MONTANA</t>
  </si>
  <si>
    <t>90026C</t>
  </si>
  <si>
    <t>GLASS BEAD HOOP NECKLACE GREEN</t>
  </si>
  <si>
    <t>90002E</t>
  </si>
  <si>
    <t>FLOWER BURST SILVER RING GREEN</t>
  </si>
  <si>
    <t>84596e</t>
  </si>
  <si>
    <t>84864A</t>
  </si>
  <si>
    <t>PINK PAISLEY PHOTO ALBUM</t>
  </si>
  <si>
    <t>PINK/WHITE GLASS DEMI CHOKER</t>
  </si>
  <si>
    <t>90024F</t>
  </si>
  <si>
    <t>NEW BAROQUE B'FLY NECKLACE CRYSTAL</t>
  </si>
  <si>
    <t>84926B</t>
  </si>
  <si>
    <t>SCOTTS ROSES TILE COASTER</t>
  </si>
  <si>
    <t>47341B</t>
  </si>
  <si>
    <t>BLUE TABLE RUN FLOWER</t>
  </si>
  <si>
    <t>47504J</t>
  </si>
  <si>
    <t>ENGLISH ROSE SET/3 GARDEN TOOLS</t>
  </si>
  <si>
    <t>72045D</t>
  </si>
  <si>
    <t>ROSES ON BLUE TEACUP CANDLE</t>
  </si>
  <si>
    <t>90214P</t>
  </si>
  <si>
    <t>LETTER "P" BLING KEY RING</t>
  </si>
  <si>
    <t>35819P</t>
  </si>
  <si>
    <t>ACRYLIC HANGING JEWEL,PINK</t>
  </si>
  <si>
    <t>90037A</t>
  </si>
  <si>
    <t>TINY CRYSTAL BRACELET RED</t>
  </si>
  <si>
    <t>OCCASIONS GIFT CARD ASSORTMENT</t>
  </si>
  <si>
    <t>17136A</t>
  </si>
  <si>
    <t>BLUE STONES ON WIRE FOR CANDLE</t>
  </si>
  <si>
    <t>LARGE FIBRE OPTIC CHRISTMAS TREE</t>
  </si>
  <si>
    <t>BLUE/PINK NEST STRIPE BOX</t>
  </si>
  <si>
    <t>CRYSTAL KEY+LOCK PHONE CHARM</t>
  </si>
  <si>
    <t>90179B</t>
  </si>
  <si>
    <t>PURPLE FINE BEAD NECKLACE W TASSEL</t>
  </si>
  <si>
    <t>LIGHT DECORATION BATTERY OPERATED</t>
  </si>
  <si>
    <t>16256C</t>
  </si>
  <si>
    <t>HEARTS PENCIL/RUBBER+5 MINI PENCILS</t>
  </si>
  <si>
    <t>90177E</t>
  </si>
  <si>
    <t>DROP DIAMANTE EARRINGS GREEN</t>
  </si>
  <si>
    <t>90141B</t>
  </si>
  <si>
    <t>IVORY PENDANT TRIPLE SHELL NECKLACE</t>
  </si>
  <si>
    <t>BLUE CRYSTAL BOOT PHONE CHARM</t>
  </si>
  <si>
    <t>CROCHET DOG KEYRING</t>
  </si>
  <si>
    <t>BLACK DIAMOND CLUSTER NECKLACE</t>
  </si>
  <si>
    <t>MULTICOLOUR GLASS PLATE</t>
  </si>
  <si>
    <t>85018A</t>
  </si>
  <si>
    <t>S/6 PAPER BOXES ROMANTIC IMAGES</t>
  </si>
  <si>
    <t>85018B</t>
  </si>
  <si>
    <t>S/6 PAPER BOXES BLOSSOM IMAGES</t>
  </si>
  <si>
    <t>GERANIUM FOLKART HEART DECORATION</t>
  </si>
  <si>
    <t>PINK CROCHET CAT WITH SCARF</t>
  </si>
  <si>
    <t>VINTAGE KEEPSAKE BOX BEAUTY GIRL</t>
  </si>
  <si>
    <t>90205A</t>
  </si>
  <si>
    <t>LARGE MINT DIAMANTE HAIRSLIDE</t>
  </si>
  <si>
    <t>37491D</t>
  </si>
  <si>
    <t>PURPLE/BLUE CERAMIC CANDLE HOLDER</t>
  </si>
  <si>
    <t>IVORY SCULPTED RND CANDLE</t>
  </si>
  <si>
    <t>84529B</t>
  </si>
  <si>
    <t>BLUE KNITTED KID'S RUCKSACK</t>
  </si>
  <si>
    <t>35607B</t>
  </si>
  <si>
    <t>BLACK FEATHER CHRISTMAS DECORATION</t>
  </si>
  <si>
    <t>47348A</t>
  </si>
  <si>
    <t>FUSCHIA VOILE POINTY SHOE DEC</t>
  </si>
  <si>
    <t>72771B</t>
  </si>
  <si>
    <t>BURG FLOCK GOLD CUP/CANDLE</t>
  </si>
  <si>
    <t>RED SPOTTY PASSPORT COVER</t>
  </si>
  <si>
    <t>35817B</t>
  </si>
  <si>
    <t>ACRYLIC JEWEL SNOWFLAKE,BLUE</t>
  </si>
  <si>
    <t>35910B</t>
  </si>
  <si>
    <t>PINK FLOWERS RABBIT EASTER</t>
  </si>
  <si>
    <t>DROP EARRINGS W FLOWER &amp; LEAF</t>
  </si>
  <si>
    <t>90214I</t>
  </si>
  <si>
    <t>LETTER "I" BLING KEY RING</t>
  </si>
  <si>
    <t>84875A</t>
  </si>
  <si>
    <t>PINK SQUARE COMPACT MIRROR</t>
  </si>
  <si>
    <t>LASER CUT MULTI STRAND NECKLACE</t>
  </si>
  <si>
    <t>SET 10 CARDS DRESSING UP 17077</t>
  </si>
  <si>
    <t>84292B</t>
  </si>
  <si>
    <t>BLUE COL METAL FOLDING CHAIR</t>
  </si>
  <si>
    <t>DAISY RING</t>
  </si>
  <si>
    <t>44241C</t>
  </si>
  <si>
    <t>BLUE BUTTERFLY ON SPRING</t>
  </si>
  <si>
    <t>VINTAGE BEAD FILLED PINK CUSHION</t>
  </si>
  <si>
    <t>35001B</t>
  </si>
  <si>
    <t>HAND OPEN SHAPE BLACK</t>
  </si>
  <si>
    <t>90011B</t>
  </si>
  <si>
    <t>BLACK CRYSTAL DROP EARRINGS</t>
  </si>
  <si>
    <t>35909A</t>
  </si>
  <si>
    <t>RABBIT EASTER DECORATION</t>
  </si>
  <si>
    <t>17129C</t>
  </si>
  <si>
    <t>SKY BLUE COLOUR GLASS GEMS IN BAG</t>
  </si>
  <si>
    <t>85023C</t>
  </si>
  <si>
    <t>PINK LARGE JEWELED PHOTOFRAME</t>
  </si>
  <si>
    <t>81985A</t>
  </si>
  <si>
    <t>ICON ALARM CLOCK,FUSCHIA  PIN UP</t>
  </si>
  <si>
    <t>HEN HOUSE W FAMILY IN BARN &amp; NEST</t>
  </si>
  <si>
    <t>90059C</t>
  </si>
  <si>
    <t>DIAMANTE HAIR GRIP PACK/2 MONTANA</t>
  </si>
  <si>
    <t>35816B</t>
  </si>
  <si>
    <t>ACRYLIC JEWEL ANGEL,BLUE</t>
  </si>
  <si>
    <t>35821B</t>
  </si>
  <si>
    <t>JEWELLED DECORATION,BLUE</t>
  </si>
  <si>
    <t>37477B</t>
  </si>
  <si>
    <t>FLOWER FAIRY MUG+COASTER,LAVENDER</t>
  </si>
  <si>
    <t>90212C</t>
  </si>
  <si>
    <t>PURPLE LAS VEGAS BRACELET ROUND</t>
  </si>
  <si>
    <t>PADDED RED HEART DECORATION</t>
  </si>
  <si>
    <t>47344B</t>
  </si>
  <si>
    <t>BLUE FLOWER DES PURSE</t>
  </si>
  <si>
    <t>85023A</t>
  </si>
  <si>
    <t>CRYSTAL LARGE JEWELLED PHOTO FRAME</t>
  </si>
  <si>
    <t>IVORY SHELL HEART EARRINGS</t>
  </si>
  <si>
    <t>90214T</t>
  </si>
  <si>
    <t>LETTER "T" BLING KEY RING</t>
  </si>
  <si>
    <t>HEN &amp; 2 CHICKS IN BASKET</t>
  </si>
  <si>
    <t>90001B</t>
  </si>
  <si>
    <t>ANTIQUE MID BLUE FLOWER EARRINGS</t>
  </si>
  <si>
    <t>WELCOME METAL SIGN</t>
  </si>
  <si>
    <t>90135A</t>
  </si>
  <si>
    <t>ORANGE/FUSCHIA STONES NECKLACE</t>
  </si>
  <si>
    <t>90142D</t>
  </si>
  <si>
    <t>MOP PENDANT SHELL NECKLACE</t>
  </si>
  <si>
    <t>COPPER AND BRASS BAG CHARM</t>
  </si>
  <si>
    <t>WHITE WITH METAL BAG CHARM</t>
  </si>
  <si>
    <t>SILVER LOOKING MIRROR</t>
  </si>
  <si>
    <t>PORCELAIN CHERUB BELL LARGE</t>
  </si>
  <si>
    <t>46115B</t>
  </si>
  <si>
    <t>GREEN POP ART MAO CUSHION COVER</t>
  </si>
  <si>
    <t>OPULENT VELVET CANDLE IN BOX</t>
  </si>
  <si>
    <t>84402B</t>
  </si>
  <si>
    <t>PURPLE DRESS JEWELLERY STAND</t>
  </si>
  <si>
    <t>84559b</t>
  </si>
  <si>
    <t>84660b</t>
  </si>
  <si>
    <t>72798C</t>
  </si>
  <si>
    <t>SET/4 GARDEN ROSE DINNER CANDLE</t>
  </si>
  <si>
    <t>90202B</t>
  </si>
  <si>
    <t>WHITE ENAMEL FLOWER HAIR TIE</t>
  </si>
  <si>
    <t>84660a</t>
  </si>
  <si>
    <t>84845C</t>
  </si>
  <si>
    <t>CARNATION SQUARE HANDY TIN</t>
  </si>
  <si>
    <t>84951b</t>
  </si>
  <si>
    <t>S/4 BLACK LOVEBIRD COASTERS</t>
  </si>
  <si>
    <t>84845D</t>
  </si>
  <si>
    <t>GERANIUM SQUARE HANDY TIN</t>
  </si>
  <si>
    <t>ASSORTED SANTA CHRISTMAS DECORATION</t>
  </si>
  <si>
    <t>84612B</t>
  </si>
  <si>
    <t>SET/4 BLACK  BAROQUE FLOCK COASTER</t>
  </si>
  <si>
    <t>POLYESTER FILLER PAD 60x40cm</t>
  </si>
  <si>
    <t>84968b</t>
  </si>
  <si>
    <t>84968f</t>
  </si>
  <si>
    <t>85035b</t>
  </si>
  <si>
    <t>85124a</t>
  </si>
  <si>
    <t>WHITE SILVER NECKLACE SHELL GLASS</t>
  </si>
  <si>
    <t>72083A</t>
  </si>
  <si>
    <t>STRAWBERY SWIRL FLARE CANDLE</t>
  </si>
  <si>
    <t>90141E</t>
  </si>
  <si>
    <t>ORANGE PENDANT TRIPLE SHELL NECKLAC</t>
  </si>
  <si>
    <t>SET 10 CARD KRAFT REINDEER 17084</t>
  </si>
  <si>
    <t>CRACKED GLAZE NECKLACE BROWN</t>
  </si>
  <si>
    <t>17013C</t>
  </si>
  <si>
    <t>ORIGAMI LAVENDER INCENSE IN TUBE</t>
  </si>
  <si>
    <t>84537B</t>
  </si>
  <si>
    <t>FAIRY CAKES GIFT BAG</t>
  </si>
  <si>
    <t>PAIR PINK/BLACK COATHANGERS</t>
  </si>
  <si>
    <t>90128A</t>
  </si>
  <si>
    <t>PINK LEAVES AND BEADS PHONE CHARM</t>
  </si>
  <si>
    <t>37489A</t>
  </si>
  <si>
    <t>YELLOW/PINK FLOWER DESIGN BIG MUG</t>
  </si>
  <si>
    <t>37491A</t>
  </si>
  <si>
    <t>YELLOW/PINK CERAMIC CANDLE HOLDER</t>
  </si>
  <si>
    <t>35603C</t>
  </si>
  <si>
    <t>SET/16 WHITE SHINY &amp; MATT BAUBLES</t>
  </si>
  <si>
    <t>CRYSTAL CZECH CROSS PHONE CHARM</t>
  </si>
  <si>
    <t>ORNATE EDWARDIAN CANDLE HOLDER</t>
  </si>
  <si>
    <t>GOTHIC CARRIAGE LANTERN</t>
  </si>
  <si>
    <t>PADDED HOLLY CHRISTMAS DECORATION</t>
  </si>
  <si>
    <t>35909B</t>
  </si>
  <si>
    <t>VINTAGE NOTEBOOK FRENCH LETTER</t>
  </si>
  <si>
    <t>90067B</t>
  </si>
  <si>
    <t>BROWN VINTAGE VICTORIAN EARRINGS</t>
  </si>
  <si>
    <t>37462E</t>
  </si>
  <si>
    <t>PET MUG, GOLDFISH</t>
  </si>
  <si>
    <t>HEN HOUSE W CHICK IN NEST</t>
  </si>
  <si>
    <t>PORCELAIN CHERUB BELL SMALL</t>
  </si>
  <si>
    <t>90181C</t>
  </si>
  <si>
    <t>BLACK GLASS/SHELL/PEARL NECKLACE</t>
  </si>
  <si>
    <t>84596f</t>
  </si>
  <si>
    <t>84857B</t>
  </si>
  <si>
    <t>BLUE MONTE CARLO HANDBAG</t>
  </si>
  <si>
    <t>TRELLIS FLOWER CHOPSTICKS SET/5</t>
  </si>
  <si>
    <t>90001C</t>
  </si>
  <si>
    <t>ANTIQUE OPAL WHITE FLOWER EARRINGS</t>
  </si>
  <si>
    <t>90001A</t>
  </si>
  <si>
    <t>ANTIQUE RASPBERRY FLOWER EARRINGS</t>
  </si>
  <si>
    <t>84705F</t>
  </si>
  <si>
    <t>RED PEONY PHOTO FRAME</t>
  </si>
  <si>
    <t>TEATIME PENCIL WITH RUBBER</t>
  </si>
  <si>
    <t>47341A</t>
  </si>
  <si>
    <t>FUSCHIA TABLE RUN FLOWER</t>
  </si>
  <si>
    <t>72024U</t>
  </si>
  <si>
    <t>LILAC VOTIVE CANDLE</t>
  </si>
  <si>
    <t>85132c</t>
  </si>
  <si>
    <t>CANDY STRIPE ROSE QUILT</t>
  </si>
  <si>
    <t>18097A</t>
  </si>
  <si>
    <t>PINK TALL PORCELAIN T-LIGHT HOLDER</t>
  </si>
  <si>
    <t>35611B</t>
  </si>
  <si>
    <t>BLACK ASSORTED DROPLET DECORATION</t>
  </si>
  <si>
    <t>16161C</t>
  </si>
  <si>
    <t>WRAP SPEED DEMONS</t>
  </si>
  <si>
    <t>PASTA ENAMEL/BRASS CONTAINER</t>
  </si>
  <si>
    <t>SET/6 CHRISTMAS ICICLE T-LIGHTS</t>
  </si>
  <si>
    <t>SET 6 CARDS SPARKLY REINDEER 17262</t>
  </si>
  <si>
    <t>MEDINA STAMPED METAL TRAY</t>
  </si>
  <si>
    <t>ORANGE/WHT/FUSCHIA STONES NECKLACE</t>
  </si>
  <si>
    <t>90197D</t>
  </si>
  <si>
    <t>AMBER GLASS BRACELET HEART CHARMS</t>
  </si>
  <si>
    <t>72796B</t>
  </si>
  <si>
    <t>S/3 FRENCH VANILLA SQU CANDLE</t>
  </si>
  <si>
    <t>90011A</t>
  </si>
  <si>
    <t>MIDNIGHT BLUE CRYSTAL DROP EARRINGS</t>
  </si>
  <si>
    <t>84586L</t>
  </si>
  <si>
    <t>PINK ROSES/GINGHAM PATCH RABBIT 8"</t>
  </si>
  <si>
    <t>35085E</t>
  </si>
  <si>
    <t>IVORY ROSE LAMPSHADE</t>
  </si>
  <si>
    <t>PINK CRYSTAL GUITAR PHONE CHARM</t>
  </si>
  <si>
    <t>90125E</t>
  </si>
  <si>
    <t>AMBER BERTIE GLASS BEAD BAG CHARM</t>
  </si>
  <si>
    <t>35815B</t>
  </si>
  <si>
    <t>17014C</t>
  </si>
  <si>
    <t>ORIGAMI LAVENDER INCENSE CONES</t>
  </si>
  <si>
    <t>79063C</t>
  </si>
  <si>
    <t>RETRO PILL BOX KEY CHAIN,THE KING</t>
  </si>
  <si>
    <t>90042B</t>
  </si>
  <si>
    <t>FRESHWATER PEARL BRACELET PINK</t>
  </si>
  <si>
    <t>35822P</t>
  </si>
  <si>
    <t>ACRYLIC BEAD CHAIN, PINK</t>
  </si>
  <si>
    <t>CRACKED GLAZE EARRINGS RED</t>
  </si>
  <si>
    <t>T-LIGHT HOLDER SILVER SAUCER</t>
  </si>
  <si>
    <t>79066k</t>
  </si>
  <si>
    <t>84993a</t>
  </si>
  <si>
    <t>Hypochondriac Pill Stress Ball</t>
  </si>
  <si>
    <t>90024A</t>
  </si>
  <si>
    <t>NEW BAROQUE B'FLY NECKLACE BLACK</t>
  </si>
  <si>
    <t>90126C</t>
  </si>
  <si>
    <t>AMBER BERTIE MOBILE PHONE CHARM</t>
  </si>
  <si>
    <t>72771C</t>
  </si>
  <si>
    <t>BLACK FLOCK GOLD CANDLE</t>
  </si>
  <si>
    <t>GOLD COSMETICS BAG WITH BUTTERFLY</t>
  </si>
  <si>
    <t>15060b</t>
  </si>
  <si>
    <t>90152C</t>
  </si>
  <si>
    <t>BLUE/NAT SHELL NECKLACE W PENDANT</t>
  </si>
  <si>
    <t>90060C</t>
  </si>
  <si>
    <t>FIRE POLISHED GLASS NECKL SILVER</t>
  </si>
  <si>
    <t>90060B</t>
  </si>
  <si>
    <t>FIRE POLISHED GLASS NECKL GOLD</t>
  </si>
  <si>
    <t>35809a</t>
  </si>
  <si>
    <t>85184B</t>
  </si>
  <si>
    <t>SET 4 EASTER DECOUPAGE OVAL BOXES</t>
  </si>
  <si>
    <t>CREAM BUNNY EASTER EGG BASKET</t>
  </si>
  <si>
    <t>90027C</t>
  </si>
  <si>
    <t>GLASS BEAD HOOP EARRINGS GREEN</t>
  </si>
  <si>
    <t>18096c</t>
  </si>
  <si>
    <t>Glow In The Dark Shot Glasses</t>
  </si>
  <si>
    <t>84798C</t>
  </si>
  <si>
    <t>WHITE FOXGLOVE ARTIIFCIAL FLOWER</t>
  </si>
  <si>
    <t>CANNABIS LEAF BEAD CURTAIN</t>
  </si>
  <si>
    <t>PALE PINK/AMETHYST STONE NECKLACE</t>
  </si>
  <si>
    <t>90152A</t>
  </si>
  <si>
    <t>SILVER/NAT SHELL NECKLACE W PENDANT</t>
  </si>
  <si>
    <t>HARDMAN MUG 3 ASSORTED</t>
  </si>
  <si>
    <t>JAZZ HEARTS SPIRAL NOTEPAD</t>
  </si>
  <si>
    <t>47013A</t>
  </si>
  <si>
    <t>WINE BOTTLE DRESSING LT.BLUE</t>
  </si>
  <si>
    <t>79065A</t>
  </si>
  <si>
    <t>TEATIME ROUND CAKE TINS</t>
  </si>
  <si>
    <t>FOLKART ZINC CLIP ON ANGEL WINGS</t>
  </si>
  <si>
    <t>47013C</t>
  </si>
  <si>
    <t>WINE BOTTLE DRESSING DARK BLUE</t>
  </si>
  <si>
    <t>82545A</t>
  </si>
  <si>
    <t>COGNAC AUX OEUFS METAL 1 HOOK</t>
  </si>
  <si>
    <t>47567b</t>
  </si>
  <si>
    <t>90130D</t>
  </si>
  <si>
    <t>RED STONE/CRYSTAL EARRINGS</t>
  </si>
  <si>
    <t>90027B</t>
  </si>
  <si>
    <t>GLASS BEAD HOOP EARRINGS MONTANA</t>
  </si>
  <si>
    <t>90183C</t>
  </si>
  <si>
    <t>BLACK DROP EARRINGS W LONG BEADS</t>
  </si>
  <si>
    <t>90182C</t>
  </si>
  <si>
    <t>BLACK 3 BEAD DROP EARRINGS</t>
  </si>
  <si>
    <t>90177A</t>
  </si>
  <si>
    <t>CLASSIC DIAMANTE EARRINGS JET</t>
  </si>
  <si>
    <t>47518f</t>
  </si>
  <si>
    <t>90176B</t>
  </si>
  <si>
    <t>DIAMANTE NECKLACE BLACK</t>
  </si>
  <si>
    <t>85115B</t>
  </si>
  <si>
    <t>S/4 BLACK DISCO PARTITION PANEL</t>
  </si>
  <si>
    <t>90039A</t>
  </si>
  <si>
    <t>FIRE POLISHED GLASS BRACELET RED</t>
  </si>
  <si>
    <t>90214F</t>
  </si>
  <si>
    <t>LETTER "F" BLING KEY RING</t>
  </si>
  <si>
    <t>GLASS WINE GLASS DECORATIONS</t>
  </si>
  <si>
    <t>YELLOW BIRDS FELT DES FOODCOVER</t>
  </si>
  <si>
    <t>84509b</t>
  </si>
  <si>
    <t>90126A</t>
  </si>
  <si>
    <t>PINK BERTIE MOBILE PHONE CHARM</t>
  </si>
  <si>
    <t>84251J</t>
  </si>
  <si>
    <t>GREETING CARD, THE BLACK CAT</t>
  </si>
  <si>
    <t>SPHERICAL IVORY CANDLE</t>
  </si>
  <si>
    <t>16162M</t>
  </si>
  <si>
    <t>THE KING GIFT BAG 25x24x12cm</t>
  </si>
  <si>
    <t>17014E</t>
  </si>
  <si>
    <t>ORIGAMI OPIUM INCENSE CONES</t>
  </si>
  <si>
    <t>90141D</t>
  </si>
  <si>
    <t>ROSE PENDANT TRIPLE SHELL NECKLACE</t>
  </si>
  <si>
    <t>90037D</t>
  </si>
  <si>
    <t>TINY CRYSTALS BRACELET BLACK</t>
  </si>
  <si>
    <t>84745B</t>
  </si>
  <si>
    <t>BLUE HANGING GINGHAM EASTER HEN</t>
  </si>
  <si>
    <t>LIGHT TOPAZ TEAL/AQUA COL NECKLACE</t>
  </si>
  <si>
    <t>85184c</t>
  </si>
  <si>
    <t>90011C</t>
  </si>
  <si>
    <t>GREEN CRYSTAL DROP EARRINGS</t>
  </si>
  <si>
    <t>79063D</t>
  </si>
  <si>
    <t>RETRO PILL BOX , REVOLUTIONARY</t>
  </si>
  <si>
    <t>90152B</t>
  </si>
  <si>
    <t>BLUE/GREEN SHELL NECKLACE W PENDANT</t>
  </si>
  <si>
    <t>84510e</t>
  </si>
  <si>
    <t>82613b</t>
  </si>
  <si>
    <t>90059B</t>
  </si>
  <si>
    <t>DIAMANTE HAIR GRIP PACK/2 BLACK DIA</t>
  </si>
  <si>
    <t>84868B</t>
  </si>
  <si>
    <t>BLUE BABY BOY'S MEMORY BOX</t>
  </si>
  <si>
    <t>37482p</t>
  </si>
  <si>
    <t>CUBIC MUG PINK POLKA DOT</t>
  </si>
  <si>
    <t>90081B</t>
  </si>
  <si>
    <t>LILY BROOCH WHITE/SILVER COLOUR</t>
  </si>
  <si>
    <t>CROCHET POODLE KEYRING</t>
  </si>
  <si>
    <t>SMALL FOLKART CHRISTMAS TREE DEC</t>
  </si>
  <si>
    <t>M/COLOUR POM-POM CURTAIN</t>
  </si>
  <si>
    <t>90066A</t>
  </si>
  <si>
    <t>PINK VINTAGE VICTORIAN CHOKER</t>
  </si>
  <si>
    <t>47591b</t>
  </si>
  <si>
    <t>SET OF 4 PASTEL STACKING MUGS</t>
  </si>
  <si>
    <t>EMBROIDERED REINDEER DECORATION</t>
  </si>
  <si>
    <t>MONTANA DIAMOND CLUSTER EARRINGS</t>
  </si>
  <si>
    <t>82613c</t>
  </si>
  <si>
    <t>90214O</t>
  </si>
  <si>
    <t>LETTER "O" BLING KEY RING</t>
  </si>
  <si>
    <t>SET 10 CARDS CHEERFUL ROBIN 17065</t>
  </si>
  <si>
    <t>84745A</t>
  </si>
  <si>
    <t>PINK HANGING GINGHAM EASTER HEN</t>
  </si>
  <si>
    <t>44091C</t>
  </si>
  <si>
    <t>MULTICOLOUR CRUSOE CHECK LAMPSHADE</t>
  </si>
  <si>
    <t>Electronic Talking Breath-A-Loser</t>
  </si>
  <si>
    <t>37489B</t>
  </si>
  <si>
    <t>BLUE/YELLOW FLOWER DESIGN BIG MUG</t>
  </si>
  <si>
    <t>90214V</t>
  </si>
  <si>
    <t>LETTER "V" BLING KEY RING</t>
  </si>
  <si>
    <t>90025F</t>
  </si>
  <si>
    <t>BAROQUE BUTTERFLY EARRINGS CRYSTAL</t>
  </si>
  <si>
    <t>ASSORTED FRAGRANCE BATH CONFETTI</t>
  </si>
  <si>
    <t>37491B</t>
  </si>
  <si>
    <t>BLUE/YELLOW CERAMIC CANDLE HOLDER</t>
  </si>
  <si>
    <t>84876C</t>
  </si>
  <si>
    <t>SILVER HEART COMPACT MIRROR</t>
  </si>
  <si>
    <t>47563B</t>
  </si>
  <si>
    <t>WAVELINE SURF IRONING BOARD COVER</t>
  </si>
  <si>
    <t>90176E</t>
  </si>
  <si>
    <t>DIAMANTE NECKLACE GREEN</t>
  </si>
  <si>
    <t>FRENCH STYLE WIRE DOOR CABINET</t>
  </si>
  <si>
    <t>CAMOUFLAGE BACKPACK ON WHEELS</t>
  </si>
  <si>
    <t>DOTCOMGIFTSHOP TEA TOWEL</t>
  </si>
  <si>
    <t>84985a</t>
  </si>
  <si>
    <t>84611B</t>
  </si>
  <si>
    <t>BLACK NEW BAROQUE FLOCK BOX</t>
  </si>
  <si>
    <t>35598A</t>
  </si>
  <si>
    <t>DUSTY PINK CHRISTMAS TREE 60CM</t>
  </si>
  <si>
    <t>78034B</t>
  </si>
  <si>
    <t>BLUE NETTING STORAGE HANGER</t>
  </si>
  <si>
    <t>46776f</t>
  </si>
  <si>
    <t>40005B</t>
  </si>
  <si>
    <t>BLUE ORGANDY ROUND LAMPSHADE W BEA</t>
  </si>
  <si>
    <t>37489D</t>
  </si>
  <si>
    <t>PINK/GREEN FLOWER DESIGN BIG MUG</t>
  </si>
  <si>
    <t>44089C</t>
  </si>
  <si>
    <t>LILAC GAUZE BUTTERFLY LAMPSHADE</t>
  </si>
  <si>
    <t>SET/6 GREEN SPRING  PAPER PLATE</t>
  </si>
  <si>
    <t>37489C</t>
  </si>
  <si>
    <t>GREEN/BLUE FLOWER DESIGN BIG MUG</t>
  </si>
  <si>
    <t>17091F</t>
  </si>
  <si>
    <t>SANDALWOOD INCENSE IN TIN</t>
  </si>
  <si>
    <t>SET 10 CARDS OUT OF ORDER 17216</t>
  </si>
  <si>
    <t>SET 10 XMAS CARDS &amp; BADGES 17070</t>
  </si>
  <si>
    <t>84867b</t>
  </si>
  <si>
    <t>BLUE BABY BOY'S PHOTO ALBUM</t>
  </si>
  <si>
    <t>90187A</t>
  </si>
  <si>
    <t>BLUE DROP EARRINGS W BEAD CLUSTER</t>
  </si>
  <si>
    <t>High Resolution Image</t>
  </si>
  <si>
    <t>17013F</t>
  </si>
  <si>
    <t>ORIGAMI SANDLEWOOD INCENSE IN TUBE</t>
  </si>
  <si>
    <t>90027A</t>
  </si>
  <si>
    <t>GLASS BEAD HOOP EARRINGS BLACK</t>
  </si>
  <si>
    <t>90025E</t>
  </si>
  <si>
    <t>BAROQUE BUTTERFLY EARRINGS MONTANA</t>
  </si>
  <si>
    <t>SET 10 CARDS WISHING TREE 17116</t>
  </si>
  <si>
    <t>90182A</t>
  </si>
  <si>
    <t>AMBER 3 BEAD DROP EARRINGS</t>
  </si>
  <si>
    <t>85164b</t>
  </si>
  <si>
    <t>PEARL AND CHERRY QUARTZ BRACLET</t>
  </si>
  <si>
    <t>*USB Office Mirror Ball</t>
  </si>
  <si>
    <t>90142A</t>
  </si>
  <si>
    <t>GREEN PENDANT SHELL NECKLACE</t>
  </si>
  <si>
    <t>85035a</t>
  </si>
  <si>
    <t>47552A</t>
  </si>
  <si>
    <t>DOTS IRONING BOARD COVER</t>
  </si>
  <si>
    <t>90214Y</t>
  </si>
  <si>
    <t>LETTER "Y" BLING KEY RING</t>
  </si>
  <si>
    <t>35597D</t>
  </si>
  <si>
    <t>PINK/WHITE CHRISTMAS TREE 30CM</t>
  </si>
  <si>
    <t>CRACKED GLAZE EARRINGS BROWN</t>
  </si>
  <si>
    <t>CRACKED GLAZE EARRINGS IVORY</t>
  </si>
  <si>
    <t>72801g</t>
  </si>
  <si>
    <t>S/4 BURGUNDY WINE DINNER CANDLES</t>
  </si>
  <si>
    <t>84596b</t>
  </si>
  <si>
    <t>90128C</t>
  </si>
  <si>
    <t>GREEN LEAVES AND BEADS PHONE CHARM</t>
  </si>
  <si>
    <t>SET 10 CARDS PERFECT POST 17090</t>
  </si>
  <si>
    <t>85034a</t>
  </si>
  <si>
    <t>CROCHET LILAC/RED BEAR KEYRING</t>
  </si>
  <si>
    <t>35633B</t>
  </si>
  <si>
    <t>BLUE TINSEL GARLAND</t>
  </si>
  <si>
    <t>WOOD XMAS TREE 9 FIG SHELVES</t>
  </si>
  <si>
    <t>10124A</t>
  </si>
  <si>
    <t>SPOTS ON RED BOOKCOVER TAPE</t>
  </si>
  <si>
    <t>84450A</t>
  </si>
  <si>
    <t>PINK RABBIT SITTING EASTER</t>
  </si>
  <si>
    <t>37494a</t>
  </si>
  <si>
    <t>84575B</t>
  </si>
  <si>
    <t>BROWN DOG CANNISTER W BONE</t>
  </si>
  <si>
    <t>90128B</t>
  </si>
  <si>
    <t>BLUE LEAVES AND BEADS PHONE CHARM</t>
  </si>
  <si>
    <t>79302m</t>
  </si>
  <si>
    <t>17014F</t>
  </si>
  <si>
    <t>ORIGAMI SANDLEWOOD INCENSE CONES</t>
  </si>
  <si>
    <t>47556b</t>
  </si>
  <si>
    <t>90011E</t>
  </si>
  <si>
    <t>AMBER CRYSTAL DROP EARRINGS</t>
  </si>
  <si>
    <t>85040b</t>
  </si>
  <si>
    <t>SET 10 CARD CHRISTMAS WELCOME 17112</t>
  </si>
  <si>
    <t>SET OF 3 RABBIT EGG EASTER</t>
  </si>
  <si>
    <t>NECKLACE+BRACELET SET PINK BLOSSOM</t>
  </si>
  <si>
    <t>90025C</t>
  </si>
  <si>
    <t>BAROQUE BUTTERFLY EARRINGS GREEN</t>
  </si>
  <si>
    <t>90189B</t>
  </si>
  <si>
    <t>GOLD 2 STRAND NECKLACE-LEAF CHARMS</t>
  </si>
  <si>
    <t>35591T</t>
  </si>
  <si>
    <t>TURQUOISE CHRISTMAS TREE</t>
  </si>
  <si>
    <t>37477C</t>
  </si>
  <si>
    <t>FLOWER FAIRY MUG+COASTER,ROSE</t>
  </si>
  <si>
    <t>BLING KEY RING STAND</t>
  </si>
  <si>
    <t>SET 10 CHRISTMAS CARDS HOHOHO 16956</t>
  </si>
  <si>
    <t>SET 10 CARDS SCOTTIE DOG 17211</t>
  </si>
  <si>
    <t>VINTAGE BEAD CHAISE LONG JEWEL BOX</t>
  </si>
  <si>
    <t>90214Z</t>
  </si>
  <si>
    <t>LETTER "Z" BLING KEY RING</t>
  </si>
  <si>
    <t>84387A</t>
  </si>
  <si>
    <t>BIRD ON BRANCH CANVAS SCREEN</t>
  </si>
  <si>
    <t>IVORY HANGING DECORATION  RABBIT</t>
  </si>
  <si>
    <t>90128D</t>
  </si>
  <si>
    <t>PURPLE LEAVES AND BEADS PHONE CHAR</t>
  </si>
  <si>
    <t>44092C</t>
  </si>
  <si>
    <t>PURPLE/COPPER HANGING LAMPSHADE</t>
  </si>
  <si>
    <t>Dr. Jam's Arouzer Stress Ball</t>
  </si>
  <si>
    <t>WRAP A PRETTY THANK YOU</t>
  </si>
  <si>
    <t>35603B</t>
  </si>
  <si>
    <t>S/16 BLACK SHINY/MAT BAUBLES</t>
  </si>
  <si>
    <t>46776a</t>
  </si>
  <si>
    <t>10002R</t>
  </si>
  <si>
    <t>ROBOT PENCIL SHARPNER</t>
  </si>
  <si>
    <t>79172D</t>
  </si>
  <si>
    <t>PURPLE TINT ACRYLIC FLOWER VASE</t>
  </si>
  <si>
    <t>85232a</t>
  </si>
  <si>
    <t>84536a</t>
  </si>
  <si>
    <t>90127A</t>
  </si>
  <si>
    <t>PINK BEADS+HAND PHONE CHARM</t>
  </si>
  <si>
    <t>SET 10 CARDS JINGLE BELLS 16957</t>
  </si>
  <si>
    <t>90082C</t>
  </si>
  <si>
    <t>DIAMANTE BOW BROOCH WHITE COLOUR</t>
  </si>
  <si>
    <t>SET 10 CARDS SNOWY SNOWDROPS  17100</t>
  </si>
  <si>
    <t>SET 10 CARDS JINGLE BELLS 17217</t>
  </si>
  <si>
    <t>84570B</t>
  </si>
  <si>
    <t>WHITE SATIN DRESS JEWEL STAND</t>
  </si>
  <si>
    <t>37488A</t>
  </si>
  <si>
    <t>YELLOW PINK FLOWER DESIGN BIG BOWL</t>
  </si>
  <si>
    <t>37487B</t>
  </si>
  <si>
    <t>YELLOW/ORANGE FLOWER DESIGN PLATE</t>
  </si>
  <si>
    <t>PINK FLOWERS CHILDS UMBRELLA</t>
  </si>
  <si>
    <t>79062D</t>
  </si>
  <si>
    <t>RETRO TIN ASHTRAY,REVOLUTIONARY</t>
  </si>
  <si>
    <t>81950V</t>
  </si>
  <si>
    <t>FLOWER PURPLE CLOCK W/SUCKER</t>
  </si>
  <si>
    <t>84030B</t>
  </si>
  <si>
    <t>KNITTED POM POM HOT WATER BOTTLE</t>
  </si>
  <si>
    <t>90025D</t>
  </si>
  <si>
    <t>BAROQUE BUTTERFLY EARRINGS PINK</t>
  </si>
  <si>
    <t>84732B</t>
  </si>
  <si>
    <t>CUTE BIRD CEATURE SCREEN</t>
  </si>
  <si>
    <t>72796A</t>
  </si>
  <si>
    <t>S/3 ENGLISH LAVENDER SQU CANDLE</t>
  </si>
  <si>
    <t>CAMOFLAGE CUSHION COVER</t>
  </si>
  <si>
    <t>84986b</t>
  </si>
  <si>
    <t>DISTRESSED CANDLE STICK WHITE</t>
  </si>
  <si>
    <t>84614C</t>
  </si>
  <si>
    <t>BLUE BAROQUE FLOCK CANDLE HOLDER</t>
  </si>
  <si>
    <t>18097B</t>
  </si>
  <si>
    <t>BLUE TALL PORCELAIN T-LIGHT HOLDER</t>
  </si>
  <si>
    <t>SMALL SINGLE FLAME CANDLE HOLDER</t>
  </si>
  <si>
    <t>72801e</t>
  </si>
  <si>
    <t>90182B</t>
  </si>
  <si>
    <t>AMETHYST 3 BEAD DROP EARRINGS</t>
  </si>
  <si>
    <t>SET 10 CARDS XMAS GRAPHIC  17218</t>
  </si>
  <si>
    <t>37482b</t>
  </si>
  <si>
    <t>84796b</t>
  </si>
  <si>
    <t>*Boombox Ipod Classic</t>
  </si>
  <si>
    <t>84993b</t>
  </si>
  <si>
    <t>85035c</t>
  </si>
  <si>
    <t>85036b</t>
  </si>
  <si>
    <t>VANILLA CANDLE IN EMBOSSED ZINC POT</t>
  </si>
  <si>
    <t>47591c</t>
  </si>
  <si>
    <t>72785A</t>
  </si>
  <si>
    <t>S/4 CONTEMPORY PINK ROSEBUD CANDLES</t>
  </si>
  <si>
    <t>44089A</t>
  </si>
  <si>
    <t>PINK GAUZE BUTTERFLY LAMPSHADE</t>
  </si>
  <si>
    <t>VINTAGE COLLAGE  GREETING  CARD</t>
  </si>
  <si>
    <t>SET 10 CARDS CHRISTMAS TREE 16955</t>
  </si>
  <si>
    <t>84031b</t>
  </si>
  <si>
    <t>84031a</t>
  </si>
  <si>
    <t>85036a</t>
  </si>
  <si>
    <t>85160b</t>
  </si>
  <si>
    <t>WHITE FRANGIPANI HAIR CLIP</t>
  </si>
  <si>
    <t>62074B</t>
  </si>
  <si>
    <t>ELEPHANT CLIP W SUCTION CUP</t>
  </si>
  <si>
    <t>84250M</t>
  </si>
  <si>
    <t>GREETING CARD, BLACKPOOL ROCK</t>
  </si>
  <si>
    <t>FLOWERS AND BIRDS WALL PLAQUE</t>
  </si>
  <si>
    <t>PINK CHRISTMAS TREE DECORATION</t>
  </si>
  <si>
    <t>84912a</t>
  </si>
  <si>
    <t>TOADSTOOL  LUNCHBOX WITH CUTLERY</t>
  </si>
  <si>
    <t>GUMBALL CUSTOM CARS TOP TRUMPS GAME</t>
  </si>
  <si>
    <t>CUBIC MUG TEATIME CAKES</t>
  </si>
  <si>
    <t>84509e</t>
  </si>
  <si>
    <t>85124c</t>
  </si>
  <si>
    <t>ASSTD RASTA KEY-CHAINS</t>
  </si>
  <si>
    <t>84206A</t>
  </si>
  <si>
    <t>3 BLACK CATS W HEARTS BLANK CARD</t>
  </si>
  <si>
    <t>SET OF 6 EASTER RAINBOW CHICKS</t>
  </si>
  <si>
    <t>RUBY GLASS NECKLACE 42"</t>
  </si>
  <si>
    <t>SET 10 CARDS DAVID'S MADONNA 17074</t>
  </si>
  <si>
    <t>84509g</t>
  </si>
  <si>
    <t>VINTAGE BEAD PINK JEWEL STAND</t>
  </si>
  <si>
    <t>FROSTED GLASS WITH SILVER SURROUND</t>
  </si>
  <si>
    <t>90011D</t>
  </si>
  <si>
    <t>PURPLE CRYSTAL DROP EARRINGS</t>
  </si>
  <si>
    <t>SET 10 CARDS XMAS CHOIR 17068</t>
  </si>
  <si>
    <t>BLACK DIAMOND CLUSTER EARRINGS</t>
  </si>
  <si>
    <t>10124G</t>
  </si>
  <si>
    <t>ARMY CAMO BOOKCOVER TAPE</t>
  </si>
  <si>
    <t>EMPIRE TEDDY</t>
  </si>
  <si>
    <t>84868A</t>
  </si>
  <si>
    <t>PINK BABY GIRL'S MEMORY BOX</t>
  </si>
  <si>
    <t>84406b</t>
  </si>
  <si>
    <t>16245A</t>
  </si>
  <si>
    <t>PINK MINI STATIONERY SET W CASE</t>
  </si>
  <si>
    <t>CERISE+GOLD CHRISTMAS TREE DEC</t>
  </si>
  <si>
    <t>84814B</t>
  </si>
  <si>
    <t>RHOMBUS CRYSTAL PERFUME BOTTLE</t>
  </si>
  <si>
    <t>RASTA IN BATH W SPLIFF ASHTRAY</t>
  </si>
  <si>
    <t>84867a</t>
  </si>
  <si>
    <t>79342b</t>
  </si>
  <si>
    <t>BEWARE OF THE CAT DOORMAT</t>
  </si>
  <si>
    <t>85039b</t>
  </si>
  <si>
    <t>62097B</t>
  </si>
  <si>
    <t>BLUE STRIPES SHOULDER BAG</t>
  </si>
  <si>
    <t>SET 10 CARDS MAGICAL TREE 17086</t>
  </si>
  <si>
    <t>SET 10 CARDS HATS &amp; STOCKINGS 17081</t>
  </si>
  <si>
    <t>79149B</t>
  </si>
  <si>
    <t>SILICON STAR BULB  BLUE</t>
  </si>
  <si>
    <t>35004s</t>
  </si>
  <si>
    <t>85159b</t>
  </si>
  <si>
    <t>PINK BALLET OPENING CUBE BOX</t>
  </si>
  <si>
    <t>84989b</t>
  </si>
  <si>
    <t>84247J</t>
  </si>
  <si>
    <t>PACK/12 RUSSIAN DOLL CARDS</t>
  </si>
  <si>
    <t>VINTAGE METAL CAKE STAND CREAM</t>
  </si>
  <si>
    <t>72752B</t>
  </si>
  <si>
    <t>F.FAIRY,CANDLE IN GLASS,LAVENDER</t>
  </si>
  <si>
    <t>KISS REINDEER SCANDINAVIAN STOCKING</t>
  </si>
  <si>
    <t>44092B</t>
  </si>
  <si>
    <t>BLUE WHITE PLASTIC RINGS LAMPSHADE</t>
  </si>
  <si>
    <t>NEW BAROQUE WALL MIRROR</t>
  </si>
  <si>
    <t>EMBOSSED FLOWER TRELLIS PHOTO FRAME</t>
  </si>
  <si>
    <t>35004p</t>
  </si>
  <si>
    <t>SET OF 2 CHESTS CHOCOLAT AU LAIT</t>
  </si>
  <si>
    <t>35751C</t>
  </si>
  <si>
    <t>PURPLE CURRENT CANDLE RING</t>
  </si>
  <si>
    <t>84743C</t>
  </si>
  <si>
    <t>ORANGE FELT VASE + FLOWERS</t>
  </si>
  <si>
    <t>35597A</t>
  </si>
  <si>
    <t>DUSTY PINK CHRISTMAS TREE 30CM</t>
  </si>
  <si>
    <t>51012L</t>
  </si>
  <si>
    <t>FEATHER DUSTER, LIGHT PINK</t>
  </si>
  <si>
    <t>35918B</t>
  </si>
  <si>
    <t>BLUE FLORIBUNDA EGG WARMER</t>
  </si>
  <si>
    <t>SET 10 CARDS CHRISTMAS HOLLY  17259</t>
  </si>
  <si>
    <t>SET 10 CARD SNOWMAN 16965</t>
  </si>
  <si>
    <t>84596g</t>
  </si>
  <si>
    <t>90000C</t>
  </si>
  <si>
    <t>OPAL WHITE/SILVER FLOWER NECKLACE</t>
  </si>
  <si>
    <t>44242A</t>
  </si>
  <si>
    <t>LILAC FEATHERS CURTAIN</t>
  </si>
  <si>
    <t xml:space="preserve">MUG , DOTCOMGIFTSHOP.COM </t>
  </si>
  <si>
    <t>85185E</t>
  </si>
  <si>
    <t>DUCK SOCK PUPPET</t>
  </si>
  <si>
    <t>85179a</t>
  </si>
  <si>
    <t>SET 10 CARDS 12 DAYS OF XMAS 17059</t>
  </si>
  <si>
    <t>SET 10 CARDS RUDOLPHS NOSE 17097</t>
  </si>
  <si>
    <t>90025B</t>
  </si>
  <si>
    <t>BAROQUE BUTTERFLY EARRINGS RED</t>
  </si>
  <si>
    <t>79070b</t>
  </si>
  <si>
    <t>ENGLISH ROSE SQUARE CAKE TINS</t>
  </si>
  <si>
    <t>VENDETTA CANVAS PICTURE</t>
  </si>
  <si>
    <t>17011B</t>
  </si>
  <si>
    <t>ORIGAMI JASMINE INCENSE+FLOWER</t>
  </si>
  <si>
    <t>47590a</t>
  </si>
  <si>
    <t>72785B</t>
  </si>
  <si>
    <t>S/4 CONTEMPORY RED ROSEBUD CANDLES</t>
  </si>
  <si>
    <t>84732D</t>
  </si>
  <si>
    <t>CUTE RABBIT CEATURE SCREEN</t>
  </si>
  <si>
    <t>WOODLAND CREATURES  WRAP</t>
  </si>
  <si>
    <t>16169G</t>
  </si>
  <si>
    <t>WRAP ROMANTIC DECOUPAGE</t>
  </si>
  <si>
    <t>16169A</t>
  </si>
  <si>
    <t>WRAP CHRISTMAS DECOUPAGE</t>
  </si>
  <si>
    <t>17084G</t>
  </si>
  <si>
    <t>MOON INCENSE</t>
  </si>
  <si>
    <t>STAR WARS TOP TRUMPS GAME</t>
  </si>
  <si>
    <t>HIGH SCHOOL MUSICAL 3 TOP TRUMPS</t>
  </si>
  <si>
    <t>85124b</t>
  </si>
  <si>
    <t>ORANGE CANDLE</t>
  </si>
  <si>
    <t>90214W</t>
  </si>
  <si>
    <t>LETTER "W" BLING KEY RING</t>
  </si>
  <si>
    <t>85232d</t>
  </si>
  <si>
    <t>84661c</t>
  </si>
  <si>
    <t>84661a</t>
  </si>
  <si>
    <t>SET 10 CARD PERFECT NATIVITY 17089</t>
  </si>
  <si>
    <t>84971s</t>
  </si>
  <si>
    <t>SET 10 CARDS FILIGREE BAUBLE 16961</t>
  </si>
  <si>
    <t>SET 10 CARDS POINSETTIA 17093</t>
  </si>
  <si>
    <t>SET 10 CARDS PRINTED GRAPHIC 17219</t>
  </si>
  <si>
    <t>85049b</t>
  </si>
  <si>
    <t>85231g</t>
  </si>
  <si>
    <t>81953P</t>
  </si>
  <si>
    <t>ROUND ARTICULATED PINK CLOCK W/SUCK</t>
  </si>
  <si>
    <t>SCULPTED ROUND IVORY CANDLE</t>
  </si>
  <si>
    <t>HAND PAINTED HANGING EASTER EGG</t>
  </si>
  <si>
    <t>90184c</t>
  </si>
  <si>
    <t>18098B</t>
  </si>
  <si>
    <t>BLUE PORCELAIN B'FLY OIL BURNER</t>
  </si>
  <si>
    <t>MODERN CHRISTMAS TREE CANDLE</t>
  </si>
  <si>
    <t>35598C</t>
  </si>
  <si>
    <t>WHITE CHRISTMAS TREE 60CM</t>
  </si>
  <si>
    <t>62097A</t>
  </si>
  <si>
    <t>PINK STRIPES SHOULDER BAG</t>
  </si>
  <si>
    <t>71496B</t>
  </si>
  <si>
    <t>A4 WALL TIDY RED FLOWERS</t>
  </si>
  <si>
    <t>*USB Office Glitter Lamp</t>
  </si>
  <si>
    <t>SPOTTY CAT DOORSTOP</t>
  </si>
  <si>
    <t>90013E</t>
  </si>
  <si>
    <t>AMBER VINTAGE EARRINGS</t>
  </si>
  <si>
    <t>72803b</t>
  </si>
  <si>
    <t>6 HOOK JEWEL STAND LILAC DRESS</t>
  </si>
  <si>
    <t>90126B</t>
  </si>
  <si>
    <t>BLUE BERTIE MOBILE PHONE CHARM</t>
  </si>
  <si>
    <t>84030b</t>
  </si>
  <si>
    <t>44091A</t>
  </si>
  <si>
    <t>BLUE CRUSOE CHECK LAMPSHADE</t>
  </si>
  <si>
    <t>BLUE HIBISCUS  HAIR CLIP</t>
  </si>
  <si>
    <t>SET 10 MINICARDS CUTE SNOWMAN 17071</t>
  </si>
  <si>
    <t>84534b</t>
  </si>
  <si>
    <t>85034b</t>
  </si>
  <si>
    <t>72802c</t>
  </si>
  <si>
    <t>84029c</t>
  </si>
  <si>
    <t>46037A</t>
  </si>
  <si>
    <t>PINK CANVAS DES CUSHION COVER</t>
  </si>
  <si>
    <t>FUNKY FLOWER COFFEE POT</t>
  </si>
  <si>
    <t>82011E</t>
  </si>
  <si>
    <t>BATHROOM SCALES, FAG BREAK</t>
  </si>
  <si>
    <t>90025A</t>
  </si>
  <si>
    <t>BAROQUE BUTTERFLY EARRINGS BLACK</t>
  </si>
  <si>
    <t>82613a</t>
  </si>
  <si>
    <t>SET 10 CARDS WORLD CHILDREN 17067</t>
  </si>
  <si>
    <t>84201B</t>
  </si>
  <si>
    <t>HAPPY BIRTHDAY CARD STRIPEY TEDDY</t>
  </si>
  <si>
    <t>85230D</t>
  </si>
  <si>
    <t>VANILLA SCENTED VOTIVE CANDLE</t>
  </si>
  <si>
    <t>85230C</t>
  </si>
  <si>
    <t>ROSE SCENTED VOTIVE CANDLE</t>
  </si>
  <si>
    <t>84705b</t>
  </si>
  <si>
    <t>ASSORTED DESIGN FLOWER MUGS</t>
  </si>
  <si>
    <t>48173A</t>
  </si>
  <si>
    <t>DOOR MAT BLUE FLOCK</t>
  </si>
  <si>
    <t>ENGLISH ROSE TEA FOR ONE GIFT BOX</t>
  </si>
  <si>
    <t>SET 10 MINI SANTA &amp; SNOWMAN  17087</t>
  </si>
  <si>
    <t>SILVER PURSE GOLD PINK BUTTERFLY</t>
  </si>
  <si>
    <t>LARGE BLACK DIAMANTE HAIRSLIDE</t>
  </si>
  <si>
    <t>85231b</t>
  </si>
  <si>
    <t>84536b</t>
  </si>
  <si>
    <t>ASS WINDPROOF MARIJUANA LIGHTERS</t>
  </si>
  <si>
    <t>STRAWBERRIES PRINT BOWL</t>
  </si>
  <si>
    <t>ASSORTED DESIGN GEISHA GIRL MUGS</t>
  </si>
  <si>
    <t>WHITE WOOD SINGLE P/FRAME</t>
  </si>
  <si>
    <t>SET/6 GINGERBREAD TREE T-LIGHTS</t>
  </si>
  <si>
    <t>SET 10 CARDS CHRISTMAS ROBIN 17095</t>
  </si>
  <si>
    <t>79051a</t>
  </si>
  <si>
    <t>85123b</t>
  </si>
  <si>
    <t>ZINC HANGING HEART T-LITE HLDR</t>
  </si>
  <si>
    <t>72751C</t>
  </si>
  <si>
    <t>F.FAIRY S/3 SML CANDLE, ROSE</t>
  </si>
  <si>
    <t>KISSING REINDEER TABLE RUNNER</t>
  </si>
  <si>
    <t>72751B</t>
  </si>
  <si>
    <t>F.FAIRY S/3 SML CANDLE, LAVENDER</t>
  </si>
  <si>
    <t>72751A</t>
  </si>
  <si>
    <t>F.FAIRY S/3 SML CANDLE,LILY/VALLEY</t>
  </si>
  <si>
    <t>85184d</t>
  </si>
  <si>
    <t>79303A</t>
  </si>
  <si>
    <t>WHITE ROHMBIC BLOCK TABLE LAMP</t>
  </si>
  <si>
    <t>35823P</t>
  </si>
  <si>
    <t>ACRYLIC BEAD GARLAND,PINK</t>
  </si>
  <si>
    <t>18098A</t>
  </si>
  <si>
    <t>PINK PORCELAIN B'FLY OIL BURNER</t>
  </si>
  <si>
    <t>35821P</t>
  </si>
  <si>
    <t>JEWELLED DECORATION,PINK</t>
  </si>
  <si>
    <t>35051B</t>
  </si>
  <si>
    <t>PINK BEADED CONE CHRISTMAS</t>
  </si>
  <si>
    <t>85186B</t>
  </si>
  <si>
    <t>BUNNY BUNCH OF FLOWERS</t>
  </si>
  <si>
    <t>FAIRY DESIGN MUGS</t>
  </si>
  <si>
    <t>SET 10 CARDS SWIRLY XMAS TREE 17104</t>
  </si>
  <si>
    <t>SET 10 CARD CHRISTMAS STAMPS 16963</t>
  </si>
  <si>
    <t>SET 10 CARDS ROBIN WATERPUMP  17096</t>
  </si>
  <si>
    <t>SET 10 CARDS HANGING BAUBLES 17080</t>
  </si>
  <si>
    <t>CANDLE RING W/CLEAR BEADS</t>
  </si>
  <si>
    <t>DADDY MOUSE RED GINGHAM BOW TIE</t>
  </si>
  <si>
    <t>35751D</t>
  </si>
  <si>
    <t>PINK CURRENT CANDLE RING</t>
  </si>
  <si>
    <t>FUNKY GIRLZ MAGNETIC TO DO LIST</t>
  </si>
  <si>
    <t>DR WHO TOP TRUMPS GAME</t>
  </si>
  <si>
    <t>EURO FOOTBALL STARS TOP TRUMPS GAME</t>
  </si>
  <si>
    <t>71434B</t>
  </si>
  <si>
    <t>BLACK RND BULLET"KEEP CLEAN" BIN</t>
  </si>
  <si>
    <t>71101A</t>
  </si>
  <si>
    <t>ANGEL ON KNEES METAL POLE 100CM H</t>
  </si>
  <si>
    <t>90142B</t>
  </si>
  <si>
    <t>IVORY PENDANT SHELL NECKLACE</t>
  </si>
  <si>
    <t>KASHMIR FOLKART HEART DISHES</t>
  </si>
  <si>
    <t>90142C</t>
  </si>
  <si>
    <t>ROSE PINK PENDANT SHELL NECKLACE</t>
  </si>
  <si>
    <t>72740B</t>
  </si>
  <si>
    <t>LARGE WHITE CHOCOLATE CANDLE</t>
  </si>
  <si>
    <t>MODERN CHRISTMAS BAUBLE CANDLE</t>
  </si>
  <si>
    <t>84596j</t>
  </si>
  <si>
    <t>SET 10 CARDS DECK THE HALLS 16960</t>
  </si>
  <si>
    <t>47593b</t>
  </si>
  <si>
    <t>RED HEART CANDY POP LIGHTS</t>
  </si>
  <si>
    <t>CERAMIC CAKE TEAPOT WITH CHERRY</t>
  </si>
  <si>
    <t>84661b</t>
  </si>
  <si>
    <t>85232C</t>
  </si>
  <si>
    <t>RUSSIAN FOLKART STACKING TINS</t>
  </si>
  <si>
    <t>84971l</t>
  </si>
  <si>
    <t>85049d</t>
  </si>
  <si>
    <t>90214U</t>
  </si>
  <si>
    <t>LETTER "U" BLING KEY RING</t>
  </si>
  <si>
    <t>FOLDING SHIRT TIDY</t>
  </si>
  <si>
    <t>81953B</t>
  </si>
  <si>
    <t>ROUND BLUE CLOCK WITH SUCKER</t>
  </si>
  <si>
    <t>79151B</t>
  </si>
  <si>
    <t>SILICON CUBE 25W, BLUE</t>
  </si>
  <si>
    <t>72529w</t>
  </si>
  <si>
    <t>72752A</t>
  </si>
  <si>
    <t>F.FAIRY,CANDLE IN GLASS,LILY/VALLEY</t>
  </si>
  <si>
    <t>79157B</t>
  </si>
  <si>
    <t>UBO-LIGHT TRIOBASE BLUE</t>
  </si>
  <si>
    <t>SPOTTY COCKEREL DOORSTOP</t>
  </si>
  <si>
    <t>79157V</t>
  </si>
  <si>
    <t>UBO-LIGHT TRIOBASE PURPLE</t>
  </si>
  <si>
    <t>84255A</t>
  </si>
  <si>
    <t>PINK GLASS COCKTAIL LAMP</t>
  </si>
  <si>
    <t>47594a</t>
  </si>
  <si>
    <t>46776e</t>
  </si>
  <si>
    <t>46776b</t>
  </si>
  <si>
    <t>MUG PINK AND PURPLE ARABIC DESIGN</t>
  </si>
  <si>
    <t>72084B</t>
  </si>
  <si>
    <t>CHOCOLATE ICE CREAM CANDLE</t>
  </si>
  <si>
    <t>FOLDING CAMPING SCISSOR W/KNIF &amp; S</t>
  </si>
  <si>
    <t>SET/6 BLACK GLITTER REINDEER CANDLE</t>
  </si>
  <si>
    <t>S/6 CHRISTMAS TREE PLACE SETTING</t>
  </si>
  <si>
    <t>40046C</t>
  </si>
  <si>
    <t>PINK BUTTERFLY PAPER LAMPSHADE</t>
  </si>
  <si>
    <t>90004A</t>
  </si>
  <si>
    <t>JADE GREEN PAIR ENAMEL HAIR SLIDES</t>
  </si>
  <si>
    <t>3 BIRDS CANVAS SCREEN</t>
  </si>
  <si>
    <t>35001P</t>
  </si>
  <si>
    <t>HAND OPEN SHAPE PINK</t>
  </si>
  <si>
    <t>35818C</t>
  </si>
  <si>
    <t xml:space="preserve">ACRYLIC JEWEL ICICLE, CLEAR </t>
  </si>
  <si>
    <t>SET/20 POSIES PAPER NAPKINS</t>
  </si>
  <si>
    <t>84559d</t>
  </si>
  <si>
    <t>SET 10 CARDS CHRISTMAS BAUBLE 16954</t>
  </si>
  <si>
    <t>RAIN GIRL CHILDS UMBRELLA</t>
  </si>
  <si>
    <t>84985b</t>
  </si>
  <si>
    <t>FEATHER HEART LIGHTS</t>
  </si>
  <si>
    <t>SET 10 CARDS 3 WISE MEN 17107</t>
  </si>
  <si>
    <t>SET 10 CARDS TRIANGLE ICONS  17220</t>
  </si>
  <si>
    <t>SET 10 CARDS SNOWY ROBIN 17099</t>
  </si>
  <si>
    <t>90183c</t>
  </si>
  <si>
    <t>S/2 HYACINTH BULB CANDLES</t>
  </si>
  <si>
    <t>SET/2 TEA TOWELS MODERN VINTAGE</t>
  </si>
  <si>
    <t>S/3 COLOURS FLOCK TEA TOWELS</t>
  </si>
  <si>
    <t>ENGLISH ROSE DESIGN SHOPPING BAG</t>
  </si>
  <si>
    <t>S/6 SCANDINAVIAN HEART T-LIGHT</t>
  </si>
  <si>
    <t>CRYSTAL DRAGONFLY PHONE CHARM</t>
  </si>
  <si>
    <t>SET/2 SPOTTY + ROSE TEA TOWELS</t>
  </si>
  <si>
    <t>17028J</t>
  </si>
  <si>
    <t>INCENSE BAZAAR PEACH</t>
  </si>
  <si>
    <t>LARGE SPOTTY CHOCOLATE GIFT BAG</t>
  </si>
  <si>
    <t>90127B</t>
  </si>
  <si>
    <t>BLUE BEADS+HAND PHONE CHARM</t>
  </si>
  <si>
    <t>POCKET MIRROR BUTTERFLY</t>
  </si>
  <si>
    <t>ETCHED GLASS HEART TREE DECORATION</t>
  </si>
  <si>
    <t>47593a</t>
  </si>
  <si>
    <t>84596l</t>
  </si>
  <si>
    <t>85049c</t>
  </si>
  <si>
    <t>84510b</t>
  </si>
  <si>
    <t>ASSORTED SHAPED STENCIL FOR HENNA</t>
  </si>
  <si>
    <t>84814A</t>
  </si>
  <si>
    <t>HEXAGONAL CRYSTAL PERFUME BOTTLE</t>
  </si>
  <si>
    <t>GOLD CHRISTMAS STOCKING DECORATION</t>
  </si>
  <si>
    <t>46138D</t>
  </si>
  <si>
    <t>GREEN CHENILLE SHAGGY C/COVER</t>
  </si>
  <si>
    <t>85192S</t>
  </si>
  <si>
    <t>HANGING SPRING FLOWER HEART SMALL</t>
  </si>
  <si>
    <t>84201C</t>
  </si>
  <si>
    <t>HAPPY BIRTHDAY CARD TEDDY/CAKE</t>
  </si>
  <si>
    <t>84206C</t>
  </si>
  <si>
    <t>CHAMPAGNE TRAY BLANK CARD</t>
  </si>
  <si>
    <t>84206B</t>
  </si>
  <si>
    <t>CAT W SUNGLASSES BLANK CARD</t>
  </si>
  <si>
    <t>RED MINI TAPE MEASURE</t>
  </si>
  <si>
    <t>SET OF SIX SILVER+RED FLOCK BAUBLES</t>
  </si>
  <si>
    <t>30086C</t>
  </si>
  <si>
    <t>ASSORTED FRUIT STRAWS</t>
  </si>
  <si>
    <t>BENDY COLOUR PENCILS</t>
  </si>
  <si>
    <t>72754D</t>
  </si>
  <si>
    <t>F FAIRY POTPOURRI CUSHIONS SUMMER</t>
  </si>
  <si>
    <t>85231e</t>
  </si>
  <si>
    <t>SWALLOW SMALL TUBE MATCHES</t>
  </si>
  <si>
    <t>72796C</t>
  </si>
  <si>
    <t>S/3 ROSE GARDEN SCENT SQU CANDLE</t>
  </si>
  <si>
    <t>FLOWER SHOP DESIGN MUG</t>
  </si>
  <si>
    <t>85024A</t>
  </si>
  <si>
    <t>CRYSTAL SMALL JEWELLED PHOTOFRAME</t>
  </si>
  <si>
    <t>35980B</t>
  </si>
  <si>
    <t>RED TOP SCANDINAVIAN HEART</t>
  </si>
  <si>
    <t>35976B</t>
  </si>
  <si>
    <t>WHITE SCANDINAVIAN HEART CHRISTMAS</t>
  </si>
  <si>
    <t>84845A</t>
  </si>
  <si>
    <t>HOLLYHOCK SQUARE HANDY TIN</t>
  </si>
  <si>
    <t>FOLKART HEART CHRISTMAS DECORATIONS</t>
  </si>
  <si>
    <t>OWLS CHARLOTTE BAG</t>
  </si>
  <si>
    <t>51014c</t>
  </si>
  <si>
    <t>84205C</t>
  </si>
  <si>
    <t>HAPPY BIRTHDAY GINGER CAT CARD</t>
  </si>
  <si>
    <t>PINK HEART CHRISTMAS DECORATION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</si>
</sst>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E8F0FE"/>
        <bgColor rgb="FFE8F0FE"/>
      </patternFill>
    </fill>
    <fill>
      <patternFill patternType="solid">
        <fgColor rgb="FFFFCCBC"/>
        <bgColor rgb="FFFFCCBC"/>
      </patternFill>
    </fill>
    <fill>
      <patternFill patternType="solid">
        <fgColor rgb="FFF7CB4D"/>
        <bgColor rgb="FFF7CB4D"/>
      </patternFill>
    </fill>
    <fill>
      <patternFill patternType="solid">
        <fgColor rgb="FF63D297"/>
        <bgColor rgb="FF63D297"/>
      </patternFill>
    </fill>
    <fill>
      <patternFill patternType="solid">
        <fgColor rgb="FFFCE8B2"/>
        <bgColor rgb="FFFCE8B2"/>
      </patternFill>
    </fill>
    <fill>
      <patternFill patternType="solid">
        <fgColor rgb="FFE7F9EF"/>
        <bgColor rgb="FFE7F9EF"/>
      </patternFill>
    </fill>
    <fill>
      <patternFill patternType="solid">
        <fgColor rgb="FFAFE9CA"/>
        <bgColor rgb="FFAFE9CA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4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SUMMARY_" name="SUMMARY_" id="1">
  <tableColumns count="8">
    <tableColumn name="PRODUCT" id="1"/>
    <tableColumn name="ANNUAL_DEMAND" id="2"/>
    <tableColumn name="BEST_FORECAST_DEMAND" id="3"/>
    <tableColumn name="BEST_MAD" id="4"/>
    <tableColumn name="EOQ" id="5"/>
    <tableColumn name="ORDER_PER_YEAR" id="6"/>
    <tableColumn name="SAFETY_STOCK" id="7"/>
    <tableColumn name="REORDER_POINT" id="8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0.1</v>
      </c>
      <c r="V1" s="1" t="s">
        <v>18</v>
      </c>
      <c r="W1" s="1" t="s">
        <v>19</v>
      </c>
      <c r="X1" s="1" t="s">
        <v>20</v>
      </c>
    </row>
    <row r="2">
      <c r="A2" s="3">
        <v>40154.0</v>
      </c>
      <c r="B2" s="2">
        <v>0.0</v>
      </c>
      <c r="C2" s="2">
        <v>3166.0</v>
      </c>
      <c r="D2" s="2">
        <v>1233.0</v>
      </c>
      <c r="E2" s="2">
        <v>19.0</v>
      </c>
      <c r="F2" s="2">
        <v>1213.0</v>
      </c>
      <c r="G2" s="2">
        <v>663.0</v>
      </c>
      <c r="H2" s="2">
        <v>175.0</v>
      </c>
      <c r="I2" s="2">
        <v>153.0</v>
      </c>
      <c r="J2" s="2">
        <v>0.0</v>
      </c>
      <c r="K2" s="2">
        <v>324.0</v>
      </c>
      <c r="O2" s="4">
        <f>(C2)</f>
        <v>3166</v>
      </c>
      <c r="P2" s="4">
        <f>(C2)</f>
        <v>3166</v>
      </c>
      <c r="Q2" s="4">
        <f>(C2)</f>
        <v>3166</v>
      </c>
      <c r="S2" s="2">
        <v>0.3</v>
      </c>
    </row>
    <row r="3">
      <c r="A3" s="3">
        <v>40161.0</v>
      </c>
      <c r="B3" s="2">
        <v>0.0</v>
      </c>
      <c r="C3" s="2">
        <v>1294.0</v>
      </c>
      <c r="D3" s="2">
        <v>1304.0</v>
      </c>
      <c r="E3" s="2">
        <v>52.0</v>
      </c>
      <c r="F3" s="2">
        <v>1324.0</v>
      </c>
      <c r="G3" s="2">
        <v>572.0</v>
      </c>
      <c r="H3" s="2">
        <v>173.0</v>
      </c>
      <c r="I3" s="2">
        <v>644.0</v>
      </c>
      <c r="J3" s="2">
        <v>0.0</v>
      </c>
      <c r="K3" s="2">
        <v>236.0</v>
      </c>
      <c r="O3" s="4">
        <f t="shared" ref="O3:O105" si="1">($S$1*C2+(1-$S$1)*O2)</f>
        <v>3166</v>
      </c>
      <c r="P3" s="4">
        <f t="shared" ref="P3:P105" si="2">($S$2*C2+(1-$S$2)*P2)</f>
        <v>3166</v>
      </c>
      <c r="Q3" s="4">
        <f t="shared" ref="Q3:Q105" si="3">($S$3*C2+(1-$S$3)*Q2)</f>
        <v>3166</v>
      </c>
      <c r="S3" s="2">
        <v>0.5</v>
      </c>
      <c r="V3" s="4">
        <f t="shared" ref="V3:V105" si="4">ABS(C3-O3)</f>
        <v>1872</v>
      </c>
      <c r="W3" s="4">
        <f t="shared" ref="W3:W105" si="5">ABS(C3-P3)</f>
        <v>1872</v>
      </c>
      <c r="X3" s="4">
        <f t="shared" ref="X3:X105" si="6">ABS(C3-Q3)</f>
        <v>1872</v>
      </c>
    </row>
    <row r="4">
      <c r="A4" s="3">
        <v>40168.0</v>
      </c>
      <c r="B4" s="2">
        <v>0.0</v>
      </c>
      <c r="C4" s="2">
        <v>128.0</v>
      </c>
      <c r="D4" s="2">
        <v>36.0</v>
      </c>
      <c r="E4" s="2">
        <v>1.0</v>
      </c>
      <c r="F4" s="2">
        <v>82.0</v>
      </c>
      <c r="G4" s="2">
        <v>69.0</v>
      </c>
      <c r="H4" s="2">
        <v>19.0</v>
      </c>
      <c r="I4" s="2">
        <v>2.0</v>
      </c>
      <c r="J4" s="2">
        <v>0.0</v>
      </c>
      <c r="K4" s="2">
        <v>111.0</v>
      </c>
      <c r="O4" s="4">
        <f t="shared" si="1"/>
        <v>2978.8</v>
      </c>
      <c r="P4" s="4">
        <f t="shared" si="2"/>
        <v>2604.4</v>
      </c>
      <c r="Q4" s="4">
        <f t="shared" si="3"/>
        <v>2230</v>
      </c>
      <c r="V4" s="4">
        <f t="shared" si="4"/>
        <v>2850.8</v>
      </c>
      <c r="W4" s="4">
        <f t="shared" si="5"/>
        <v>2476.4</v>
      </c>
      <c r="X4" s="4">
        <f t="shared" si="6"/>
        <v>2102</v>
      </c>
    </row>
    <row r="5">
      <c r="A5" s="3">
        <v>40175.0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f t="shared" ref="L5:L105" si="7">AVERAGE(C2:C4)</f>
        <v>1529.333333</v>
      </c>
      <c r="M5" s="4">
        <f t="shared" ref="M5:M105" si="8">(C5-L5)</f>
        <v>-1529.333333</v>
      </c>
      <c r="N5" s="4">
        <f t="shared" ref="N5:N105" si="9">ABS(M5)</f>
        <v>1529.333333</v>
      </c>
      <c r="O5" s="4">
        <f t="shared" si="1"/>
        <v>2693.72</v>
      </c>
      <c r="P5" s="4">
        <f t="shared" si="2"/>
        <v>1861.48</v>
      </c>
      <c r="Q5" s="4">
        <f t="shared" si="3"/>
        <v>1179</v>
      </c>
      <c r="V5" s="4">
        <f t="shared" si="4"/>
        <v>2693.72</v>
      </c>
      <c r="W5" s="4">
        <f t="shared" si="5"/>
        <v>1861.48</v>
      </c>
      <c r="X5" s="4">
        <f t="shared" si="6"/>
        <v>1179</v>
      </c>
    </row>
    <row r="6">
      <c r="A6" s="3">
        <v>40182.0</v>
      </c>
      <c r="B6" s="2">
        <v>0.0</v>
      </c>
      <c r="C6" s="2">
        <v>1773.0</v>
      </c>
      <c r="D6" s="2">
        <v>1152.0</v>
      </c>
      <c r="E6" s="2">
        <v>47.0</v>
      </c>
      <c r="F6" s="2">
        <v>168.0</v>
      </c>
      <c r="G6" s="2">
        <v>0.0</v>
      </c>
      <c r="H6" s="2">
        <v>17.0</v>
      </c>
      <c r="I6" s="2">
        <v>21.0</v>
      </c>
      <c r="J6" s="2">
        <v>0.0</v>
      </c>
      <c r="K6" s="2">
        <v>324.0</v>
      </c>
      <c r="L6" s="4">
        <f t="shared" si="7"/>
        <v>474</v>
      </c>
      <c r="M6" s="4">
        <f t="shared" si="8"/>
        <v>1299</v>
      </c>
      <c r="N6" s="4">
        <f t="shared" si="9"/>
        <v>1299</v>
      </c>
      <c r="O6" s="4">
        <f t="shared" si="1"/>
        <v>2424.348</v>
      </c>
      <c r="P6" s="4">
        <f t="shared" si="2"/>
        <v>1303.036</v>
      </c>
      <c r="Q6" s="4">
        <f t="shared" si="3"/>
        <v>589.5</v>
      </c>
      <c r="V6" s="4">
        <f t="shared" si="4"/>
        <v>651.348</v>
      </c>
      <c r="W6" s="4">
        <f t="shared" si="5"/>
        <v>469.964</v>
      </c>
      <c r="X6" s="4">
        <f t="shared" si="6"/>
        <v>1183.5</v>
      </c>
    </row>
    <row r="7">
      <c r="A7" s="3">
        <v>40189.0</v>
      </c>
      <c r="B7" s="2">
        <v>0.0</v>
      </c>
      <c r="C7" s="2">
        <v>920.0</v>
      </c>
      <c r="D7" s="2">
        <v>928.0</v>
      </c>
      <c r="E7" s="2">
        <v>64.0</v>
      </c>
      <c r="F7" s="2">
        <v>233.0</v>
      </c>
      <c r="G7" s="2">
        <v>20.0</v>
      </c>
      <c r="H7" s="2">
        <v>23.0</v>
      </c>
      <c r="I7" s="2">
        <v>72.0</v>
      </c>
      <c r="J7" s="2">
        <v>0.0</v>
      </c>
      <c r="K7" s="2">
        <v>190.0</v>
      </c>
      <c r="L7" s="4">
        <f t="shared" si="7"/>
        <v>633.6666667</v>
      </c>
      <c r="M7" s="4">
        <f t="shared" si="8"/>
        <v>286.3333333</v>
      </c>
      <c r="N7" s="4">
        <f t="shared" si="9"/>
        <v>286.3333333</v>
      </c>
      <c r="O7" s="4">
        <f t="shared" si="1"/>
        <v>2359.2132</v>
      </c>
      <c r="P7" s="4">
        <f t="shared" si="2"/>
        <v>1444.0252</v>
      </c>
      <c r="Q7" s="4">
        <f t="shared" si="3"/>
        <v>1181.25</v>
      </c>
      <c r="V7" s="4">
        <f t="shared" si="4"/>
        <v>1439.2132</v>
      </c>
      <c r="W7" s="4">
        <f t="shared" si="5"/>
        <v>524.0252</v>
      </c>
      <c r="X7" s="4">
        <f t="shared" si="6"/>
        <v>261.25</v>
      </c>
    </row>
    <row r="8">
      <c r="A8" s="3">
        <v>40196.0</v>
      </c>
      <c r="B8" s="2">
        <v>0.0</v>
      </c>
      <c r="C8" s="2">
        <v>1404.0</v>
      </c>
      <c r="D8" s="2">
        <v>627.0</v>
      </c>
      <c r="E8" s="2">
        <v>49.0</v>
      </c>
      <c r="F8" s="2">
        <v>897.0</v>
      </c>
      <c r="G8" s="2">
        <v>3.0</v>
      </c>
      <c r="H8" s="2">
        <v>0.0</v>
      </c>
      <c r="I8" s="2">
        <v>23.0</v>
      </c>
      <c r="J8" s="2">
        <v>0.0</v>
      </c>
      <c r="K8" s="2">
        <v>479.0</v>
      </c>
      <c r="L8" s="4">
        <f t="shared" si="7"/>
        <v>897.6666667</v>
      </c>
      <c r="M8" s="4">
        <f t="shared" si="8"/>
        <v>506.3333333</v>
      </c>
      <c r="N8" s="4">
        <f t="shared" si="9"/>
        <v>506.3333333</v>
      </c>
      <c r="O8" s="4">
        <f t="shared" si="1"/>
        <v>2215.29188</v>
      </c>
      <c r="P8" s="4">
        <f t="shared" si="2"/>
        <v>1286.81764</v>
      </c>
      <c r="Q8" s="4">
        <f t="shared" si="3"/>
        <v>1050.625</v>
      </c>
      <c r="V8" s="4">
        <f t="shared" si="4"/>
        <v>811.29188</v>
      </c>
      <c r="W8" s="4">
        <f t="shared" si="5"/>
        <v>117.18236</v>
      </c>
      <c r="X8" s="4">
        <f t="shared" si="6"/>
        <v>353.375</v>
      </c>
    </row>
    <row r="9">
      <c r="A9" s="3">
        <v>40203.0</v>
      </c>
      <c r="B9" s="2">
        <v>0.0</v>
      </c>
      <c r="C9" s="2">
        <v>1382.0</v>
      </c>
      <c r="D9" s="2">
        <v>864.0</v>
      </c>
      <c r="E9" s="2">
        <v>186.0</v>
      </c>
      <c r="F9" s="2">
        <v>211.0</v>
      </c>
      <c r="G9" s="2">
        <v>0.0</v>
      </c>
      <c r="H9" s="2">
        <v>0.0</v>
      </c>
      <c r="I9" s="2">
        <v>621.0</v>
      </c>
      <c r="J9" s="2">
        <v>114.0</v>
      </c>
      <c r="K9" s="2">
        <v>504.0</v>
      </c>
      <c r="L9" s="4">
        <f t="shared" si="7"/>
        <v>1365.666667</v>
      </c>
      <c r="M9" s="4">
        <f t="shared" si="8"/>
        <v>16.33333333</v>
      </c>
      <c r="N9" s="4">
        <f t="shared" si="9"/>
        <v>16.33333333</v>
      </c>
      <c r="O9" s="4">
        <f t="shared" si="1"/>
        <v>2134.162692</v>
      </c>
      <c r="P9" s="4">
        <f t="shared" si="2"/>
        <v>1321.972348</v>
      </c>
      <c r="Q9" s="4">
        <f t="shared" si="3"/>
        <v>1227.3125</v>
      </c>
      <c r="V9" s="4">
        <f t="shared" si="4"/>
        <v>752.162692</v>
      </c>
      <c r="W9" s="4">
        <f t="shared" si="5"/>
        <v>60.027652</v>
      </c>
      <c r="X9" s="4">
        <f t="shared" si="6"/>
        <v>154.6875</v>
      </c>
    </row>
    <row r="10">
      <c r="A10" s="3">
        <v>40210.0</v>
      </c>
      <c r="B10" s="2">
        <v>0.0</v>
      </c>
      <c r="C10" s="2">
        <v>727.0</v>
      </c>
      <c r="D10" s="2">
        <v>488.0</v>
      </c>
      <c r="E10" s="2">
        <v>53.0</v>
      </c>
      <c r="F10" s="2">
        <v>274.0</v>
      </c>
      <c r="G10" s="2">
        <v>0.0</v>
      </c>
      <c r="H10" s="2">
        <v>24.0</v>
      </c>
      <c r="I10" s="2">
        <v>81.0</v>
      </c>
      <c r="J10" s="2">
        <v>338.0</v>
      </c>
      <c r="K10" s="2">
        <v>326.0</v>
      </c>
      <c r="L10" s="4">
        <f t="shared" si="7"/>
        <v>1235.333333</v>
      </c>
      <c r="M10" s="4">
        <f t="shared" si="8"/>
        <v>-508.3333333</v>
      </c>
      <c r="N10" s="4">
        <f t="shared" si="9"/>
        <v>508.3333333</v>
      </c>
      <c r="O10" s="4">
        <f t="shared" si="1"/>
        <v>2058.946423</v>
      </c>
      <c r="P10" s="4">
        <f t="shared" si="2"/>
        <v>1339.980644</v>
      </c>
      <c r="Q10" s="4">
        <f t="shared" si="3"/>
        <v>1304.65625</v>
      </c>
      <c r="V10" s="4">
        <f t="shared" si="4"/>
        <v>1331.946423</v>
      </c>
      <c r="W10" s="4">
        <f t="shared" si="5"/>
        <v>612.9806436</v>
      </c>
      <c r="X10" s="4">
        <f t="shared" si="6"/>
        <v>577.65625</v>
      </c>
    </row>
    <row r="11">
      <c r="A11" s="3">
        <v>40217.0</v>
      </c>
      <c r="B11" s="2">
        <v>0.0</v>
      </c>
      <c r="C11" s="2">
        <v>580.0</v>
      </c>
      <c r="D11" s="2">
        <v>547.0</v>
      </c>
      <c r="E11" s="2">
        <v>51.0</v>
      </c>
      <c r="F11" s="2">
        <v>512.0</v>
      </c>
      <c r="G11" s="2">
        <v>0.0</v>
      </c>
      <c r="H11" s="2">
        <v>0.0</v>
      </c>
      <c r="I11" s="2">
        <v>68.0</v>
      </c>
      <c r="J11" s="2">
        <v>314.0</v>
      </c>
      <c r="K11" s="2">
        <v>213.0</v>
      </c>
      <c r="L11" s="4">
        <f t="shared" si="7"/>
        <v>1171</v>
      </c>
      <c r="M11" s="4">
        <f t="shared" si="8"/>
        <v>-591</v>
      </c>
      <c r="N11" s="4">
        <f t="shared" si="9"/>
        <v>591</v>
      </c>
      <c r="O11" s="4">
        <f t="shared" si="1"/>
        <v>1925.751781</v>
      </c>
      <c r="P11" s="4">
        <f t="shared" si="2"/>
        <v>1156.086451</v>
      </c>
      <c r="Q11" s="4">
        <f t="shared" si="3"/>
        <v>1015.828125</v>
      </c>
      <c r="V11" s="4">
        <f t="shared" si="4"/>
        <v>1345.751781</v>
      </c>
      <c r="W11" s="4">
        <f t="shared" si="5"/>
        <v>576.0864505</v>
      </c>
      <c r="X11" s="4">
        <f t="shared" si="6"/>
        <v>435.828125</v>
      </c>
    </row>
    <row r="12">
      <c r="A12" s="3">
        <v>40224.0</v>
      </c>
      <c r="B12" s="2">
        <v>0.0</v>
      </c>
      <c r="C12" s="2">
        <v>669.0</v>
      </c>
      <c r="D12" s="2">
        <v>1014.0</v>
      </c>
      <c r="E12" s="2">
        <v>159.0</v>
      </c>
      <c r="F12" s="2">
        <v>587.0</v>
      </c>
      <c r="G12" s="2">
        <v>0.0</v>
      </c>
      <c r="H12" s="2">
        <v>1.0</v>
      </c>
      <c r="I12" s="2">
        <v>19.0</v>
      </c>
      <c r="J12" s="2">
        <v>720.0</v>
      </c>
      <c r="K12" s="2">
        <v>442.0</v>
      </c>
      <c r="L12" s="4">
        <f t="shared" si="7"/>
        <v>896.3333333</v>
      </c>
      <c r="M12" s="4">
        <f t="shared" si="8"/>
        <v>-227.3333333</v>
      </c>
      <c r="N12" s="4">
        <f t="shared" si="9"/>
        <v>227.3333333</v>
      </c>
      <c r="O12" s="4">
        <f t="shared" si="1"/>
        <v>1791.176602</v>
      </c>
      <c r="P12" s="4">
        <f t="shared" si="2"/>
        <v>983.2605154</v>
      </c>
      <c r="Q12" s="4">
        <f t="shared" si="3"/>
        <v>797.9140625</v>
      </c>
      <c r="V12" s="4">
        <f t="shared" si="4"/>
        <v>1122.176602</v>
      </c>
      <c r="W12" s="4">
        <f t="shared" si="5"/>
        <v>314.2605154</v>
      </c>
      <c r="X12" s="4">
        <f t="shared" si="6"/>
        <v>128.9140625</v>
      </c>
    </row>
    <row r="13">
      <c r="A13" s="3">
        <v>40231.0</v>
      </c>
      <c r="B13" s="2">
        <v>0.0</v>
      </c>
      <c r="C13" s="2">
        <v>929.0</v>
      </c>
      <c r="D13" s="2">
        <v>613.0</v>
      </c>
      <c r="E13" s="2">
        <v>79.0</v>
      </c>
      <c r="F13" s="2">
        <v>294.0</v>
      </c>
      <c r="G13" s="2">
        <v>0.0</v>
      </c>
      <c r="H13" s="2">
        <v>0.0</v>
      </c>
      <c r="I13" s="2">
        <v>1407.0</v>
      </c>
      <c r="J13" s="2">
        <v>551.0</v>
      </c>
      <c r="K13" s="2">
        <v>272.0</v>
      </c>
      <c r="L13" s="4">
        <f t="shared" si="7"/>
        <v>658.6666667</v>
      </c>
      <c r="M13" s="4">
        <f t="shared" si="8"/>
        <v>270.3333333</v>
      </c>
      <c r="N13" s="4">
        <f t="shared" si="9"/>
        <v>270.3333333</v>
      </c>
      <c r="O13" s="4">
        <f t="shared" si="1"/>
        <v>1678.958942</v>
      </c>
      <c r="P13" s="4">
        <f t="shared" si="2"/>
        <v>888.9823608</v>
      </c>
      <c r="Q13" s="4">
        <f t="shared" si="3"/>
        <v>733.4570313</v>
      </c>
      <c r="V13" s="4">
        <f t="shared" si="4"/>
        <v>749.9589422</v>
      </c>
      <c r="W13" s="4">
        <f t="shared" si="5"/>
        <v>40.01763925</v>
      </c>
      <c r="X13" s="4">
        <f t="shared" si="6"/>
        <v>195.5429688</v>
      </c>
    </row>
    <row r="14">
      <c r="A14" s="3">
        <v>40238.0</v>
      </c>
      <c r="B14" s="2">
        <v>0.0</v>
      </c>
      <c r="C14" s="2">
        <v>842.0</v>
      </c>
      <c r="D14" s="2">
        <v>754.0</v>
      </c>
      <c r="E14" s="2">
        <v>78.0</v>
      </c>
      <c r="F14" s="2">
        <v>735.0</v>
      </c>
      <c r="G14" s="2">
        <v>3.0</v>
      </c>
      <c r="H14" s="2">
        <v>2.0</v>
      </c>
      <c r="I14" s="2">
        <v>133.0</v>
      </c>
      <c r="J14" s="2">
        <v>306.0</v>
      </c>
      <c r="K14" s="2">
        <v>409.0</v>
      </c>
      <c r="L14" s="4">
        <f t="shared" si="7"/>
        <v>726</v>
      </c>
      <c r="M14" s="4">
        <f t="shared" si="8"/>
        <v>116</v>
      </c>
      <c r="N14" s="4">
        <f t="shared" si="9"/>
        <v>116</v>
      </c>
      <c r="O14" s="4">
        <f t="shared" si="1"/>
        <v>1603.963048</v>
      </c>
      <c r="P14" s="4">
        <f t="shared" si="2"/>
        <v>900.9876525</v>
      </c>
      <c r="Q14" s="4">
        <f t="shared" si="3"/>
        <v>831.2285156</v>
      </c>
      <c r="V14" s="4">
        <f t="shared" si="4"/>
        <v>761.963048</v>
      </c>
      <c r="W14" s="4">
        <f t="shared" si="5"/>
        <v>58.98765253</v>
      </c>
      <c r="X14" s="4">
        <f t="shared" si="6"/>
        <v>10.77148438</v>
      </c>
    </row>
    <row r="15">
      <c r="A15" s="3">
        <v>40245.0</v>
      </c>
      <c r="B15" s="2">
        <v>0.0</v>
      </c>
      <c r="C15" s="2">
        <v>848.0</v>
      </c>
      <c r="D15" s="2">
        <v>800.0</v>
      </c>
      <c r="E15" s="2">
        <v>262.0</v>
      </c>
      <c r="F15" s="2">
        <v>917.0</v>
      </c>
      <c r="G15" s="2">
        <v>0.0</v>
      </c>
      <c r="H15" s="2">
        <v>0.0</v>
      </c>
      <c r="I15" s="2">
        <v>47.0</v>
      </c>
      <c r="J15" s="2">
        <v>405.0</v>
      </c>
      <c r="K15" s="2">
        <v>337.0</v>
      </c>
      <c r="L15" s="4">
        <f t="shared" si="7"/>
        <v>813.3333333</v>
      </c>
      <c r="M15" s="4">
        <f t="shared" si="8"/>
        <v>34.66666667</v>
      </c>
      <c r="N15" s="4">
        <f t="shared" si="9"/>
        <v>34.66666667</v>
      </c>
      <c r="O15" s="4">
        <f t="shared" si="1"/>
        <v>1527.766743</v>
      </c>
      <c r="P15" s="4">
        <f t="shared" si="2"/>
        <v>883.2913568</v>
      </c>
      <c r="Q15" s="4">
        <f t="shared" si="3"/>
        <v>836.6142578</v>
      </c>
      <c r="V15" s="4">
        <f t="shared" si="4"/>
        <v>679.7667432</v>
      </c>
      <c r="W15" s="4">
        <f t="shared" si="5"/>
        <v>35.29135677</v>
      </c>
      <c r="X15" s="4">
        <f t="shared" si="6"/>
        <v>11.38574219</v>
      </c>
    </row>
    <row r="16">
      <c r="A16" s="3">
        <v>40252.0</v>
      </c>
      <c r="B16" s="2">
        <v>194.0</v>
      </c>
      <c r="C16" s="2">
        <v>1496.0</v>
      </c>
      <c r="D16" s="2">
        <v>555.0</v>
      </c>
      <c r="E16" s="2">
        <v>224.0</v>
      </c>
      <c r="F16" s="2">
        <v>551.0</v>
      </c>
      <c r="G16" s="2">
        <v>12.0</v>
      </c>
      <c r="H16" s="2">
        <v>0.0</v>
      </c>
      <c r="I16" s="2">
        <v>826.0</v>
      </c>
      <c r="J16" s="2">
        <v>179.0</v>
      </c>
      <c r="K16" s="2">
        <v>375.0</v>
      </c>
      <c r="L16" s="4">
        <f t="shared" si="7"/>
        <v>873</v>
      </c>
      <c r="M16" s="4">
        <f t="shared" si="8"/>
        <v>623</v>
      </c>
      <c r="N16" s="4">
        <f t="shared" si="9"/>
        <v>623</v>
      </c>
      <c r="O16" s="4">
        <f t="shared" si="1"/>
        <v>1459.790069</v>
      </c>
      <c r="P16" s="4">
        <f t="shared" si="2"/>
        <v>872.7039497</v>
      </c>
      <c r="Q16" s="4">
        <f t="shared" si="3"/>
        <v>842.3071289</v>
      </c>
      <c r="V16" s="4">
        <f t="shared" si="4"/>
        <v>36.20993112</v>
      </c>
      <c r="W16" s="4">
        <f t="shared" si="5"/>
        <v>623.2960503</v>
      </c>
      <c r="X16" s="4">
        <f t="shared" si="6"/>
        <v>653.6928711</v>
      </c>
    </row>
    <row r="17">
      <c r="A17" s="3">
        <v>40259.0</v>
      </c>
      <c r="B17" s="2">
        <v>410.0</v>
      </c>
      <c r="C17" s="2">
        <v>1184.0</v>
      </c>
      <c r="D17" s="2">
        <v>930.0</v>
      </c>
      <c r="E17" s="2">
        <v>212.0</v>
      </c>
      <c r="F17" s="2">
        <v>808.0</v>
      </c>
      <c r="G17" s="2">
        <v>0.0</v>
      </c>
      <c r="H17" s="2">
        <v>0.0</v>
      </c>
      <c r="I17" s="2">
        <v>103.0</v>
      </c>
      <c r="J17" s="2">
        <v>467.0</v>
      </c>
      <c r="K17" s="2">
        <v>177.0</v>
      </c>
      <c r="L17" s="4">
        <f t="shared" si="7"/>
        <v>1062</v>
      </c>
      <c r="M17" s="4">
        <f t="shared" si="8"/>
        <v>122</v>
      </c>
      <c r="N17" s="4">
        <f t="shared" si="9"/>
        <v>122</v>
      </c>
      <c r="O17" s="4">
        <f t="shared" si="1"/>
        <v>1463.411062</v>
      </c>
      <c r="P17" s="4">
        <f t="shared" si="2"/>
        <v>1059.692765</v>
      </c>
      <c r="Q17" s="4">
        <f t="shared" si="3"/>
        <v>1169.153564</v>
      </c>
      <c r="V17" s="4">
        <f t="shared" si="4"/>
        <v>279.411062</v>
      </c>
      <c r="W17" s="4">
        <f t="shared" si="5"/>
        <v>124.3072352</v>
      </c>
      <c r="X17" s="4">
        <f t="shared" si="6"/>
        <v>14.84643555</v>
      </c>
    </row>
    <row r="18">
      <c r="A18" s="3">
        <v>40266.0</v>
      </c>
      <c r="B18" s="2">
        <v>186.0</v>
      </c>
      <c r="C18" s="2">
        <v>900.0</v>
      </c>
      <c r="D18" s="2">
        <v>588.0</v>
      </c>
      <c r="E18" s="2">
        <v>149.0</v>
      </c>
      <c r="F18" s="2">
        <v>331.0</v>
      </c>
      <c r="G18" s="2">
        <v>2.0</v>
      </c>
      <c r="H18" s="2">
        <v>450.0</v>
      </c>
      <c r="I18" s="2">
        <v>423.0</v>
      </c>
      <c r="J18" s="2">
        <v>331.0</v>
      </c>
      <c r="K18" s="2">
        <v>425.0</v>
      </c>
      <c r="L18" s="4">
        <f t="shared" si="7"/>
        <v>1176</v>
      </c>
      <c r="M18" s="4">
        <f t="shared" si="8"/>
        <v>-276</v>
      </c>
      <c r="N18" s="4">
        <f t="shared" si="9"/>
        <v>276</v>
      </c>
      <c r="O18" s="4">
        <f t="shared" si="1"/>
        <v>1435.469956</v>
      </c>
      <c r="P18" s="4">
        <f t="shared" si="2"/>
        <v>1096.984935</v>
      </c>
      <c r="Q18" s="4">
        <f t="shared" si="3"/>
        <v>1176.576782</v>
      </c>
      <c r="V18" s="4">
        <f t="shared" si="4"/>
        <v>535.4699558</v>
      </c>
      <c r="W18" s="4">
        <f t="shared" si="5"/>
        <v>196.9849354</v>
      </c>
      <c r="X18" s="4">
        <f t="shared" si="6"/>
        <v>276.5767822</v>
      </c>
    </row>
    <row r="19">
      <c r="A19" s="3">
        <v>40273.0</v>
      </c>
      <c r="B19" s="2">
        <v>230.0</v>
      </c>
      <c r="C19" s="2">
        <v>897.0</v>
      </c>
      <c r="D19" s="2">
        <v>416.0</v>
      </c>
      <c r="E19" s="2">
        <v>179.0</v>
      </c>
      <c r="F19" s="2">
        <v>736.0</v>
      </c>
      <c r="G19" s="2">
        <v>0.0</v>
      </c>
      <c r="H19" s="2">
        <v>216.0</v>
      </c>
      <c r="I19" s="2">
        <v>716.0</v>
      </c>
      <c r="J19" s="2">
        <v>164.0</v>
      </c>
      <c r="K19" s="2">
        <v>298.0</v>
      </c>
      <c r="L19" s="4">
        <f t="shared" si="7"/>
        <v>1193.333333</v>
      </c>
      <c r="M19" s="4">
        <f t="shared" si="8"/>
        <v>-296.3333333</v>
      </c>
      <c r="N19" s="4">
        <f t="shared" si="9"/>
        <v>296.3333333</v>
      </c>
      <c r="O19" s="4">
        <f t="shared" si="1"/>
        <v>1381.92296</v>
      </c>
      <c r="P19" s="4">
        <f t="shared" si="2"/>
        <v>1037.889455</v>
      </c>
      <c r="Q19" s="4">
        <f t="shared" si="3"/>
        <v>1038.288391</v>
      </c>
      <c r="V19" s="4">
        <f t="shared" si="4"/>
        <v>484.9229602</v>
      </c>
      <c r="W19" s="4">
        <f t="shared" si="5"/>
        <v>140.8894548</v>
      </c>
      <c r="X19" s="4">
        <f t="shared" si="6"/>
        <v>141.2883911</v>
      </c>
    </row>
    <row r="20">
      <c r="A20" s="3">
        <v>40280.0</v>
      </c>
      <c r="B20" s="2">
        <v>293.0</v>
      </c>
      <c r="C20" s="2">
        <v>848.0</v>
      </c>
      <c r="D20" s="2">
        <v>1007.0</v>
      </c>
      <c r="E20" s="2">
        <v>386.0</v>
      </c>
      <c r="F20" s="2">
        <v>653.0</v>
      </c>
      <c r="G20" s="2">
        <v>0.0</v>
      </c>
      <c r="H20" s="2">
        <v>91.0</v>
      </c>
      <c r="I20" s="2">
        <v>224.0</v>
      </c>
      <c r="J20" s="2">
        <v>218.0</v>
      </c>
      <c r="K20" s="2">
        <v>477.0</v>
      </c>
      <c r="L20" s="4">
        <f t="shared" si="7"/>
        <v>993.6666667</v>
      </c>
      <c r="M20" s="4">
        <f t="shared" si="8"/>
        <v>-145.6666667</v>
      </c>
      <c r="N20" s="4">
        <f t="shared" si="9"/>
        <v>145.6666667</v>
      </c>
      <c r="O20" s="4">
        <f t="shared" si="1"/>
        <v>1333.430664</v>
      </c>
      <c r="P20" s="4">
        <f t="shared" si="2"/>
        <v>995.6226183</v>
      </c>
      <c r="Q20" s="4">
        <f t="shared" si="3"/>
        <v>967.6441956</v>
      </c>
      <c r="V20" s="4">
        <f t="shared" si="4"/>
        <v>485.4306642</v>
      </c>
      <c r="W20" s="4">
        <f t="shared" si="5"/>
        <v>147.6226183</v>
      </c>
      <c r="X20" s="4">
        <f t="shared" si="6"/>
        <v>119.6441956</v>
      </c>
    </row>
    <row r="21">
      <c r="A21" s="3">
        <v>40287.0</v>
      </c>
      <c r="B21" s="2">
        <v>349.0</v>
      </c>
      <c r="C21" s="2">
        <v>696.0</v>
      </c>
      <c r="D21" s="2">
        <v>645.0</v>
      </c>
      <c r="E21" s="2">
        <v>525.0</v>
      </c>
      <c r="F21" s="2">
        <v>504.0</v>
      </c>
      <c r="G21" s="2">
        <v>1.0</v>
      </c>
      <c r="H21" s="2">
        <v>116.0</v>
      </c>
      <c r="I21" s="2">
        <v>378.0</v>
      </c>
      <c r="J21" s="2">
        <v>248.0</v>
      </c>
      <c r="K21" s="2">
        <v>297.0</v>
      </c>
      <c r="L21" s="4">
        <f t="shared" si="7"/>
        <v>881.6666667</v>
      </c>
      <c r="M21" s="4">
        <f t="shared" si="8"/>
        <v>-185.6666667</v>
      </c>
      <c r="N21" s="4">
        <f t="shared" si="9"/>
        <v>185.6666667</v>
      </c>
      <c r="O21" s="4">
        <f t="shared" si="1"/>
        <v>1284.887598</v>
      </c>
      <c r="P21" s="4">
        <f t="shared" si="2"/>
        <v>951.3358328</v>
      </c>
      <c r="Q21" s="4">
        <f t="shared" si="3"/>
        <v>907.8220978</v>
      </c>
      <c r="V21" s="4">
        <f t="shared" si="4"/>
        <v>588.8875978</v>
      </c>
      <c r="W21" s="4">
        <f t="shared" si="5"/>
        <v>255.3358328</v>
      </c>
      <c r="X21" s="4">
        <f t="shared" si="6"/>
        <v>211.8220978</v>
      </c>
    </row>
    <row r="22">
      <c r="A22" s="3">
        <v>40294.0</v>
      </c>
      <c r="B22" s="2">
        <v>276.0</v>
      </c>
      <c r="C22" s="2">
        <v>1116.0</v>
      </c>
      <c r="D22" s="2">
        <v>1539.0</v>
      </c>
      <c r="E22" s="2">
        <v>418.0</v>
      </c>
      <c r="F22" s="2">
        <v>919.0</v>
      </c>
      <c r="G22" s="2">
        <v>18.0</v>
      </c>
      <c r="H22" s="2">
        <v>55.0</v>
      </c>
      <c r="I22" s="2">
        <v>500.0</v>
      </c>
      <c r="J22" s="2">
        <v>386.0</v>
      </c>
      <c r="K22" s="2">
        <v>304.0</v>
      </c>
      <c r="L22" s="4">
        <f t="shared" si="7"/>
        <v>813.6666667</v>
      </c>
      <c r="M22" s="4">
        <f t="shared" si="8"/>
        <v>302.3333333</v>
      </c>
      <c r="N22" s="4">
        <f t="shared" si="9"/>
        <v>302.3333333</v>
      </c>
      <c r="O22" s="4">
        <f t="shared" si="1"/>
        <v>1225.998838</v>
      </c>
      <c r="P22" s="4">
        <f t="shared" si="2"/>
        <v>874.735083</v>
      </c>
      <c r="Q22" s="4">
        <f t="shared" si="3"/>
        <v>801.9110489</v>
      </c>
      <c r="V22" s="4">
        <f t="shared" si="4"/>
        <v>109.998838</v>
      </c>
      <c r="W22" s="4">
        <f t="shared" si="5"/>
        <v>241.264917</v>
      </c>
      <c r="X22" s="4">
        <f t="shared" si="6"/>
        <v>314.0889511</v>
      </c>
    </row>
    <row r="23">
      <c r="A23" s="3">
        <v>40301.0</v>
      </c>
      <c r="B23" s="2">
        <v>306.0</v>
      </c>
      <c r="C23" s="2">
        <v>1053.0</v>
      </c>
      <c r="D23" s="2">
        <v>1207.0</v>
      </c>
      <c r="E23" s="2">
        <v>565.0</v>
      </c>
      <c r="F23" s="2">
        <v>342.0</v>
      </c>
      <c r="G23" s="2">
        <v>46.0</v>
      </c>
      <c r="H23" s="2">
        <v>62.0</v>
      </c>
      <c r="I23" s="2">
        <v>203.0</v>
      </c>
      <c r="J23" s="2">
        <v>751.0</v>
      </c>
      <c r="K23" s="2">
        <v>711.0</v>
      </c>
      <c r="L23" s="4">
        <f t="shared" si="7"/>
        <v>886.6666667</v>
      </c>
      <c r="M23" s="4">
        <f t="shared" si="8"/>
        <v>166.3333333</v>
      </c>
      <c r="N23" s="4">
        <f t="shared" si="9"/>
        <v>166.3333333</v>
      </c>
      <c r="O23" s="4">
        <f t="shared" si="1"/>
        <v>1214.998954</v>
      </c>
      <c r="P23" s="4">
        <f t="shared" si="2"/>
        <v>947.1145581</v>
      </c>
      <c r="Q23" s="4">
        <f t="shared" si="3"/>
        <v>958.9555244</v>
      </c>
      <c r="V23" s="4">
        <f t="shared" si="4"/>
        <v>161.9989542</v>
      </c>
      <c r="W23" s="4">
        <f t="shared" si="5"/>
        <v>105.8854419</v>
      </c>
      <c r="X23" s="4">
        <f t="shared" si="6"/>
        <v>94.04447556</v>
      </c>
    </row>
    <row r="24">
      <c r="A24" s="3">
        <v>40308.0</v>
      </c>
      <c r="B24" s="2">
        <v>130.0</v>
      </c>
      <c r="C24" s="2">
        <v>1105.0</v>
      </c>
      <c r="D24" s="2">
        <v>987.0</v>
      </c>
      <c r="E24" s="2">
        <v>436.0</v>
      </c>
      <c r="F24" s="2">
        <v>907.0</v>
      </c>
      <c r="G24" s="2">
        <v>6.0</v>
      </c>
      <c r="H24" s="2">
        <v>16.0</v>
      </c>
      <c r="I24" s="2">
        <v>180.0</v>
      </c>
      <c r="J24" s="2">
        <v>290.0</v>
      </c>
      <c r="K24" s="2">
        <v>517.0</v>
      </c>
      <c r="L24" s="4">
        <f t="shared" si="7"/>
        <v>955</v>
      </c>
      <c r="M24" s="4">
        <f t="shared" si="8"/>
        <v>150</v>
      </c>
      <c r="N24" s="4">
        <f t="shared" si="9"/>
        <v>150</v>
      </c>
      <c r="O24" s="4">
        <f t="shared" si="1"/>
        <v>1198.799059</v>
      </c>
      <c r="P24" s="4">
        <f t="shared" si="2"/>
        <v>978.8801907</v>
      </c>
      <c r="Q24" s="4">
        <f t="shared" si="3"/>
        <v>1005.977762</v>
      </c>
      <c r="V24" s="4">
        <f t="shared" si="4"/>
        <v>93.79905878</v>
      </c>
      <c r="W24" s="4">
        <f t="shared" si="5"/>
        <v>126.1198093</v>
      </c>
      <c r="X24" s="4">
        <f t="shared" si="6"/>
        <v>99.02223778</v>
      </c>
    </row>
    <row r="25">
      <c r="A25" s="3">
        <v>40315.0</v>
      </c>
      <c r="B25" s="2">
        <v>28.0</v>
      </c>
      <c r="C25" s="2">
        <v>1258.0</v>
      </c>
      <c r="D25" s="2">
        <v>621.0</v>
      </c>
      <c r="E25" s="2">
        <v>450.0</v>
      </c>
      <c r="F25" s="2">
        <v>283.0</v>
      </c>
      <c r="G25" s="2">
        <v>6.0</v>
      </c>
      <c r="H25" s="2">
        <v>87.0</v>
      </c>
      <c r="I25" s="2">
        <v>192.0</v>
      </c>
      <c r="J25" s="2">
        <v>512.0</v>
      </c>
      <c r="K25" s="2">
        <v>265.0</v>
      </c>
      <c r="L25" s="4">
        <f t="shared" si="7"/>
        <v>1091.333333</v>
      </c>
      <c r="M25" s="4">
        <f t="shared" si="8"/>
        <v>166.6666667</v>
      </c>
      <c r="N25" s="4">
        <f t="shared" si="9"/>
        <v>166.6666667</v>
      </c>
      <c r="O25" s="4">
        <f t="shared" si="1"/>
        <v>1189.419153</v>
      </c>
      <c r="P25" s="4">
        <f t="shared" si="2"/>
        <v>1016.716133</v>
      </c>
      <c r="Q25" s="4">
        <f t="shared" si="3"/>
        <v>1055.488881</v>
      </c>
      <c r="V25" s="4">
        <f t="shared" si="4"/>
        <v>68.5808471</v>
      </c>
      <c r="W25" s="4">
        <f t="shared" si="5"/>
        <v>241.2838665</v>
      </c>
      <c r="X25" s="4">
        <f t="shared" si="6"/>
        <v>202.5111189</v>
      </c>
    </row>
    <row r="26">
      <c r="A26" s="3">
        <v>40322.0</v>
      </c>
      <c r="B26" s="2">
        <v>15.0</v>
      </c>
      <c r="C26" s="2">
        <v>952.0</v>
      </c>
      <c r="D26" s="2">
        <v>760.0</v>
      </c>
      <c r="E26" s="2">
        <v>671.0</v>
      </c>
      <c r="F26" s="2">
        <v>560.0</v>
      </c>
      <c r="G26" s="2">
        <v>0.0</v>
      </c>
      <c r="H26" s="2">
        <v>69.0</v>
      </c>
      <c r="I26" s="2">
        <v>218.0</v>
      </c>
      <c r="J26" s="2">
        <v>279.0</v>
      </c>
      <c r="K26" s="2">
        <v>674.0</v>
      </c>
      <c r="L26" s="4">
        <f t="shared" si="7"/>
        <v>1138.666667</v>
      </c>
      <c r="M26" s="4">
        <f t="shared" si="8"/>
        <v>-186.6666667</v>
      </c>
      <c r="N26" s="4">
        <f t="shared" si="9"/>
        <v>186.6666667</v>
      </c>
      <c r="O26" s="4">
        <f t="shared" si="1"/>
        <v>1196.277238</v>
      </c>
      <c r="P26" s="4">
        <f t="shared" si="2"/>
        <v>1089.101293</v>
      </c>
      <c r="Q26" s="4">
        <f t="shared" si="3"/>
        <v>1156.744441</v>
      </c>
      <c r="V26" s="4">
        <f t="shared" si="4"/>
        <v>244.2772376</v>
      </c>
      <c r="W26" s="4">
        <f t="shared" si="5"/>
        <v>137.1012934</v>
      </c>
      <c r="X26" s="4">
        <f t="shared" si="6"/>
        <v>204.7444406</v>
      </c>
    </row>
    <row r="27">
      <c r="A27" s="3">
        <v>40329.0</v>
      </c>
      <c r="B27" s="2">
        <v>93.0</v>
      </c>
      <c r="C27" s="2">
        <v>545.0</v>
      </c>
      <c r="D27" s="2">
        <v>727.0</v>
      </c>
      <c r="E27" s="2">
        <v>301.0</v>
      </c>
      <c r="F27" s="2">
        <v>309.0</v>
      </c>
      <c r="G27" s="2">
        <v>4.0</v>
      </c>
      <c r="H27" s="2">
        <v>29.0</v>
      </c>
      <c r="I27" s="2">
        <v>145.0</v>
      </c>
      <c r="J27" s="2">
        <v>236.0</v>
      </c>
      <c r="K27" s="2">
        <v>300.0</v>
      </c>
      <c r="L27" s="4">
        <f t="shared" si="7"/>
        <v>1105</v>
      </c>
      <c r="M27" s="4">
        <f t="shared" si="8"/>
        <v>-560</v>
      </c>
      <c r="N27" s="4">
        <f t="shared" si="9"/>
        <v>560</v>
      </c>
      <c r="O27" s="4">
        <f t="shared" si="1"/>
        <v>1171.849514</v>
      </c>
      <c r="P27" s="4">
        <f t="shared" si="2"/>
        <v>1047.970905</v>
      </c>
      <c r="Q27" s="4">
        <f t="shared" si="3"/>
        <v>1054.37222</v>
      </c>
      <c r="V27" s="4">
        <f t="shared" si="4"/>
        <v>626.8495138</v>
      </c>
      <c r="W27" s="4">
        <f t="shared" si="5"/>
        <v>502.9709054</v>
      </c>
      <c r="X27" s="4">
        <f t="shared" si="6"/>
        <v>509.3722203</v>
      </c>
    </row>
    <row r="28">
      <c r="A28" s="3">
        <v>40336.0</v>
      </c>
      <c r="B28" s="2">
        <v>454.0</v>
      </c>
      <c r="C28" s="2">
        <v>1589.0</v>
      </c>
      <c r="D28" s="2">
        <v>973.0</v>
      </c>
      <c r="E28" s="2">
        <v>716.0</v>
      </c>
      <c r="F28" s="2">
        <v>264.0</v>
      </c>
      <c r="G28" s="2">
        <v>3.0</v>
      </c>
      <c r="H28" s="2">
        <v>220.0</v>
      </c>
      <c r="I28" s="2">
        <v>617.0</v>
      </c>
      <c r="J28" s="2">
        <v>429.0</v>
      </c>
      <c r="K28" s="2">
        <v>408.0</v>
      </c>
      <c r="L28" s="4">
        <f t="shared" si="7"/>
        <v>918.3333333</v>
      </c>
      <c r="M28" s="4">
        <f t="shared" si="8"/>
        <v>670.6666667</v>
      </c>
      <c r="N28" s="4">
        <f t="shared" si="9"/>
        <v>670.6666667</v>
      </c>
      <c r="O28" s="4">
        <f t="shared" si="1"/>
        <v>1109.164562</v>
      </c>
      <c r="P28" s="4">
        <f t="shared" si="2"/>
        <v>897.0796338</v>
      </c>
      <c r="Q28" s="4">
        <f t="shared" si="3"/>
        <v>799.6861101</v>
      </c>
      <c r="V28" s="4">
        <f t="shared" si="4"/>
        <v>479.8354375</v>
      </c>
      <c r="W28" s="4">
        <f t="shared" si="5"/>
        <v>691.9203662</v>
      </c>
      <c r="X28" s="4">
        <f t="shared" si="6"/>
        <v>789.3138899</v>
      </c>
    </row>
    <row r="29">
      <c r="A29" s="3">
        <v>40343.0</v>
      </c>
      <c r="B29" s="2">
        <v>432.0</v>
      </c>
      <c r="C29" s="2">
        <v>586.0</v>
      </c>
      <c r="D29" s="2">
        <v>696.0</v>
      </c>
      <c r="E29" s="2">
        <v>142.0</v>
      </c>
      <c r="F29" s="2">
        <v>569.0</v>
      </c>
      <c r="G29" s="2">
        <v>28.0</v>
      </c>
      <c r="H29" s="2">
        <v>25.0</v>
      </c>
      <c r="I29" s="2">
        <v>625.0</v>
      </c>
      <c r="J29" s="2">
        <v>362.0</v>
      </c>
      <c r="K29" s="2">
        <v>458.0</v>
      </c>
      <c r="L29" s="4">
        <f t="shared" si="7"/>
        <v>1028.666667</v>
      </c>
      <c r="M29" s="4">
        <f t="shared" si="8"/>
        <v>-442.6666667</v>
      </c>
      <c r="N29" s="4">
        <f t="shared" si="9"/>
        <v>442.6666667</v>
      </c>
      <c r="O29" s="4">
        <f t="shared" si="1"/>
        <v>1157.148106</v>
      </c>
      <c r="P29" s="4">
        <f t="shared" si="2"/>
        <v>1104.655744</v>
      </c>
      <c r="Q29" s="4">
        <f t="shared" si="3"/>
        <v>1194.343055</v>
      </c>
      <c r="V29" s="4">
        <f t="shared" si="4"/>
        <v>571.1481062</v>
      </c>
      <c r="W29" s="4">
        <f t="shared" si="5"/>
        <v>518.6557436</v>
      </c>
      <c r="X29" s="4">
        <f t="shared" si="6"/>
        <v>608.3430551</v>
      </c>
    </row>
    <row r="30">
      <c r="A30" s="3">
        <v>40350.0</v>
      </c>
      <c r="B30" s="2">
        <v>151.0</v>
      </c>
      <c r="C30" s="2">
        <v>746.0</v>
      </c>
      <c r="D30" s="2">
        <v>750.0</v>
      </c>
      <c r="E30" s="2">
        <v>52.0</v>
      </c>
      <c r="F30" s="2">
        <v>252.0</v>
      </c>
      <c r="G30" s="2">
        <v>305.0</v>
      </c>
      <c r="H30" s="2">
        <v>35.0</v>
      </c>
      <c r="I30" s="2">
        <v>168.0</v>
      </c>
      <c r="J30" s="2">
        <v>460.0</v>
      </c>
      <c r="K30" s="2">
        <v>511.0</v>
      </c>
      <c r="L30" s="4">
        <f t="shared" si="7"/>
        <v>906.6666667</v>
      </c>
      <c r="M30" s="4">
        <f t="shared" si="8"/>
        <v>-160.6666667</v>
      </c>
      <c r="N30" s="4">
        <f t="shared" si="9"/>
        <v>160.6666667</v>
      </c>
      <c r="O30" s="4">
        <f t="shared" si="1"/>
        <v>1100.033296</v>
      </c>
      <c r="P30" s="4">
        <f t="shared" si="2"/>
        <v>949.0590206</v>
      </c>
      <c r="Q30" s="4">
        <f t="shared" si="3"/>
        <v>890.1715275</v>
      </c>
      <c r="V30" s="4">
        <f t="shared" si="4"/>
        <v>354.0332956</v>
      </c>
      <c r="W30" s="4">
        <f t="shared" si="5"/>
        <v>203.0590206</v>
      </c>
      <c r="X30" s="4">
        <f t="shared" si="6"/>
        <v>144.1715275</v>
      </c>
    </row>
    <row r="31">
      <c r="A31" s="3">
        <v>40357.0</v>
      </c>
      <c r="B31" s="2">
        <v>387.0</v>
      </c>
      <c r="C31" s="2">
        <v>1203.0</v>
      </c>
      <c r="D31" s="2">
        <v>1415.0</v>
      </c>
      <c r="E31" s="2">
        <v>51.0</v>
      </c>
      <c r="F31" s="2">
        <v>692.0</v>
      </c>
      <c r="G31" s="2">
        <v>44.0</v>
      </c>
      <c r="H31" s="2">
        <v>22.0</v>
      </c>
      <c r="I31" s="2">
        <v>365.0</v>
      </c>
      <c r="J31" s="2">
        <v>598.0</v>
      </c>
      <c r="K31" s="2">
        <v>534.0</v>
      </c>
      <c r="L31" s="4">
        <f t="shared" si="7"/>
        <v>973.6666667</v>
      </c>
      <c r="M31" s="4">
        <f t="shared" si="8"/>
        <v>229.3333333</v>
      </c>
      <c r="N31" s="4">
        <f t="shared" si="9"/>
        <v>229.3333333</v>
      </c>
      <c r="O31" s="4">
        <f t="shared" si="1"/>
        <v>1064.629966</v>
      </c>
      <c r="P31" s="4">
        <f t="shared" si="2"/>
        <v>888.1413144</v>
      </c>
      <c r="Q31" s="4">
        <f t="shared" si="3"/>
        <v>818.0857638</v>
      </c>
      <c r="V31" s="4">
        <f t="shared" si="4"/>
        <v>138.370034</v>
      </c>
      <c r="W31" s="4">
        <f t="shared" si="5"/>
        <v>314.8586856</v>
      </c>
      <c r="X31" s="4">
        <f t="shared" si="6"/>
        <v>384.9142362</v>
      </c>
    </row>
    <row r="32">
      <c r="A32" s="3">
        <v>40364.0</v>
      </c>
      <c r="B32" s="2">
        <v>150.0</v>
      </c>
      <c r="C32" s="2">
        <v>706.0</v>
      </c>
      <c r="D32" s="2">
        <v>654.0</v>
      </c>
      <c r="E32" s="2">
        <v>52.0</v>
      </c>
      <c r="F32" s="2">
        <v>874.0</v>
      </c>
      <c r="G32" s="2">
        <v>14.0</v>
      </c>
      <c r="H32" s="2">
        <v>88.0</v>
      </c>
      <c r="I32" s="2">
        <v>278.0</v>
      </c>
      <c r="J32" s="2">
        <v>331.0</v>
      </c>
      <c r="K32" s="2">
        <v>211.0</v>
      </c>
      <c r="L32" s="4">
        <f t="shared" si="7"/>
        <v>845</v>
      </c>
      <c r="M32" s="4">
        <f t="shared" si="8"/>
        <v>-139</v>
      </c>
      <c r="N32" s="4">
        <f t="shared" si="9"/>
        <v>139</v>
      </c>
      <c r="O32" s="4">
        <f t="shared" si="1"/>
        <v>1078.466969</v>
      </c>
      <c r="P32" s="4">
        <f t="shared" si="2"/>
        <v>982.5989201</v>
      </c>
      <c r="Q32" s="4">
        <f t="shared" si="3"/>
        <v>1010.542882</v>
      </c>
      <c r="V32" s="4">
        <f t="shared" si="4"/>
        <v>372.4669694</v>
      </c>
      <c r="W32" s="4">
        <f t="shared" si="5"/>
        <v>276.5989201</v>
      </c>
      <c r="X32" s="4">
        <f t="shared" si="6"/>
        <v>304.5428819</v>
      </c>
    </row>
    <row r="33">
      <c r="A33" s="3">
        <v>40371.0</v>
      </c>
      <c r="B33" s="2">
        <v>160.0</v>
      </c>
      <c r="C33" s="2">
        <v>1265.0</v>
      </c>
      <c r="D33" s="2">
        <v>865.0</v>
      </c>
      <c r="E33" s="2">
        <v>44.0</v>
      </c>
      <c r="F33" s="2">
        <v>400.0</v>
      </c>
      <c r="G33" s="2">
        <v>3.0</v>
      </c>
      <c r="H33" s="2">
        <v>6.0</v>
      </c>
      <c r="I33" s="2">
        <v>766.0</v>
      </c>
      <c r="J33" s="2">
        <v>240.0</v>
      </c>
      <c r="K33" s="2">
        <v>575.0</v>
      </c>
      <c r="L33" s="4">
        <f t="shared" si="7"/>
        <v>885</v>
      </c>
      <c r="M33" s="4">
        <f t="shared" si="8"/>
        <v>380</v>
      </c>
      <c r="N33" s="4">
        <f t="shared" si="9"/>
        <v>380</v>
      </c>
      <c r="O33" s="4">
        <f t="shared" si="1"/>
        <v>1041.220272</v>
      </c>
      <c r="P33" s="4">
        <f t="shared" si="2"/>
        <v>899.619244</v>
      </c>
      <c r="Q33" s="4">
        <f t="shared" si="3"/>
        <v>858.2714409</v>
      </c>
      <c r="V33" s="4">
        <f t="shared" si="4"/>
        <v>223.7797275</v>
      </c>
      <c r="W33" s="4">
        <f t="shared" si="5"/>
        <v>365.380756</v>
      </c>
      <c r="X33" s="4">
        <f t="shared" si="6"/>
        <v>406.7285591</v>
      </c>
    </row>
    <row r="34">
      <c r="A34" s="3">
        <v>40378.0</v>
      </c>
      <c r="B34" s="2">
        <v>453.0</v>
      </c>
      <c r="C34" s="2">
        <v>1159.0</v>
      </c>
      <c r="D34" s="2">
        <v>1268.0</v>
      </c>
      <c r="E34" s="2">
        <v>52.0</v>
      </c>
      <c r="F34" s="2">
        <v>1043.0</v>
      </c>
      <c r="G34" s="2">
        <v>50.0</v>
      </c>
      <c r="H34" s="2">
        <v>8.0</v>
      </c>
      <c r="I34" s="2">
        <v>691.0</v>
      </c>
      <c r="J34" s="2">
        <v>729.0</v>
      </c>
      <c r="K34" s="2">
        <v>487.0</v>
      </c>
      <c r="L34" s="4">
        <f t="shared" si="7"/>
        <v>1058</v>
      </c>
      <c r="M34" s="4">
        <f t="shared" si="8"/>
        <v>101</v>
      </c>
      <c r="N34" s="4">
        <f t="shared" si="9"/>
        <v>101</v>
      </c>
      <c r="O34" s="4">
        <f t="shared" si="1"/>
        <v>1063.598245</v>
      </c>
      <c r="P34" s="4">
        <f t="shared" si="2"/>
        <v>1009.233471</v>
      </c>
      <c r="Q34" s="4">
        <f t="shared" si="3"/>
        <v>1061.63572</v>
      </c>
      <c r="V34" s="4">
        <f t="shared" si="4"/>
        <v>95.40175476</v>
      </c>
      <c r="W34" s="4">
        <f t="shared" si="5"/>
        <v>149.7665292</v>
      </c>
      <c r="X34" s="4">
        <f t="shared" si="6"/>
        <v>97.36427953</v>
      </c>
    </row>
    <row r="35">
      <c r="A35" s="3">
        <v>40385.0</v>
      </c>
      <c r="B35" s="2">
        <v>577.0</v>
      </c>
      <c r="C35" s="2">
        <v>589.0</v>
      </c>
      <c r="D35" s="2">
        <v>618.0</v>
      </c>
      <c r="E35" s="2">
        <v>34.0</v>
      </c>
      <c r="F35" s="2">
        <v>621.0</v>
      </c>
      <c r="G35" s="2">
        <v>128.0</v>
      </c>
      <c r="H35" s="2">
        <v>5.0</v>
      </c>
      <c r="I35" s="2">
        <v>265.0</v>
      </c>
      <c r="J35" s="2">
        <v>171.0</v>
      </c>
      <c r="K35" s="2">
        <v>454.0</v>
      </c>
      <c r="L35" s="4">
        <f t="shared" si="7"/>
        <v>1043.333333</v>
      </c>
      <c r="M35" s="4">
        <f t="shared" si="8"/>
        <v>-454.3333333</v>
      </c>
      <c r="N35" s="4">
        <f t="shared" si="9"/>
        <v>454.3333333</v>
      </c>
      <c r="O35" s="4">
        <f t="shared" si="1"/>
        <v>1073.138421</v>
      </c>
      <c r="P35" s="4">
        <f t="shared" si="2"/>
        <v>1054.16343</v>
      </c>
      <c r="Q35" s="4">
        <f t="shared" si="3"/>
        <v>1110.31786</v>
      </c>
      <c r="V35" s="4">
        <f t="shared" si="4"/>
        <v>484.1384207</v>
      </c>
      <c r="W35" s="4">
        <f t="shared" si="5"/>
        <v>465.1634296</v>
      </c>
      <c r="X35" s="4">
        <f t="shared" si="6"/>
        <v>521.3178602</v>
      </c>
    </row>
    <row r="36">
      <c r="A36" s="3">
        <v>40392.0</v>
      </c>
      <c r="B36" s="2">
        <v>294.0</v>
      </c>
      <c r="C36" s="2">
        <v>547.0</v>
      </c>
      <c r="D36" s="2">
        <v>726.0</v>
      </c>
      <c r="E36" s="2">
        <v>57.0</v>
      </c>
      <c r="F36" s="2">
        <v>648.0</v>
      </c>
      <c r="G36" s="2">
        <v>142.0</v>
      </c>
      <c r="H36" s="2">
        <v>17.0</v>
      </c>
      <c r="I36" s="2">
        <v>95.0</v>
      </c>
      <c r="J36" s="2">
        <v>354.0</v>
      </c>
      <c r="K36" s="2">
        <v>694.0</v>
      </c>
      <c r="L36" s="4">
        <f t="shared" si="7"/>
        <v>1004.333333</v>
      </c>
      <c r="M36" s="4">
        <f t="shared" si="8"/>
        <v>-457.3333333</v>
      </c>
      <c r="N36" s="4">
        <f t="shared" si="9"/>
        <v>457.3333333</v>
      </c>
      <c r="O36" s="4">
        <f t="shared" si="1"/>
        <v>1024.724579</v>
      </c>
      <c r="P36" s="4">
        <f t="shared" si="2"/>
        <v>914.6144007</v>
      </c>
      <c r="Q36" s="4">
        <f t="shared" si="3"/>
        <v>849.6589301</v>
      </c>
      <c r="V36" s="4">
        <f t="shared" si="4"/>
        <v>477.7245786</v>
      </c>
      <c r="W36" s="4">
        <f t="shared" si="5"/>
        <v>367.6144007</v>
      </c>
      <c r="X36" s="4">
        <f t="shared" si="6"/>
        <v>302.6589301</v>
      </c>
    </row>
    <row r="37">
      <c r="A37" s="3">
        <v>40399.0</v>
      </c>
      <c r="B37" s="2">
        <v>224.0</v>
      </c>
      <c r="C37" s="2">
        <v>1218.0</v>
      </c>
      <c r="D37" s="2">
        <v>893.0</v>
      </c>
      <c r="E37" s="2">
        <v>188.0</v>
      </c>
      <c r="F37" s="2">
        <v>758.0</v>
      </c>
      <c r="G37" s="2">
        <v>74.0</v>
      </c>
      <c r="H37" s="2">
        <v>45.0</v>
      </c>
      <c r="I37" s="2">
        <v>552.0</v>
      </c>
      <c r="J37" s="2">
        <v>460.0</v>
      </c>
      <c r="K37" s="2">
        <v>608.0</v>
      </c>
      <c r="L37" s="4">
        <f t="shared" si="7"/>
        <v>765</v>
      </c>
      <c r="M37" s="4">
        <f t="shared" si="8"/>
        <v>453</v>
      </c>
      <c r="N37" s="4">
        <f t="shared" si="9"/>
        <v>453</v>
      </c>
      <c r="O37" s="4">
        <f t="shared" si="1"/>
        <v>976.9521208</v>
      </c>
      <c r="P37" s="4">
        <f t="shared" si="2"/>
        <v>804.3300805</v>
      </c>
      <c r="Q37" s="4">
        <f t="shared" si="3"/>
        <v>698.3294651</v>
      </c>
      <c r="V37" s="4">
        <f t="shared" si="4"/>
        <v>241.0478792</v>
      </c>
      <c r="W37" s="4">
        <f t="shared" si="5"/>
        <v>413.6699195</v>
      </c>
      <c r="X37" s="4">
        <f t="shared" si="6"/>
        <v>519.6705349</v>
      </c>
    </row>
    <row r="38">
      <c r="A38" s="3">
        <v>40406.0</v>
      </c>
      <c r="B38" s="2">
        <v>177.0</v>
      </c>
      <c r="C38" s="2">
        <v>1366.0</v>
      </c>
      <c r="D38" s="2">
        <v>189.0</v>
      </c>
      <c r="E38" s="2">
        <v>351.0</v>
      </c>
      <c r="F38" s="2">
        <v>664.0</v>
      </c>
      <c r="G38" s="2">
        <v>19.0</v>
      </c>
      <c r="H38" s="2">
        <v>37.0</v>
      </c>
      <c r="I38" s="2">
        <v>1025.0</v>
      </c>
      <c r="J38" s="2">
        <v>677.0</v>
      </c>
      <c r="K38" s="2">
        <v>940.0</v>
      </c>
      <c r="L38" s="4">
        <f t="shared" si="7"/>
        <v>784.6666667</v>
      </c>
      <c r="M38" s="4">
        <f t="shared" si="8"/>
        <v>581.3333333</v>
      </c>
      <c r="N38" s="4">
        <f t="shared" si="9"/>
        <v>581.3333333</v>
      </c>
      <c r="O38" s="4">
        <f t="shared" si="1"/>
        <v>1001.056909</v>
      </c>
      <c r="P38" s="4">
        <f t="shared" si="2"/>
        <v>928.4310563</v>
      </c>
      <c r="Q38" s="4">
        <f t="shared" si="3"/>
        <v>958.1647325</v>
      </c>
      <c r="V38" s="4">
        <f t="shared" si="4"/>
        <v>364.9430913</v>
      </c>
      <c r="W38" s="4">
        <f t="shared" si="5"/>
        <v>437.5689437</v>
      </c>
      <c r="X38" s="4">
        <f t="shared" si="6"/>
        <v>407.8352675</v>
      </c>
    </row>
    <row r="39">
      <c r="A39" s="3">
        <v>40413.0</v>
      </c>
      <c r="B39" s="2">
        <v>254.0</v>
      </c>
      <c r="C39" s="2">
        <v>1112.0</v>
      </c>
      <c r="D39" s="2">
        <v>1.0</v>
      </c>
      <c r="E39" s="2">
        <v>9.0</v>
      </c>
      <c r="F39" s="2">
        <v>1000.0</v>
      </c>
      <c r="G39" s="2">
        <v>27.0</v>
      </c>
      <c r="H39" s="2">
        <v>70.0</v>
      </c>
      <c r="I39" s="2">
        <v>880.0</v>
      </c>
      <c r="J39" s="2">
        <v>338.0</v>
      </c>
      <c r="K39" s="2">
        <v>450.0</v>
      </c>
      <c r="L39" s="4">
        <f t="shared" si="7"/>
        <v>1043.666667</v>
      </c>
      <c r="M39" s="4">
        <f t="shared" si="8"/>
        <v>68.33333333</v>
      </c>
      <c r="N39" s="4">
        <f t="shared" si="9"/>
        <v>68.33333333</v>
      </c>
      <c r="O39" s="4">
        <f t="shared" si="1"/>
        <v>1037.551218</v>
      </c>
      <c r="P39" s="4">
        <f t="shared" si="2"/>
        <v>1059.701739</v>
      </c>
      <c r="Q39" s="4">
        <f t="shared" si="3"/>
        <v>1162.082366</v>
      </c>
      <c r="V39" s="4">
        <f t="shared" si="4"/>
        <v>74.44878217</v>
      </c>
      <c r="W39" s="4">
        <f t="shared" si="5"/>
        <v>52.29826056</v>
      </c>
      <c r="X39" s="4">
        <f t="shared" si="6"/>
        <v>50.08236626</v>
      </c>
    </row>
    <row r="40">
      <c r="A40" s="3">
        <v>40420.0</v>
      </c>
      <c r="B40" s="2">
        <v>445.0</v>
      </c>
      <c r="C40" s="2">
        <v>867.0</v>
      </c>
      <c r="D40" s="2">
        <v>1889.0</v>
      </c>
      <c r="E40" s="2">
        <v>8.0</v>
      </c>
      <c r="F40" s="2">
        <v>963.0</v>
      </c>
      <c r="G40" s="2">
        <v>3.0</v>
      </c>
      <c r="H40" s="2">
        <v>110.0</v>
      </c>
      <c r="I40" s="2">
        <v>135.0</v>
      </c>
      <c r="J40" s="2">
        <v>652.0</v>
      </c>
      <c r="K40" s="2">
        <v>375.0</v>
      </c>
      <c r="L40" s="4">
        <f t="shared" si="7"/>
        <v>1232</v>
      </c>
      <c r="M40" s="4">
        <f t="shared" si="8"/>
        <v>-365</v>
      </c>
      <c r="N40" s="4">
        <f t="shared" si="9"/>
        <v>365</v>
      </c>
      <c r="O40" s="4">
        <f t="shared" si="1"/>
        <v>1044.996096</v>
      </c>
      <c r="P40" s="4">
        <f t="shared" si="2"/>
        <v>1075.391218</v>
      </c>
      <c r="Q40" s="4">
        <f t="shared" si="3"/>
        <v>1137.041183</v>
      </c>
      <c r="V40" s="4">
        <f t="shared" si="4"/>
        <v>177.996096</v>
      </c>
      <c r="W40" s="4">
        <f t="shared" si="5"/>
        <v>208.3912176</v>
      </c>
      <c r="X40" s="4">
        <f t="shared" si="6"/>
        <v>270.0411831</v>
      </c>
    </row>
    <row r="41">
      <c r="A41" s="3">
        <v>40427.0</v>
      </c>
      <c r="B41" s="2">
        <v>299.0</v>
      </c>
      <c r="C41" s="2">
        <v>914.0</v>
      </c>
      <c r="D41" s="2">
        <v>1313.0</v>
      </c>
      <c r="E41" s="2">
        <v>6.0</v>
      </c>
      <c r="F41" s="2">
        <v>387.0</v>
      </c>
      <c r="G41" s="2">
        <v>6.0</v>
      </c>
      <c r="H41" s="2">
        <v>68.0</v>
      </c>
      <c r="I41" s="2">
        <v>270.0</v>
      </c>
      <c r="J41" s="2">
        <v>617.0</v>
      </c>
      <c r="K41" s="2">
        <v>483.0</v>
      </c>
      <c r="L41" s="4">
        <f t="shared" si="7"/>
        <v>1115</v>
      </c>
      <c r="M41" s="4">
        <f t="shared" si="8"/>
        <v>-201</v>
      </c>
      <c r="N41" s="4">
        <f t="shared" si="9"/>
        <v>201</v>
      </c>
      <c r="O41" s="4">
        <f t="shared" si="1"/>
        <v>1027.196486</v>
      </c>
      <c r="P41" s="4">
        <f t="shared" si="2"/>
        <v>1012.873852</v>
      </c>
      <c r="Q41" s="4">
        <f t="shared" si="3"/>
        <v>1002.020592</v>
      </c>
      <c r="V41" s="4">
        <f t="shared" si="4"/>
        <v>113.1964864</v>
      </c>
      <c r="W41" s="4">
        <f t="shared" si="5"/>
        <v>98.87385233</v>
      </c>
      <c r="X41" s="4">
        <f t="shared" si="6"/>
        <v>88.02059157</v>
      </c>
    </row>
    <row r="42">
      <c r="A42" s="3">
        <v>40434.0</v>
      </c>
      <c r="B42" s="2">
        <v>370.0</v>
      </c>
      <c r="C42" s="2">
        <v>1042.0</v>
      </c>
      <c r="D42" s="2">
        <v>1118.0</v>
      </c>
      <c r="E42" s="2">
        <v>0.0</v>
      </c>
      <c r="F42" s="2">
        <v>619.0</v>
      </c>
      <c r="G42" s="2">
        <v>344.0</v>
      </c>
      <c r="H42" s="2">
        <v>38.0</v>
      </c>
      <c r="I42" s="2">
        <v>534.0</v>
      </c>
      <c r="J42" s="2">
        <v>305.0</v>
      </c>
      <c r="K42" s="2">
        <v>304.0</v>
      </c>
      <c r="L42" s="4">
        <f t="shared" si="7"/>
        <v>964.3333333</v>
      </c>
      <c r="M42" s="4">
        <f t="shared" si="8"/>
        <v>77.66666667</v>
      </c>
      <c r="N42" s="4">
        <f t="shared" si="9"/>
        <v>77.66666667</v>
      </c>
      <c r="O42" s="4">
        <f t="shared" si="1"/>
        <v>1015.876838</v>
      </c>
      <c r="P42" s="4">
        <f t="shared" si="2"/>
        <v>983.2116966</v>
      </c>
      <c r="Q42" s="4">
        <f t="shared" si="3"/>
        <v>958.0102958</v>
      </c>
      <c r="V42" s="4">
        <f t="shared" si="4"/>
        <v>26.1231622</v>
      </c>
      <c r="W42" s="4">
        <f t="shared" si="5"/>
        <v>58.78830337</v>
      </c>
      <c r="X42" s="4">
        <f t="shared" si="6"/>
        <v>83.98970422</v>
      </c>
    </row>
    <row r="43">
      <c r="A43" s="3">
        <v>40441.0</v>
      </c>
      <c r="B43" s="2">
        <v>624.0</v>
      </c>
      <c r="C43" s="2">
        <v>1085.0</v>
      </c>
      <c r="D43" s="2">
        <v>1381.0</v>
      </c>
      <c r="E43" s="2">
        <v>99.0</v>
      </c>
      <c r="F43" s="2">
        <v>1792.0</v>
      </c>
      <c r="G43" s="2">
        <v>425.0</v>
      </c>
      <c r="H43" s="2">
        <v>180.0</v>
      </c>
      <c r="I43" s="2">
        <v>1709.0</v>
      </c>
      <c r="J43" s="2">
        <v>352.0</v>
      </c>
      <c r="K43" s="2">
        <v>605.0</v>
      </c>
      <c r="L43" s="4">
        <f t="shared" si="7"/>
        <v>941</v>
      </c>
      <c r="M43" s="4">
        <f t="shared" si="8"/>
        <v>144</v>
      </c>
      <c r="N43" s="4">
        <f t="shared" si="9"/>
        <v>144</v>
      </c>
      <c r="O43" s="4">
        <f t="shared" si="1"/>
        <v>1018.489154</v>
      </c>
      <c r="P43" s="4">
        <f t="shared" si="2"/>
        <v>1000.848188</v>
      </c>
      <c r="Q43" s="4">
        <f t="shared" si="3"/>
        <v>1000.005148</v>
      </c>
      <c r="V43" s="4">
        <f t="shared" si="4"/>
        <v>66.51084598</v>
      </c>
      <c r="W43" s="4">
        <f t="shared" si="5"/>
        <v>84.15181236</v>
      </c>
      <c r="X43" s="4">
        <f t="shared" si="6"/>
        <v>84.99485211</v>
      </c>
    </row>
    <row r="44">
      <c r="A44" s="3">
        <v>40448.0</v>
      </c>
      <c r="B44" s="2">
        <v>385.0</v>
      </c>
      <c r="C44" s="2">
        <v>900.0</v>
      </c>
      <c r="D44" s="2">
        <v>1597.0</v>
      </c>
      <c r="E44" s="2">
        <v>916.0</v>
      </c>
      <c r="F44" s="2">
        <v>773.0</v>
      </c>
      <c r="G44" s="2">
        <v>495.0</v>
      </c>
      <c r="H44" s="2">
        <v>239.0</v>
      </c>
      <c r="I44" s="2">
        <v>284.0</v>
      </c>
      <c r="J44" s="2">
        <v>518.0</v>
      </c>
      <c r="K44" s="2">
        <v>358.0</v>
      </c>
      <c r="L44" s="4">
        <f t="shared" si="7"/>
        <v>1013.666667</v>
      </c>
      <c r="M44" s="4">
        <f t="shared" si="8"/>
        <v>-113.6666667</v>
      </c>
      <c r="N44" s="4">
        <f t="shared" si="9"/>
        <v>113.6666667</v>
      </c>
      <c r="O44" s="4">
        <f t="shared" si="1"/>
        <v>1025.140239</v>
      </c>
      <c r="P44" s="4">
        <f t="shared" si="2"/>
        <v>1026.093731</v>
      </c>
      <c r="Q44" s="4">
        <f t="shared" si="3"/>
        <v>1042.502574</v>
      </c>
      <c r="V44" s="4">
        <f t="shared" si="4"/>
        <v>125.1402386</v>
      </c>
      <c r="W44" s="4">
        <f t="shared" si="5"/>
        <v>126.0937313</v>
      </c>
      <c r="X44" s="4">
        <f t="shared" si="6"/>
        <v>142.5025739</v>
      </c>
    </row>
    <row r="45">
      <c r="A45" s="3">
        <v>40455.0</v>
      </c>
      <c r="B45" s="2">
        <v>507.0</v>
      </c>
      <c r="C45" s="2">
        <v>992.0</v>
      </c>
      <c r="D45" s="2">
        <v>956.0</v>
      </c>
      <c r="E45" s="2">
        <v>262.0</v>
      </c>
      <c r="F45" s="2">
        <v>753.0</v>
      </c>
      <c r="G45" s="2">
        <v>1516.0</v>
      </c>
      <c r="H45" s="2">
        <v>542.0</v>
      </c>
      <c r="I45" s="2">
        <v>919.0</v>
      </c>
      <c r="J45" s="2">
        <v>258.0</v>
      </c>
      <c r="K45" s="2">
        <v>250.0</v>
      </c>
      <c r="L45" s="4">
        <f t="shared" si="7"/>
        <v>1009</v>
      </c>
      <c r="M45" s="4">
        <f t="shared" si="8"/>
        <v>-17</v>
      </c>
      <c r="N45" s="4">
        <f t="shared" si="9"/>
        <v>17</v>
      </c>
      <c r="O45" s="4">
        <f t="shared" si="1"/>
        <v>1012.626215</v>
      </c>
      <c r="P45" s="4">
        <f t="shared" si="2"/>
        <v>988.2656119</v>
      </c>
      <c r="Q45" s="4">
        <f t="shared" si="3"/>
        <v>971.251287</v>
      </c>
      <c r="V45" s="4">
        <f t="shared" si="4"/>
        <v>20.62621476</v>
      </c>
      <c r="W45" s="4">
        <f t="shared" si="5"/>
        <v>3.734388056</v>
      </c>
      <c r="X45" s="4">
        <f t="shared" si="6"/>
        <v>20.74871303</v>
      </c>
    </row>
    <row r="46">
      <c r="A46" s="3">
        <v>40462.0</v>
      </c>
      <c r="B46" s="2">
        <v>322.0</v>
      </c>
      <c r="C46" s="2">
        <v>998.0</v>
      </c>
      <c r="D46" s="2">
        <v>1857.0</v>
      </c>
      <c r="E46" s="2">
        <v>333.0</v>
      </c>
      <c r="F46" s="2">
        <v>2277.0</v>
      </c>
      <c r="G46" s="2">
        <v>530.0</v>
      </c>
      <c r="H46" s="2">
        <v>152.0</v>
      </c>
      <c r="I46" s="2">
        <v>345.0</v>
      </c>
      <c r="J46" s="2">
        <v>917.0</v>
      </c>
      <c r="K46" s="2">
        <v>524.0</v>
      </c>
      <c r="L46" s="4">
        <f t="shared" si="7"/>
        <v>992.3333333</v>
      </c>
      <c r="M46" s="4">
        <f t="shared" si="8"/>
        <v>5.666666667</v>
      </c>
      <c r="N46" s="4">
        <f t="shared" si="9"/>
        <v>5.666666667</v>
      </c>
      <c r="O46" s="4">
        <f t="shared" si="1"/>
        <v>1010.563593</v>
      </c>
      <c r="P46" s="4">
        <f t="shared" si="2"/>
        <v>989.3859284</v>
      </c>
      <c r="Q46" s="4">
        <f t="shared" si="3"/>
        <v>981.6256435</v>
      </c>
      <c r="V46" s="4">
        <f t="shared" si="4"/>
        <v>12.56359328</v>
      </c>
      <c r="W46" s="4">
        <f t="shared" si="5"/>
        <v>8.614071639</v>
      </c>
      <c r="X46" s="4">
        <f t="shared" si="6"/>
        <v>16.37435651</v>
      </c>
    </row>
    <row r="47">
      <c r="A47" s="3">
        <v>40469.0</v>
      </c>
      <c r="B47" s="2">
        <v>386.0</v>
      </c>
      <c r="C47" s="2">
        <v>792.0</v>
      </c>
      <c r="D47" s="2">
        <v>783.0</v>
      </c>
      <c r="E47" s="2">
        <v>167.0</v>
      </c>
      <c r="F47" s="2">
        <v>1736.0</v>
      </c>
      <c r="G47" s="2">
        <v>406.0</v>
      </c>
      <c r="H47" s="2">
        <v>228.0</v>
      </c>
      <c r="I47" s="2">
        <v>1239.0</v>
      </c>
      <c r="J47" s="2">
        <v>144.0</v>
      </c>
      <c r="K47" s="2">
        <v>141.0</v>
      </c>
      <c r="L47" s="4">
        <f t="shared" si="7"/>
        <v>963.3333333</v>
      </c>
      <c r="M47" s="4">
        <f t="shared" si="8"/>
        <v>-171.3333333</v>
      </c>
      <c r="N47" s="4">
        <f t="shared" si="9"/>
        <v>171.3333333</v>
      </c>
      <c r="O47" s="4">
        <f t="shared" si="1"/>
        <v>1009.307234</v>
      </c>
      <c r="P47" s="4">
        <f t="shared" si="2"/>
        <v>991.9701499</v>
      </c>
      <c r="Q47" s="4">
        <f t="shared" si="3"/>
        <v>989.8128217</v>
      </c>
      <c r="V47" s="4">
        <f t="shared" si="4"/>
        <v>217.307234</v>
      </c>
      <c r="W47" s="4">
        <f t="shared" si="5"/>
        <v>199.9701499</v>
      </c>
      <c r="X47" s="4">
        <f t="shared" si="6"/>
        <v>197.8128217</v>
      </c>
    </row>
    <row r="48">
      <c r="A48" s="3">
        <v>40476.0</v>
      </c>
      <c r="B48" s="2">
        <v>638.0</v>
      </c>
      <c r="C48" s="2">
        <v>1142.0</v>
      </c>
      <c r="D48" s="2">
        <v>515.0</v>
      </c>
      <c r="E48" s="2">
        <v>155.0</v>
      </c>
      <c r="F48" s="2">
        <v>1039.0</v>
      </c>
      <c r="G48" s="2">
        <v>469.0</v>
      </c>
      <c r="H48" s="2">
        <v>175.0</v>
      </c>
      <c r="I48" s="2">
        <v>2582.0</v>
      </c>
      <c r="J48" s="2">
        <v>137.0</v>
      </c>
      <c r="K48" s="2">
        <v>276.0</v>
      </c>
      <c r="L48" s="4">
        <f t="shared" si="7"/>
        <v>927.3333333</v>
      </c>
      <c r="M48" s="4">
        <f t="shared" si="8"/>
        <v>214.6666667</v>
      </c>
      <c r="N48" s="4">
        <f t="shared" si="9"/>
        <v>214.6666667</v>
      </c>
      <c r="O48" s="4">
        <f t="shared" si="1"/>
        <v>987.5765106</v>
      </c>
      <c r="P48" s="4">
        <f t="shared" si="2"/>
        <v>931.9791049</v>
      </c>
      <c r="Q48" s="4">
        <f t="shared" si="3"/>
        <v>890.9064109</v>
      </c>
      <c r="V48" s="4">
        <f t="shared" si="4"/>
        <v>154.4234894</v>
      </c>
      <c r="W48" s="4">
        <f t="shared" si="5"/>
        <v>210.0208951</v>
      </c>
      <c r="X48" s="4">
        <f t="shared" si="6"/>
        <v>251.0935891</v>
      </c>
    </row>
    <row r="49">
      <c r="A49" s="3">
        <v>40483.0</v>
      </c>
      <c r="B49" s="2">
        <v>227.0</v>
      </c>
      <c r="C49" s="2">
        <v>1366.0</v>
      </c>
      <c r="D49" s="2">
        <v>793.0</v>
      </c>
      <c r="E49" s="2">
        <v>58.0</v>
      </c>
      <c r="F49" s="2">
        <v>992.0</v>
      </c>
      <c r="G49" s="2">
        <v>1549.0</v>
      </c>
      <c r="H49" s="2">
        <v>123.0</v>
      </c>
      <c r="I49" s="2">
        <v>926.0</v>
      </c>
      <c r="J49" s="2">
        <v>347.0</v>
      </c>
      <c r="K49" s="2">
        <v>530.0</v>
      </c>
      <c r="L49" s="4">
        <f t="shared" si="7"/>
        <v>977.3333333</v>
      </c>
      <c r="M49" s="4">
        <f t="shared" si="8"/>
        <v>388.6666667</v>
      </c>
      <c r="N49" s="4">
        <f t="shared" si="9"/>
        <v>388.6666667</v>
      </c>
      <c r="O49" s="4">
        <f t="shared" si="1"/>
        <v>1003.01886</v>
      </c>
      <c r="P49" s="4">
        <f t="shared" si="2"/>
        <v>994.9853734</v>
      </c>
      <c r="Q49" s="4">
        <f t="shared" si="3"/>
        <v>1016.453205</v>
      </c>
      <c r="V49" s="4">
        <f t="shared" si="4"/>
        <v>362.9811405</v>
      </c>
      <c r="W49" s="4">
        <f t="shared" si="5"/>
        <v>371.0146266</v>
      </c>
      <c r="X49" s="4">
        <f t="shared" si="6"/>
        <v>349.5467946</v>
      </c>
    </row>
    <row r="50">
      <c r="A50" s="3">
        <v>40490.0</v>
      </c>
      <c r="B50" s="2">
        <v>570.0</v>
      </c>
      <c r="C50" s="2">
        <v>1609.0</v>
      </c>
      <c r="D50" s="2">
        <v>2127.0</v>
      </c>
      <c r="E50" s="2">
        <v>98.0</v>
      </c>
      <c r="F50" s="2">
        <v>5584.0</v>
      </c>
      <c r="G50" s="2">
        <v>1675.0</v>
      </c>
      <c r="H50" s="2">
        <v>517.0</v>
      </c>
      <c r="I50" s="2">
        <v>4115.0</v>
      </c>
      <c r="J50" s="2">
        <v>659.0</v>
      </c>
      <c r="K50" s="2">
        <v>264.0</v>
      </c>
      <c r="L50" s="4">
        <f t="shared" si="7"/>
        <v>1100</v>
      </c>
      <c r="M50" s="4">
        <f t="shared" si="8"/>
        <v>509</v>
      </c>
      <c r="N50" s="4">
        <f t="shared" si="9"/>
        <v>509</v>
      </c>
      <c r="O50" s="4">
        <f t="shared" si="1"/>
        <v>1039.316974</v>
      </c>
      <c r="P50" s="4">
        <f t="shared" si="2"/>
        <v>1106.289761</v>
      </c>
      <c r="Q50" s="4">
        <f t="shared" si="3"/>
        <v>1191.226603</v>
      </c>
      <c r="V50" s="4">
        <f t="shared" si="4"/>
        <v>569.6830264</v>
      </c>
      <c r="W50" s="4">
        <f t="shared" si="5"/>
        <v>502.7102386</v>
      </c>
      <c r="X50" s="4">
        <f t="shared" si="6"/>
        <v>417.7733973</v>
      </c>
    </row>
    <row r="51">
      <c r="A51" s="3">
        <v>40497.0</v>
      </c>
      <c r="B51" s="2">
        <v>461.0</v>
      </c>
      <c r="C51" s="2">
        <v>861.0</v>
      </c>
      <c r="D51" s="2">
        <v>1215.0</v>
      </c>
      <c r="E51" s="2">
        <v>286.0</v>
      </c>
      <c r="F51" s="2">
        <v>1263.0</v>
      </c>
      <c r="G51" s="2">
        <v>1791.0</v>
      </c>
      <c r="H51" s="2">
        <v>304.0</v>
      </c>
      <c r="I51" s="2">
        <v>1746.0</v>
      </c>
      <c r="J51" s="2">
        <v>699.0</v>
      </c>
      <c r="K51" s="2">
        <v>669.0</v>
      </c>
      <c r="L51" s="4">
        <f t="shared" si="7"/>
        <v>1372.333333</v>
      </c>
      <c r="M51" s="4">
        <f t="shared" si="8"/>
        <v>-511.3333333</v>
      </c>
      <c r="N51" s="4">
        <f t="shared" si="9"/>
        <v>511.3333333</v>
      </c>
      <c r="O51" s="4">
        <f t="shared" si="1"/>
        <v>1096.285276</v>
      </c>
      <c r="P51" s="4">
        <f t="shared" si="2"/>
        <v>1257.102833</v>
      </c>
      <c r="Q51" s="4">
        <f t="shared" si="3"/>
        <v>1400.113301</v>
      </c>
      <c r="V51" s="4">
        <f t="shared" si="4"/>
        <v>235.2852762</v>
      </c>
      <c r="W51" s="4">
        <f t="shared" si="5"/>
        <v>396.102833</v>
      </c>
      <c r="X51" s="4">
        <f t="shared" si="6"/>
        <v>539.1133014</v>
      </c>
    </row>
    <row r="52">
      <c r="A52" s="3">
        <v>40504.0</v>
      </c>
      <c r="B52" s="2">
        <v>493.0</v>
      </c>
      <c r="C52" s="2">
        <v>2019.0</v>
      </c>
      <c r="D52" s="2">
        <v>1223.0</v>
      </c>
      <c r="E52" s="2">
        <v>67.0</v>
      </c>
      <c r="F52" s="2">
        <v>787.0</v>
      </c>
      <c r="G52" s="2">
        <v>1716.0</v>
      </c>
      <c r="H52" s="2">
        <v>343.0</v>
      </c>
      <c r="I52" s="2">
        <v>2207.0</v>
      </c>
      <c r="J52" s="2">
        <v>273.0</v>
      </c>
      <c r="K52" s="2">
        <v>327.0</v>
      </c>
      <c r="L52" s="4">
        <f t="shared" si="7"/>
        <v>1278.666667</v>
      </c>
      <c r="M52" s="4">
        <f t="shared" si="8"/>
        <v>740.3333333</v>
      </c>
      <c r="N52" s="4">
        <f t="shared" si="9"/>
        <v>740.3333333</v>
      </c>
      <c r="O52" s="4">
        <f t="shared" si="1"/>
        <v>1072.756749</v>
      </c>
      <c r="P52" s="4">
        <f t="shared" si="2"/>
        <v>1138.271983</v>
      </c>
      <c r="Q52" s="4">
        <f t="shared" si="3"/>
        <v>1130.556651</v>
      </c>
      <c r="V52" s="4">
        <f t="shared" si="4"/>
        <v>946.2432514</v>
      </c>
      <c r="W52" s="4">
        <f t="shared" si="5"/>
        <v>880.7280169</v>
      </c>
      <c r="X52" s="4">
        <f t="shared" si="6"/>
        <v>888.4433493</v>
      </c>
    </row>
    <row r="53">
      <c r="A53" s="3">
        <v>40511.0</v>
      </c>
      <c r="B53" s="2">
        <v>928.0</v>
      </c>
      <c r="C53" s="2">
        <v>1573.0</v>
      </c>
      <c r="D53" s="2">
        <v>1767.0</v>
      </c>
      <c r="E53" s="2">
        <v>69.0</v>
      </c>
      <c r="F53" s="2">
        <v>1192.0</v>
      </c>
      <c r="G53" s="2">
        <v>1149.0</v>
      </c>
      <c r="H53" s="2">
        <v>848.0</v>
      </c>
      <c r="I53" s="2">
        <v>683.0</v>
      </c>
      <c r="J53" s="2">
        <v>262.0</v>
      </c>
      <c r="K53" s="2">
        <v>293.0</v>
      </c>
      <c r="L53" s="4">
        <f t="shared" si="7"/>
        <v>1496.333333</v>
      </c>
      <c r="M53" s="4">
        <f t="shared" si="8"/>
        <v>76.66666667</v>
      </c>
      <c r="N53" s="4">
        <f t="shared" si="9"/>
        <v>76.66666667</v>
      </c>
      <c r="O53" s="4">
        <f t="shared" si="1"/>
        <v>1167.381074</v>
      </c>
      <c r="P53" s="4">
        <f t="shared" si="2"/>
        <v>1402.490388</v>
      </c>
      <c r="Q53" s="4">
        <f t="shared" si="3"/>
        <v>1574.778325</v>
      </c>
      <c r="V53" s="4">
        <f t="shared" si="4"/>
        <v>405.6189263</v>
      </c>
      <c r="W53" s="4">
        <f t="shared" si="5"/>
        <v>170.5096118</v>
      </c>
      <c r="X53" s="4">
        <f t="shared" si="6"/>
        <v>1.77832534</v>
      </c>
    </row>
    <row r="54">
      <c r="A54" s="3">
        <v>40518.0</v>
      </c>
      <c r="B54" s="2">
        <v>850.0</v>
      </c>
      <c r="C54" s="2">
        <v>1045.0</v>
      </c>
      <c r="D54" s="2">
        <v>852.0</v>
      </c>
      <c r="E54" s="2">
        <v>165.0</v>
      </c>
      <c r="F54" s="2">
        <v>789.0</v>
      </c>
      <c r="G54" s="2">
        <v>1054.0</v>
      </c>
      <c r="H54" s="2">
        <v>337.0</v>
      </c>
      <c r="I54" s="2">
        <v>1012.0</v>
      </c>
      <c r="J54" s="2">
        <v>270.0</v>
      </c>
      <c r="K54" s="2">
        <v>283.0</v>
      </c>
      <c r="L54" s="4">
        <f t="shared" si="7"/>
        <v>1484.333333</v>
      </c>
      <c r="M54" s="4">
        <f t="shared" si="8"/>
        <v>-439.3333333</v>
      </c>
      <c r="N54" s="4">
        <f t="shared" si="9"/>
        <v>439.3333333</v>
      </c>
      <c r="O54" s="4">
        <f t="shared" si="1"/>
        <v>1207.942966</v>
      </c>
      <c r="P54" s="4">
        <f t="shared" si="2"/>
        <v>1453.643272</v>
      </c>
      <c r="Q54" s="4">
        <f t="shared" si="3"/>
        <v>1573.889163</v>
      </c>
      <c r="V54" s="4">
        <f t="shared" si="4"/>
        <v>162.9429663</v>
      </c>
      <c r="W54" s="4">
        <f t="shared" si="5"/>
        <v>408.6432717</v>
      </c>
      <c r="X54" s="4">
        <f t="shared" si="6"/>
        <v>528.8891627</v>
      </c>
    </row>
    <row r="55">
      <c r="A55" s="3">
        <v>40525.0</v>
      </c>
      <c r="B55" s="2">
        <v>434.0</v>
      </c>
      <c r="C55" s="2">
        <v>1000.0</v>
      </c>
      <c r="D55" s="2">
        <v>417.0</v>
      </c>
      <c r="E55" s="2">
        <v>29.0</v>
      </c>
      <c r="F55" s="2">
        <v>638.0</v>
      </c>
      <c r="G55" s="2">
        <v>597.0</v>
      </c>
      <c r="H55" s="2">
        <v>589.0</v>
      </c>
      <c r="I55" s="2">
        <v>981.0</v>
      </c>
      <c r="J55" s="2">
        <v>107.0</v>
      </c>
      <c r="K55" s="2">
        <v>187.0</v>
      </c>
      <c r="L55" s="4">
        <f t="shared" si="7"/>
        <v>1545.666667</v>
      </c>
      <c r="M55" s="4">
        <f t="shared" si="8"/>
        <v>-545.6666667</v>
      </c>
      <c r="N55" s="4">
        <f t="shared" si="9"/>
        <v>545.6666667</v>
      </c>
      <c r="O55" s="4">
        <f t="shared" si="1"/>
        <v>1191.64867</v>
      </c>
      <c r="P55" s="4">
        <f t="shared" si="2"/>
        <v>1331.05029</v>
      </c>
      <c r="Q55" s="4">
        <f t="shared" si="3"/>
        <v>1309.444581</v>
      </c>
      <c r="V55" s="4">
        <f t="shared" si="4"/>
        <v>191.6486697</v>
      </c>
      <c r="W55" s="4">
        <f t="shared" si="5"/>
        <v>331.0502902</v>
      </c>
      <c r="X55" s="4">
        <f t="shared" si="6"/>
        <v>309.4445813</v>
      </c>
    </row>
    <row r="56">
      <c r="A56" s="3">
        <v>40532.0</v>
      </c>
      <c r="B56" s="2">
        <v>177.0</v>
      </c>
      <c r="C56" s="2">
        <v>197.0</v>
      </c>
      <c r="D56" s="2">
        <v>180.0</v>
      </c>
      <c r="E56" s="2">
        <v>23.0</v>
      </c>
      <c r="F56" s="2">
        <v>40.0</v>
      </c>
      <c r="G56" s="2">
        <v>125.0</v>
      </c>
      <c r="H56" s="2">
        <v>60.0</v>
      </c>
      <c r="I56" s="2">
        <v>252.0</v>
      </c>
      <c r="J56" s="2">
        <v>9.0</v>
      </c>
      <c r="K56" s="2">
        <v>44.0</v>
      </c>
      <c r="L56" s="4">
        <f t="shared" si="7"/>
        <v>1206</v>
      </c>
      <c r="M56" s="4">
        <f t="shared" si="8"/>
        <v>-1009</v>
      </c>
      <c r="N56" s="4">
        <f t="shared" si="9"/>
        <v>1009</v>
      </c>
      <c r="O56" s="4">
        <f t="shared" si="1"/>
        <v>1172.483803</v>
      </c>
      <c r="P56" s="4">
        <f t="shared" si="2"/>
        <v>1231.735203</v>
      </c>
      <c r="Q56" s="4">
        <f t="shared" si="3"/>
        <v>1154.722291</v>
      </c>
      <c r="V56" s="4">
        <f t="shared" si="4"/>
        <v>975.4838027</v>
      </c>
      <c r="W56" s="4">
        <f t="shared" si="5"/>
        <v>1034.735203</v>
      </c>
      <c r="X56" s="4">
        <f t="shared" si="6"/>
        <v>957.7222907</v>
      </c>
    </row>
    <row r="57">
      <c r="A57" s="3">
        <v>40539.0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f t="shared" si="7"/>
        <v>747.3333333</v>
      </c>
      <c r="M57" s="4">
        <f t="shared" si="8"/>
        <v>-747.3333333</v>
      </c>
      <c r="N57" s="4">
        <f t="shared" si="9"/>
        <v>747.3333333</v>
      </c>
      <c r="O57" s="4">
        <f t="shared" si="1"/>
        <v>1074.935422</v>
      </c>
      <c r="P57" s="4">
        <f t="shared" si="2"/>
        <v>921.3146422</v>
      </c>
      <c r="Q57" s="4">
        <f t="shared" si="3"/>
        <v>675.8611453</v>
      </c>
      <c r="V57" s="4">
        <f t="shared" si="4"/>
        <v>1074.935422</v>
      </c>
      <c r="W57" s="4">
        <f t="shared" si="5"/>
        <v>921.3146422</v>
      </c>
      <c r="X57" s="4">
        <f t="shared" si="6"/>
        <v>675.8611453</v>
      </c>
    </row>
    <row r="58">
      <c r="A58" s="3">
        <v>40546.0</v>
      </c>
      <c r="B58" s="2">
        <v>251.0</v>
      </c>
      <c r="C58" s="2">
        <v>973.0</v>
      </c>
      <c r="D58" s="2">
        <v>1274.0</v>
      </c>
      <c r="E58" s="2">
        <v>145.0</v>
      </c>
      <c r="F58" s="2">
        <v>480.0</v>
      </c>
      <c r="G58" s="2">
        <v>16.0</v>
      </c>
      <c r="H58" s="2">
        <v>861.0</v>
      </c>
      <c r="I58" s="2">
        <v>797.0</v>
      </c>
      <c r="J58" s="2">
        <v>523.0</v>
      </c>
      <c r="K58" s="2">
        <v>362.0</v>
      </c>
      <c r="L58" s="4">
        <f t="shared" si="7"/>
        <v>399</v>
      </c>
      <c r="M58" s="4">
        <f t="shared" si="8"/>
        <v>574</v>
      </c>
      <c r="N58" s="4">
        <f t="shared" si="9"/>
        <v>574</v>
      </c>
      <c r="O58" s="4">
        <f t="shared" si="1"/>
        <v>967.4418802</v>
      </c>
      <c r="P58" s="4">
        <f t="shared" si="2"/>
        <v>644.9202495</v>
      </c>
      <c r="Q58" s="4">
        <f t="shared" si="3"/>
        <v>337.9305727</v>
      </c>
      <c r="V58" s="4">
        <f t="shared" si="4"/>
        <v>5.55811978</v>
      </c>
      <c r="W58" s="4">
        <f t="shared" si="5"/>
        <v>328.0797505</v>
      </c>
      <c r="X58" s="4">
        <f t="shared" si="6"/>
        <v>635.0694273</v>
      </c>
    </row>
    <row r="59">
      <c r="A59" s="3">
        <v>40553.0</v>
      </c>
      <c r="B59" s="2">
        <v>404.0</v>
      </c>
      <c r="C59" s="2">
        <v>1399.0</v>
      </c>
      <c r="D59" s="2">
        <v>225.0</v>
      </c>
      <c r="E59" s="2">
        <v>85.0</v>
      </c>
      <c r="F59" s="2">
        <v>442.0</v>
      </c>
      <c r="G59" s="2">
        <v>6.0</v>
      </c>
      <c r="H59" s="2">
        <v>175.0</v>
      </c>
      <c r="I59" s="2">
        <v>344.0</v>
      </c>
      <c r="J59" s="2">
        <v>323.0</v>
      </c>
      <c r="K59" s="2">
        <v>642.0</v>
      </c>
      <c r="L59" s="4">
        <f t="shared" si="7"/>
        <v>390</v>
      </c>
      <c r="M59" s="4">
        <f t="shared" si="8"/>
        <v>1009</v>
      </c>
      <c r="N59" s="4">
        <f t="shared" si="9"/>
        <v>1009</v>
      </c>
      <c r="O59" s="4">
        <f t="shared" si="1"/>
        <v>967.9976922</v>
      </c>
      <c r="P59" s="4">
        <f t="shared" si="2"/>
        <v>743.3441747</v>
      </c>
      <c r="Q59" s="4">
        <f t="shared" si="3"/>
        <v>655.4652863</v>
      </c>
      <c r="V59" s="4">
        <f t="shared" si="4"/>
        <v>431.0023078</v>
      </c>
      <c r="W59" s="4">
        <f t="shared" si="5"/>
        <v>655.6558253</v>
      </c>
      <c r="X59" s="4">
        <f t="shared" si="6"/>
        <v>743.5347137</v>
      </c>
    </row>
    <row r="60">
      <c r="A60" s="3">
        <v>40560.0</v>
      </c>
      <c r="B60" s="2">
        <v>138.0</v>
      </c>
      <c r="C60" s="2">
        <v>661.0</v>
      </c>
      <c r="D60" s="2">
        <v>594.0</v>
      </c>
      <c r="E60" s="2">
        <v>69.0</v>
      </c>
      <c r="F60" s="2">
        <v>139.0</v>
      </c>
      <c r="G60" s="2">
        <v>2.0</v>
      </c>
      <c r="H60" s="2">
        <v>165.0</v>
      </c>
      <c r="I60" s="2">
        <v>261.0</v>
      </c>
      <c r="J60" s="2">
        <v>73.0</v>
      </c>
      <c r="K60" s="2">
        <v>128.0</v>
      </c>
      <c r="L60" s="4">
        <f t="shared" si="7"/>
        <v>790.6666667</v>
      </c>
      <c r="M60" s="4">
        <f t="shared" si="8"/>
        <v>-129.6666667</v>
      </c>
      <c r="N60" s="4">
        <f t="shared" si="9"/>
        <v>129.6666667</v>
      </c>
      <c r="O60" s="4">
        <f t="shared" si="1"/>
        <v>1011.097923</v>
      </c>
      <c r="P60" s="4">
        <f t="shared" si="2"/>
        <v>940.0409223</v>
      </c>
      <c r="Q60" s="4">
        <f t="shared" si="3"/>
        <v>1027.232643</v>
      </c>
      <c r="V60" s="4">
        <f t="shared" si="4"/>
        <v>350.097923</v>
      </c>
      <c r="W60" s="4">
        <f t="shared" si="5"/>
        <v>279.0409223</v>
      </c>
      <c r="X60" s="4">
        <f t="shared" si="6"/>
        <v>366.2326432</v>
      </c>
    </row>
    <row r="61">
      <c r="A61" s="3">
        <v>40567.0</v>
      </c>
      <c r="B61" s="2">
        <v>228.0</v>
      </c>
      <c r="C61" s="2">
        <v>541.0</v>
      </c>
      <c r="D61" s="2">
        <v>502.0</v>
      </c>
      <c r="E61" s="2">
        <v>171.0</v>
      </c>
      <c r="F61" s="2">
        <v>344.0</v>
      </c>
      <c r="G61" s="2">
        <v>0.0</v>
      </c>
      <c r="H61" s="2">
        <v>105.0</v>
      </c>
      <c r="I61" s="2">
        <v>351.0</v>
      </c>
      <c r="J61" s="2">
        <v>199.0</v>
      </c>
      <c r="K61" s="2">
        <v>171.0</v>
      </c>
      <c r="L61" s="4">
        <f t="shared" si="7"/>
        <v>1011</v>
      </c>
      <c r="M61" s="4">
        <f t="shared" si="8"/>
        <v>-470</v>
      </c>
      <c r="N61" s="4">
        <f t="shared" si="9"/>
        <v>470</v>
      </c>
      <c r="O61" s="4">
        <f t="shared" si="1"/>
        <v>976.0881307</v>
      </c>
      <c r="P61" s="4">
        <f t="shared" si="2"/>
        <v>856.3286456</v>
      </c>
      <c r="Q61" s="4">
        <f t="shared" si="3"/>
        <v>844.1163216</v>
      </c>
      <c r="V61" s="4">
        <f t="shared" si="4"/>
        <v>435.0881307</v>
      </c>
      <c r="W61" s="4">
        <f t="shared" si="5"/>
        <v>315.3286456</v>
      </c>
      <c r="X61" s="4">
        <f t="shared" si="6"/>
        <v>303.1163216</v>
      </c>
    </row>
    <row r="62">
      <c r="A62" s="3">
        <v>40574.0</v>
      </c>
      <c r="B62" s="2">
        <v>149.0</v>
      </c>
      <c r="C62" s="2">
        <v>586.0</v>
      </c>
      <c r="D62" s="2">
        <v>965.0</v>
      </c>
      <c r="E62" s="2">
        <v>232.0</v>
      </c>
      <c r="F62" s="2">
        <v>937.0</v>
      </c>
      <c r="G62" s="2">
        <v>0.0</v>
      </c>
      <c r="H62" s="2">
        <v>99.0</v>
      </c>
      <c r="I62" s="2">
        <v>107.0</v>
      </c>
      <c r="J62" s="2">
        <v>225.0</v>
      </c>
      <c r="K62" s="2">
        <v>417.0</v>
      </c>
      <c r="L62" s="4">
        <f t="shared" si="7"/>
        <v>867</v>
      </c>
      <c r="M62" s="4">
        <f t="shared" si="8"/>
        <v>-281</v>
      </c>
      <c r="N62" s="4">
        <f t="shared" si="9"/>
        <v>281</v>
      </c>
      <c r="O62" s="4">
        <f t="shared" si="1"/>
        <v>932.5793176</v>
      </c>
      <c r="P62" s="4">
        <f t="shared" si="2"/>
        <v>761.7300519</v>
      </c>
      <c r="Q62" s="4">
        <f t="shared" si="3"/>
        <v>692.5581608</v>
      </c>
      <c r="V62" s="4">
        <f t="shared" si="4"/>
        <v>346.5793176</v>
      </c>
      <c r="W62" s="4">
        <f t="shared" si="5"/>
        <v>175.7300519</v>
      </c>
      <c r="X62" s="4">
        <f t="shared" si="6"/>
        <v>106.5581608</v>
      </c>
    </row>
    <row r="63">
      <c r="A63" s="3">
        <v>40581.0</v>
      </c>
      <c r="B63" s="2">
        <v>137.0</v>
      </c>
      <c r="C63" s="2">
        <v>509.0</v>
      </c>
      <c r="D63" s="2">
        <v>288.0</v>
      </c>
      <c r="E63" s="2">
        <v>291.0</v>
      </c>
      <c r="F63" s="2">
        <v>160.0</v>
      </c>
      <c r="G63" s="2">
        <v>0.0</v>
      </c>
      <c r="H63" s="2">
        <v>192.0</v>
      </c>
      <c r="I63" s="2">
        <v>239.0</v>
      </c>
      <c r="J63" s="2">
        <v>95.0</v>
      </c>
      <c r="K63" s="2">
        <v>255.0</v>
      </c>
      <c r="L63" s="4">
        <f t="shared" si="7"/>
        <v>596</v>
      </c>
      <c r="M63" s="4">
        <f t="shared" si="8"/>
        <v>-87</v>
      </c>
      <c r="N63" s="4">
        <f t="shared" si="9"/>
        <v>87</v>
      </c>
      <c r="O63" s="4">
        <f t="shared" si="1"/>
        <v>897.9213859</v>
      </c>
      <c r="P63" s="4">
        <f t="shared" si="2"/>
        <v>709.0110363</v>
      </c>
      <c r="Q63" s="4">
        <f t="shared" si="3"/>
        <v>639.2790804</v>
      </c>
      <c r="V63" s="4">
        <f t="shared" si="4"/>
        <v>388.9213859</v>
      </c>
      <c r="W63" s="4">
        <f t="shared" si="5"/>
        <v>200.0110363</v>
      </c>
      <c r="X63" s="4">
        <f t="shared" si="6"/>
        <v>130.2790804</v>
      </c>
    </row>
    <row r="64">
      <c r="A64" s="3">
        <v>40588.0</v>
      </c>
      <c r="B64" s="2">
        <v>399.0</v>
      </c>
      <c r="C64" s="2">
        <v>365.0</v>
      </c>
      <c r="D64" s="2">
        <v>985.0</v>
      </c>
      <c r="E64" s="2">
        <v>189.0</v>
      </c>
      <c r="F64" s="2">
        <v>588.0</v>
      </c>
      <c r="G64" s="2">
        <v>2.0</v>
      </c>
      <c r="H64" s="2">
        <v>305.0</v>
      </c>
      <c r="I64" s="2">
        <v>1040.0</v>
      </c>
      <c r="J64" s="2">
        <v>409.0</v>
      </c>
      <c r="K64" s="2">
        <v>291.0</v>
      </c>
      <c r="L64" s="4">
        <f t="shared" si="7"/>
        <v>545.3333333</v>
      </c>
      <c r="M64" s="4">
        <f t="shared" si="8"/>
        <v>-180.3333333</v>
      </c>
      <c r="N64" s="4">
        <f t="shared" si="9"/>
        <v>180.3333333</v>
      </c>
      <c r="O64" s="4">
        <f t="shared" si="1"/>
        <v>859.0292473</v>
      </c>
      <c r="P64" s="4">
        <f t="shared" si="2"/>
        <v>649.0077254</v>
      </c>
      <c r="Q64" s="4">
        <f t="shared" si="3"/>
        <v>574.1395402</v>
      </c>
      <c r="V64" s="4">
        <f t="shared" si="4"/>
        <v>494.0292473</v>
      </c>
      <c r="W64" s="4">
        <f t="shared" si="5"/>
        <v>284.0077254</v>
      </c>
      <c r="X64" s="4">
        <f t="shared" si="6"/>
        <v>209.1395402</v>
      </c>
    </row>
    <row r="65">
      <c r="A65" s="3">
        <v>40595.0</v>
      </c>
      <c r="B65" s="2">
        <v>203.0</v>
      </c>
      <c r="C65" s="2">
        <v>401.0</v>
      </c>
      <c r="D65" s="2">
        <v>810.0</v>
      </c>
      <c r="E65" s="2">
        <v>157.0</v>
      </c>
      <c r="F65" s="2">
        <v>328.0</v>
      </c>
      <c r="G65" s="2">
        <v>2.0</v>
      </c>
      <c r="H65" s="2">
        <v>75.0</v>
      </c>
      <c r="I65" s="2">
        <v>1312.0</v>
      </c>
      <c r="J65" s="2">
        <v>260.0</v>
      </c>
      <c r="K65" s="2">
        <v>369.0</v>
      </c>
      <c r="L65" s="4">
        <f t="shared" si="7"/>
        <v>486.6666667</v>
      </c>
      <c r="M65" s="4">
        <f t="shared" si="8"/>
        <v>-85.66666667</v>
      </c>
      <c r="N65" s="4">
        <f t="shared" si="9"/>
        <v>85.66666667</v>
      </c>
      <c r="O65" s="4">
        <f t="shared" si="1"/>
        <v>809.6263225</v>
      </c>
      <c r="P65" s="4">
        <f t="shared" si="2"/>
        <v>563.8054078</v>
      </c>
      <c r="Q65" s="4">
        <f t="shared" si="3"/>
        <v>469.5697701</v>
      </c>
      <c r="V65" s="4">
        <f t="shared" si="4"/>
        <v>408.6263225</v>
      </c>
      <c r="W65" s="4">
        <f t="shared" si="5"/>
        <v>162.8054078</v>
      </c>
      <c r="X65" s="4">
        <f t="shared" si="6"/>
        <v>68.5697701</v>
      </c>
    </row>
    <row r="66">
      <c r="A66" s="3">
        <v>40602.0</v>
      </c>
      <c r="B66" s="2">
        <v>348.0</v>
      </c>
      <c r="C66" s="2">
        <v>380.0</v>
      </c>
      <c r="D66" s="2">
        <v>624.0</v>
      </c>
      <c r="E66" s="2">
        <v>255.0</v>
      </c>
      <c r="F66" s="2">
        <v>213.0</v>
      </c>
      <c r="G66" s="2">
        <v>45.0</v>
      </c>
      <c r="H66" s="2">
        <v>39.0</v>
      </c>
      <c r="I66" s="2">
        <v>370.0</v>
      </c>
      <c r="J66" s="2">
        <v>174.0</v>
      </c>
      <c r="K66" s="2">
        <v>175.0</v>
      </c>
      <c r="L66" s="4">
        <f t="shared" si="7"/>
        <v>425</v>
      </c>
      <c r="M66" s="4">
        <f t="shared" si="8"/>
        <v>-45</v>
      </c>
      <c r="N66" s="4">
        <f t="shared" si="9"/>
        <v>45</v>
      </c>
      <c r="O66" s="4">
        <f t="shared" si="1"/>
        <v>768.7636903</v>
      </c>
      <c r="P66" s="4">
        <f t="shared" si="2"/>
        <v>514.9637855</v>
      </c>
      <c r="Q66" s="4">
        <f t="shared" si="3"/>
        <v>435.284885</v>
      </c>
      <c r="V66" s="4">
        <f t="shared" si="4"/>
        <v>388.7636903</v>
      </c>
      <c r="W66" s="4">
        <f t="shared" si="5"/>
        <v>134.9637855</v>
      </c>
      <c r="X66" s="4">
        <f t="shared" si="6"/>
        <v>55.28488505</v>
      </c>
    </row>
    <row r="67">
      <c r="A67" s="3">
        <v>40609.0</v>
      </c>
      <c r="B67" s="2">
        <v>190.0</v>
      </c>
      <c r="C67" s="2">
        <v>454.0</v>
      </c>
      <c r="D67" s="2">
        <v>738.0</v>
      </c>
      <c r="E67" s="2">
        <v>205.0</v>
      </c>
      <c r="F67" s="2">
        <v>642.0</v>
      </c>
      <c r="G67" s="2">
        <v>1.0</v>
      </c>
      <c r="H67" s="2">
        <v>270.0</v>
      </c>
      <c r="I67" s="2">
        <v>779.0</v>
      </c>
      <c r="J67" s="2">
        <v>374.0</v>
      </c>
      <c r="K67" s="2">
        <v>148.0</v>
      </c>
      <c r="L67" s="4">
        <f t="shared" si="7"/>
        <v>382</v>
      </c>
      <c r="M67" s="4">
        <f t="shared" si="8"/>
        <v>72</v>
      </c>
      <c r="N67" s="4">
        <f t="shared" si="9"/>
        <v>72</v>
      </c>
      <c r="O67" s="4">
        <f t="shared" si="1"/>
        <v>729.8873213</v>
      </c>
      <c r="P67" s="4">
        <f t="shared" si="2"/>
        <v>474.4746498</v>
      </c>
      <c r="Q67" s="4">
        <f t="shared" si="3"/>
        <v>407.6424425</v>
      </c>
      <c r="V67" s="4">
        <f t="shared" si="4"/>
        <v>275.8873213</v>
      </c>
      <c r="W67" s="4">
        <f t="shared" si="5"/>
        <v>20.47464983</v>
      </c>
      <c r="X67" s="4">
        <f t="shared" si="6"/>
        <v>46.35755748</v>
      </c>
    </row>
    <row r="68">
      <c r="A68" s="3">
        <v>40616.0</v>
      </c>
      <c r="B68" s="2">
        <v>308.0</v>
      </c>
      <c r="C68" s="2">
        <v>464.0</v>
      </c>
      <c r="D68" s="2">
        <v>1546.0</v>
      </c>
      <c r="E68" s="2">
        <v>606.0</v>
      </c>
      <c r="F68" s="2">
        <v>963.0</v>
      </c>
      <c r="G68" s="2">
        <v>0.0</v>
      </c>
      <c r="H68" s="2">
        <v>108.0</v>
      </c>
      <c r="I68" s="2">
        <v>583.0</v>
      </c>
      <c r="J68" s="2">
        <v>1083.0</v>
      </c>
      <c r="K68" s="2">
        <v>278.0</v>
      </c>
      <c r="L68" s="4">
        <f t="shared" si="7"/>
        <v>411.6666667</v>
      </c>
      <c r="M68" s="4">
        <f t="shared" si="8"/>
        <v>52.33333333</v>
      </c>
      <c r="N68" s="4">
        <f t="shared" si="9"/>
        <v>52.33333333</v>
      </c>
      <c r="O68" s="4">
        <f t="shared" si="1"/>
        <v>702.2985891</v>
      </c>
      <c r="P68" s="4">
        <f t="shared" si="2"/>
        <v>468.3322549</v>
      </c>
      <c r="Q68" s="4">
        <f t="shared" si="3"/>
        <v>430.8212213</v>
      </c>
      <c r="V68" s="4">
        <f t="shared" si="4"/>
        <v>238.2985891</v>
      </c>
      <c r="W68" s="4">
        <f t="shared" si="5"/>
        <v>4.332254878</v>
      </c>
      <c r="X68" s="4">
        <f t="shared" si="6"/>
        <v>33.17877874</v>
      </c>
    </row>
    <row r="69">
      <c r="A69" s="3">
        <v>40623.0</v>
      </c>
      <c r="B69" s="2">
        <v>327.0</v>
      </c>
      <c r="C69" s="2">
        <v>365.0</v>
      </c>
      <c r="D69" s="2">
        <v>1379.0</v>
      </c>
      <c r="E69" s="2">
        <v>325.0</v>
      </c>
      <c r="F69" s="2">
        <v>391.0</v>
      </c>
      <c r="G69" s="2">
        <v>42.0</v>
      </c>
      <c r="H69" s="2">
        <v>22.0</v>
      </c>
      <c r="I69" s="2">
        <v>237.0</v>
      </c>
      <c r="J69" s="2">
        <v>586.0</v>
      </c>
      <c r="K69" s="2">
        <v>379.0</v>
      </c>
      <c r="L69" s="4">
        <f t="shared" si="7"/>
        <v>432.6666667</v>
      </c>
      <c r="M69" s="4">
        <f t="shared" si="8"/>
        <v>-67.66666667</v>
      </c>
      <c r="N69" s="4">
        <f t="shared" si="9"/>
        <v>67.66666667</v>
      </c>
      <c r="O69" s="4">
        <f t="shared" si="1"/>
        <v>678.4687302</v>
      </c>
      <c r="P69" s="4">
        <f t="shared" si="2"/>
        <v>467.0325784</v>
      </c>
      <c r="Q69" s="4">
        <f t="shared" si="3"/>
        <v>447.4106106</v>
      </c>
      <c r="V69" s="4">
        <f t="shared" si="4"/>
        <v>313.4687302</v>
      </c>
      <c r="W69" s="4">
        <f t="shared" si="5"/>
        <v>102.0325784</v>
      </c>
      <c r="X69" s="4">
        <f t="shared" si="6"/>
        <v>82.41061063</v>
      </c>
    </row>
    <row r="70">
      <c r="A70" s="3">
        <v>40630.0</v>
      </c>
      <c r="B70" s="2">
        <v>282.0</v>
      </c>
      <c r="C70" s="2">
        <v>576.0</v>
      </c>
      <c r="D70" s="2">
        <v>1103.0</v>
      </c>
      <c r="E70" s="2">
        <v>368.0</v>
      </c>
      <c r="F70" s="2">
        <v>585.0</v>
      </c>
      <c r="G70" s="2">
        <v>3.0</v>
      </c>
      <c r="H70" s="2">
        <v>85.0</v>
      </c>
      <c r="I70" s="2">
        <v>1030.0</v>
      </c>
      <c r="J70" s="2">
        <v>665.0</v>
      </c>
      <c r="K70" s="2">
        <v>587.0</v>
      </c>
      <c r="L70" s="4">
        <f t="shared" si="7"/>
        <v>427.6666667</v>
      </c>
      <c r="M70" s="4">
        <f t="shared" si="8"/>
        <v>148.3333333</v>
      </c>
      <c r="N70" s="4">
        <f t="shared" si="9"/>
        <v>148.3333333</v>
      </c>
      <c r="O70" s="4">
        <f t="shared" si="1"/>
        <v>647.1218572</v>
      </c>
      <c r="P70" s="4">
        <f t="shared" si="2"/>
        <v>436.4228049</v>
      </c>
      <c r="Q70" s="4">
        <f t="shared" si="3"/>
        <v>406.2053053</v>
      </c>
      <c r="V70" s="4">
        <f t="shared" si="4"/>
        <v>71.1218572</v>
      </c>
      <c r="W70" s="4">
        <f t="shared" si="5"/>
        <v>139.5771951</v>
      </c>
      <c r="X70" s="4">
        <f t="shared" si="6"/>
        <v>169.7946947</v>
      </c>
    </row>
    <row r="71">
      <c r="A71" s="3">
        <v>40637.0</v>
      </c>
      <c r="B71" s="2">
        <v>274.0</v>
      </c>
      <c r="C71" s="2">
        <v>374.0</v>
      </c>
      <c r="D71" s="2">
        <v>975.0</v>
      </c>
      <c r="E71" s="2">
        <v>460.0</v>
      </c>
      <c r="F71" s="2">
        <v>753.0</v>
      </c>
      <c r="G71" s="2">
        <v>9.0</v>
      </c>
      <c r="H71" s="2">
        <v>14.0</v>
      </c>
      <c r="I71" s="2">
        <v>564.0</v>
      </c>
      <c r="J71" s="2">
        <v>125.0</v>
      </c>
      <c r="K71" s="2">
        <v>247.0</v>
      </c>
      <c r="L71" s="4">
        <f t="shared" si="7"/>
        <v>468.3333333</v>
      </c>
      <c r="M71" s="4">
        <f t="shared" si="8"/>
        <v>-94.33333333</v>
      </c>
      <c r="N71" s="4">
        <f t="shared" si="9"/>
        <v>94.33333333</v>
      </c>
      <c r="O71" s="4">
        <f t="shared" si="1"/>
        <v>640.0096715</v>
      </c>
      <c r="P71" s="4">
        <f t="shared" si="2"/>
        <v>478.2959634</v>
      </c>
      <c r="Q71" s="4">
        <f t="shared" si="3"/>
        <v>491.1026527</v>
      </c>
      <c r="V71" s="4">
        <f t="shared" si="4"/>
        <v>266.0096715</v>
      </c>
      <c r="W71" s="4">
        <f t="shared" si="5"/>
        <v>104.2959634</v>
      </c>
      <c r="X71" s="4">
        <f t="shared" si="6"/>
        <v>117.1026527</v>
      </c>
    </row>
    <row r="72">
      <c r="A72" s="3">
        <v>40644.0</v>
      </c>
      <c r="B72" s="2">
        <v>362.0</v>
      </c>
      <c r="C72" s="2">
        <v>474.0</v>
      </c>
      <c r="D72" s="2">
        <v>616.0</v>
      </c>
      <c r="E72" s="2">
        <v>542.0</v>
      </c>
      <c r="F72" s="2">
        <v>815.0</v>
      </c>
      <c r="G72" s="2">
        <v>0.0</v>
      </c>
      <c r="H72" s="2">
        <v>5.0</v>
      </c>
      <c r="I72" s="2">
        <v>784.0</v>
      </c>
      <c r="J72" s="2">
        <v>119.0</v>
      </c>
      <c r="K72" s="2">
        <v>305.0</v>
      </c>
      <c r="L72" s="4">
        <f t="shared" si="7"/>
        <v>438.3333333</v>
      </c>
      <c r="M72" s="4">
        <f t="shared" si="8"/>
        <v>35.66666667</v>
      </c>
      <c r="N72" s="4">
        <f t="shared" si="9"/>
        <v>35.66666667</v>
      </c>
      <c r="O72" s="4">
        <f t="shared" si="1"/>
        <v>613.4087043</v>
      </c>
      <c r="P72" s="4">
        <f t="shared" si="2"/>
        <v>447.0071744</v>
      </c>
      <c r="Q72" s="4">
        <f t="shared" si="3"/>
        <v>432.5513263</v>
      </c>
      <c r="V72" s="4">
        <f t="shared" si="4"/>
        <v>139.4087043</v>
      </c>
      <c r="W72" s="4">
        <f t="shared" si="5"/>
        <v>26.9928256</v>
      </c>
      <c r="X72" s="4">
        <f t="shared" si="6"/>
        <v>41.44867367</v>
      </c>
    </row>
    <row r="73">
      <c r="A73" s="3">
        <v>40651.0</v>
      </c>
      <c r="B73" s="2">
        <v>186.0</v>
      </c>
      <c r="C73" s="2">
        <v>2422.0</v>
      </c>
      <c r="D73" s="2">
        <v>549.0</v>
      </c>
      <c r="E73" s="2">
        <v>548.0</v>
      </c>
      <c r="F73" s="2">
        <v>612.0</v>
      </c>
      <c r="G73" s="2">
        <v>1.0</v>
      </c>
      <c r="H73" s="2">
        <v>4.0</v>
      </c>
      <c r="I73" s="2">
        <v>232.0</v>
      </c>
      <c r="J73" s="2">
        <v>155.0</v>
      </c>
      <c r="K73" s="2">
        <v>368.0</v>
      </c>
      <c r="L73" s="4">
        <f t="shared" si="7"/>
        <v>474.6666667</v>
      </c>
      <c r="M73" s="4">
        <f t="shared" si="8"/>
        <v>1947.333333</v>
      </c>
      <c r="N73" s="4">
        <f t="shared" si="9"/>
        <v>1947.333333</v>
      </c>
      <c r="O73" s="4">
        <f t="shared" si="1"/>
        <v>599.4678339</v>
      </c>
      <c r="P73" s="4">
        <f t="shared" si="2"/>
        <v>455.1050221</v>
      </c>
      <c r="Q73" s="4">
        <f t="shared" si="3"/>
        <v>453.2756632</v>
      </c>
      <c r="V73" s="4">
        <f t="shared" si="4"/>
        <v>1822.532166</v>
      </c>
      <c r="W73" s="4">
        <f t="shared" si="5"/>
        <v>1966.894978</v>
      </c>
      <c r="X73" s="4">
        <f t="shared" si="6"/>
        <v>1968.724337</v>
      </c>
    </row>
    <row r="74">
      <c r="A74" s="3">
        <v>40658.0</v>
      </c>
      <c r="B74" s="2">
        <v>175.0</v>
      </c>
      <c r="C74" s="2">
        <v>375.0</v>
      </c>
      <c r="D74" s="2">
        <v>385.0</v>
      </c>
      <c r="E74" s="2">
        <v>276.0</v>
      </c>
      <c r="F74" s="2">
        <v>264.0</v>
      </c>
      <c r="G74" s="2">
        <v>0.0</v>
      </c>
      <c r="H74" s="2">
        <v>5.0</v>
      </c>
      <c r="I74" s="2">
        <v>310.0</v>
      </c>
      <c r="J74" s="2">
        <v>282.0</v>
      </c>
      <c r="K74" s="2">
        <v>164.0</v>
      </c>
      <c r="L74" s="4">
        <f t="shared" si="7"/>
        <v>1090</v>
      </c>
      <c r="M74" s="4">
        <f t="shared" si="8"/>
        <v>-715</v>
      </c>
      <c r="N74" s="4">
        <f t="shared" si="9"/>
        <v>715</v>
      </c>
      <c r="O74" s="4">
        <f t="shared" si="1"/>
        <v>781.7210505</v>
      </c>
      <c r="P74" s="4">
        <f t="shared" si="2"/>
        <v>1045.173515</v>
      </c>
      <c r="Q74" s="4">
        <f t="shared" si="3"/>
        <v>1437.637832</v>
      </c>
      <c r="V74" s="4">
        <f t="shared" si="4"/>
        <v>406.7210505</v>
      </c>
      <c r="W74" s="4">
        <f t="shared" si="5"/>
        <v>670.1735155</v>
      </c>
      <c r="X74" s="4">
        <f t="shared" si="6"/>
        <v>1062.637832</v>
      </c>
    </row>
    <row r="75">
      <c r="A75" s="3">
        <v>40665.0</v>
      </c>
      <c r="B75" s="2">
        <v>171.0</v>
      </c>
      <c r="C75" s="2">
        <v>1144.0</v>
      </c>
      <c r="D75" s="2">
        <v>380.0</v>
      </c>
      <c r="E75" s="2">
        <v>984.0</v>
      </c>
      <c r="F75" s="2">
        <v>594.0</v>
      </c>
      <c r="G75" s="2">
        <v>4.0</v>
      </c>
      <c r="H75" s="2">
        <v>109.0</v>
      </c>
      <c r="I75" s="2">
        <v>372.0</v>
      </c>
      <c r="J75" s="2">
        <v>154.0</v>
      </c>
      <c r="K75" s="2">
        <v>289.0</v>
      </c>
      <c r="L75" s="4">
        <f t="shared" si="7"/>
        <v>1090.333333</v>
      </c>
      <c r="M75" s="4">
        <f t="shared" si="8"/>
        <v>53.66666667</v>
      </c>
      <c r="N75" s="4">
        <f t="shared" si="9"/>
        <v>53.66666667</v>
      </c>
      <c r="O75" s="4">
        <f t="shared" si="1"/>
        <v>741.0489455</v>
      </c>
      <c r="P75" s="4">
        <f t="shared" si="2"/>
        <v>844.1214608</v>
      </c>
      <c r="Q75" s="4">
        <f t="shared" si="3"/>
        <v>906.3189158</v>
      </c>
      <c r="V75" s="4">
        <f t="shared" si="4"/>
        <v>402.9510545</v>
      </c>
      <c r="W75" s="4">
        <f t="shared" si="5"/>
        <v>299.8785392</v>
      </c>
      <c r="X75" s="4">
        <f t="shared" si="6"/>
        <v>237.6810842</v>
      </c>
    </row>
    <row r="76">
      <c r="A76" s="3">
        <v>40672.0</v>
      </c>
      <c r="B76" s="2">
        <v>366.0</v>
      </c>
      <c r="C76" s="2">
        <v>861.0</v>
      </c>
      <c r="D76" s="2">
        <v>1206.0</v>
      </c>
      <c r="E76" s="2">
        <v>752.0</v>
      </c>
      <c r="F76" s="2">
        <v>1201.0</v>
      </c>
      <c r="G76" s="2">
        <v>13.0</v>
      </c>
      <c r="H76" s="2">
        <v>187.0</v>
      </c>
      <c r="I76" s="2">
        <v>381.0</v>
      </c>
      <c r="J76" s="2">
        <v>401.0</v>
      </c>
      <c r="K76" s="2">
        <v>885.0</v>
      </c>
      <c r="L76" s="4">
        <f t="shared" si="7"/>
        <v>1313.666667</v>
      </c>
      <c r="M76" s="4">
        <f t="shared" si="8"/>
        <v>-452.6666667</v>
      </c>
      <c r="N76" s="4">
        <f t="shared" si="9"/>
        <v>452.6666667</v>
      </c>
      <c r="O76" s="4">
        <f t="shared" si="1"/>
        <v>781.3440509</v>
      </c>
      <c r="P76" s="4">
        <f t="shared" si="2"/>
        <v>934.0850226</v>
      </c>
      <c r="Q76" s="4">
        <f t="shared" si="3"/>
        <v>1025.159458</v>
      </c>
      <c r="V76" s="4">
        <f t="shared" si="4"/>
        <v>79.65594909</v>
      </c>
      <c r="W76" s="4">
        <f t="shared" si="5"/>
        <v>73.08502257</v>
      </c>
      <c r="X76" s="4">
        <f t="shared" si="6"/>
        <v>164.1594579</v>
      </c>
    </row>
    <row r="77">
      <c r="A77" s="3">
        <v>40679.0</v>
      </c>
      <c r="B77" s="2">
        <v>305.0</v>
      </c>
      <c r="C77" s="2">
        <v>765.0</v>
      </c>
      <c r="D77" s="2">
        <v>978.0</v>
      </c>
      <c r="E77" s="2">
        <v>754.0</v>
      </c>
      <c r="F77" s="2">
        <v>595.0</v>
      </c>
      <c r="G77" s="2">
        <v>0.0</v>
      </c>
      <c r="H77" s="2">
        <v>44.0</v>
      </c>
      <c r="I77" s="2">
        <v>1300.0</v>
      </c>
      <c r="J77" s="2">
        <v>169.0</v>
      </c>
      <c r="K77" s="2">
        <v>445.0</v>
      </c>
      <c r="L77" s="4">
        <f t="shared" si="7"/>
        <v>793.3333333</v>
      </c>
      <c r="M77" s="4">
        <f t="shared" si="8"/>
        <v>-28.33333333</v>
      </c>
      <c r="N77" s="4">
        <f t="shared" si="9"/>
        <v>28.33333333</v>
      </c>
      <c r="O77" s="4">
        <f t="shared" si="1"/>
        <v>789.3096458</v>
      </c>
      <c r="P77" s="4">
        <f t="shared" si="2"/>
        <v>912.1595158</v>
      </c>
      <c r="Q77" s="4">
        <f t="shared" si="3"/>
        <v>943.0797289</v>
      </c>
      <c r="V77" s="4">
        <f t="shared" si="4"/>
        <v>24.30964582</v>
      </c>
      <c r="W77" s="4">
        <f t="shared" si="5"/>
        <v>147.1595158</v>
      </c>
      <c r="X77" s="4">
        <f t="shared" si="6"/>
        <v>178.0797289</v>
      </c>
    </row>
    <row r="78">
      <c r="A78" s="3">
        <v>40686.0</v>
      </c>
      <c r="B78" s="2">
        <v>169.0</v>
      </c>
      <c r="C78" s="2">
        <v>1026.0</v>
      </c>
      <c r="D78" s="2">
        <v>933.0</v>
      </c>
      <c r="E78" s="2">
        <v>839.0</v>
      </c>
      <c r="F78" s="2">
        <v>565.0</v>
      </c>
      <c r="G78" s="2">
        <v>0.0</v>
      </c>
      <c r="H78" s="2">
        <v>72.0</v>
      </c>
      <c r="I78" s="2">
        <v>4562.0</v>
      </c>
      <c r="J78" s="2">
        <v>558.0</v>
      </c>
      <c r="K78" s="2">
        <v>684.0</v>
      </c>
      <c r="L78" s="4">
        <f t="shared" si="7"/>
        <v>923.3333333</v>
      </c>
      <c r="M78" s="4">
        <f t="shared" si="8"/>
        <v>102.6666667</v>
      </c>
      <c r="N78" s="4">
        <f t="shared" si="9"/>
        <v>102.6666667</v>
      </c>
      <c r="O78" s="4">
        <f t="shared" si="1"/>
        <v>786.8786812</v>
      </c>
      <c r="P78" s="4">
        <f t="shared" si="2"/>
        <v>868.0116611</v>
      </c>
      <c r="Q78" s="4">
        <f t="shared" si="3"/>
        <v>854.0398645</v>
      </c>
      <c r="V78" s="4">
        <f t="shared" si="4"/>
        <v>239.1213188</v>
      </c>
      <c r="W78" s="4">
        <f t="shared" si="5"/>
        <v>157.9883389</v>
      </c>
      <c r="X78" s="4">
        <f t="shared" si="6"/>
        <v>171.9601355</v>
      </c>
    </row>
    <row r="79">
      <c r="A79" s="3">
        <v>40693.0</v>
      </c>
      <c r="B79" s="2">
        <v>263.0</v>
      </c>
      <c r="C79" s="2">
        <v>628.0</v>
      </c>
      <c r="D79" s="2">
        <v>273.0</v>
      </c>
      <c r="E79" s="2">
        <v>434.0</v>
      </c>
      <c r="F79" s="2">
        <v>384.0</v>
      </c>
      <c r="G79" s="2">
        <v>0.0</v>
      </c>
      <c r="H79" s="2">
        <v>27.0</v>
      </c>
      <c r="I79" s="2">
        <v>533.0</v>
      </c>
      <c r="J79" s="2">
        <v>410.0</v>
      </c>
      <c r="K79" s="2">
        <v>184.0</v>
      </c>
      <c r="L79" s="4">
        <f t="shared" si="7"/>
        <v>884</v>
      </c>
      <c r="M79" s="4">
        <f t="shared" si="8"/>
        <v>-256</v>
      </c>
      <c r="N79" s="4">
        <f t="shared" si="9"/>
        <v>256</v>
      </c>
      <c r="O79" s="4">
        <f t="shared" si="1"/>
        <v>810.7908131</v>
      </c>
      <c r="P79" s="4">
        <f t="shared" si="2"/>
        <v>915.4081627</v>
      </c>
      <c r="Q79" s="4">
        <f t="shared" si="3"/>
        <v>940.0199322</v>
      </c>
      <c r="V79" s="4">
        <f t="shared" si="4"/>
        <v>182.7908131</v>
      </c>
      <c r="W79" s="4">
        <f t="shared" si="5"/>
        <v>287.4081627</v>
      </c>
      <c r="X79" s="4">
        <f t="shared" si="6"/>
        <v>312.0199322</v>
      </c>
    </row>
    <row r="80">
      <c r="A80" s="3">
        <v>40700.0</v>
      </c>
      <c r="B80" s="2">
        <v>207.0</v>
      </c>
      <c r="C80" s="2">
        <v>389.0</v>
      </c>
      <c r="D80" s="2">
        <v>883.0</v>
      </c>
      <c r="E80" s="2">
        <v>651.0</v>
      </c>
      <c r="F80" s="2">
        <v>292.0</v>
      </c>
      <c r="G80" s="2">
        <v>2.0</v>
      </c>
      <c r="H80" s="2">
        <v>91.0</v>
      </c>
      <c r="I80" s="2">
        <v>410.0</v>
      </c>
      <c r="J80" s="2">
        <v>478.0</v>
      </c>
      <c r="K80" s="2">
        <v>585.0</v>
      </c>
      <c r="L80" s="4">
        <f t="shared" si="7"/>
        <v>806.3333333</v>
      </c>
      <c r="M80" s="4">
        <f t="shared" si="8"/>
        <v>-417.3333333</v>
      </c>
      <c r="N80" s="4">
        <f t="shared" si="9"/>
        <v>417.3333333</v>
      </c>
      <c r="O80" s="4">
        <f t="shared" si="1"/>
        <v>792.5117318</v>
      </c>
      <c r="P80" s="4">
        <f t="shared" si="2"/>
        <v>829.1857139</v>
      </c>
      <c r="Q80" s="4">
        <f t="shared" si="3"/>
        <v>784.0099661</v>
      </c>
      <c r="V80" s="4">
        <f t="shared" si="4"/>
        <v>403.5117318</v>
      </c>
      <c r="W80" s="4">
        <f t="shared" si="5"/>
        <v>440.1857139</v>
      </c>
      <c r="X80" s="4">
        <f t="shared" si="6"/>
        <v>395.0099661</v>
      </c>
    </row>
    <row r="81">
      <c r="A81" s="3">
        <v>40707.0</v>
      </c>
      <c r="B81" s="2">
        <v>173.0</v>
      </c>
      <c r="C81" s="2">
        <v>389.0</v>
      </c>
      <c r="D81" s="2">
        <v>959.0</v>
      </c>
      <c r="E81" s="2">
        <v>507.0</v>
      </c>
      <c r="F81" s="2">
        <v>446.0</v>
      </c>
      <c r="G81" s="2">
        <v>1.0</v>
      </c>
      <c r="H81" s="2">
        <v>113.0</v>
      </c>
      <c r="I81" s="2">
        <v>437.0</v>
      </c>
      <c r="J81" s="2">
        <v>243.0</v>
      </c>
      <c r="K81" s="2">
        <v>448.0</v>
      </c>
      <c r="L81" s="4">
        <f t="shared" si="7"/>
        <v>681</v>
      </c>
      <c r="M81" s="4">
        <f t="shared" si="8"/>
        <v>-292</v>
      </c>
      <c r="N81" s="4">
        <f t="shared" si="9"/>
        <v>292</v>
      </c>
      <c r="O81" s="4">
        <f t="shared" si="1"/>
        <v>752.1605586</v>
      </c>
      <c r="P81" s="4">
        <f t="shared" si="2"/>
        <v>697.1299997</v>
      </c>
      <c r="Q81" s="4">
        <f t="shared" si="3"/>
        <v>586.5049831</v>
      </c>
      <c r="V81" s="4">
        <f t="shared" si="4"/>
        <v>363.1605586</v>
      </c>
      <c r="W81" s="4">
        <f t="shared" si="5"/>
        <v>308.1299997</v>
      </c>
      <c r="X81" s="4">
        <f t="shared" si="6"/>
        <v>197.5049831</v>
      </c>
    </row>
    <row r="82">
      <c r="A82" s="3">
        <v>40714.0</v>
      </c>
      <c r="B82" s="2">
        <v>143.0</v>
      </c>
      <c r="C82" s="2">
        <v>236.0</v>
      </c>
      <c r="D82" s="2">
        <v>841.0</v>
      </c>
      <c r="E82" s="2">
        <v>598.0</v>
      </c>
      <c r="F82" s="2">
        <v>270.0</v>
      </c>
      <c r="G82" s="2">
        <v>6.0</v>
      </c>
      <c r="H82" s="2">
        <v>60.0</v>
      </c>
      <c r="I82" s="2">
        <v>345.0</v>
      </c>
      <c r="J82" s="2">
        <v>611.0</v>
      </c>
      <c r="K82" s="2">
        <v>238.0</v>
      </c>
      <c r="L82" s="4">
        <f t="shared" si="7"/>
        <v>468.6666667</v>
      </c>
      <c r="M82" s="4">
        <f t="shared" si="8"/>
        <v>-232.6666667</v>
      </c>
      <c r="N82" s="4">
        <f t="shared" si="9"/>
        <v>232.6666667</v>
      </c>
      <c r="O82" s="4">
        <f t="shared" si="1"/>
        <v>715.8445028</v>
      </c>
      <c r="P82" s="4">
        <f t="shared" si="2"/>
        <v>604.6909998</v>
      </c>
      <c r="Q82" s="4">
        <f t="shared" si="3"/>
        <v>487.7524915</v>
      </c>
      <c r="V82" s="4">
        <f t="shared" si="4"/>
        <v>479.8445028</v>
      </c>
      <c r="W82" s="4">
        <f t="shared" si="5"/>
        <v>368.6909998</v>
      </c>
      <c r="X82" s="4">
        <f t="shared" si="6"/>
        <v>251.7524915</v>
      </c>
    </row>
    <row r="83">
      <c r="A83" s="3">
        <v>40721.0</v>
      </c>
      <c r="B83" s="2">
        <v>79.0</v>
      </c>
      <c r="C83" s="2">
        <v>252.0</v>
      </c>
      <c r="D83" s="2">
        <v>815.0</v>
      </c>
      <c r="E83" s="2">
        <v>276.0</v>
      </c>
      <c r="F83" s="2">
        <v>292.0</v>
      </c>
      <c r="G83" s="2">
        <v>365.0</v>
      </c>
      <c r="H83" s="2">
        <v>113.0</v>
      </c>
      <c r="I83" s="2">
        <v>430.0</v>
      </c>
      <c r="J83" s="2">
        <v>456.0</v>
      </c>
      <c r="K83" s="2">
        <v>303.0</v>
      </c>
      <c r="L83" s="4">
        <f t="shared" si="7"/>
        <v>338</v>
      </c>
      <c r="M83" s="4">
        <f t="shared" si="8"/>
        <v>-86</v>
      </c>
      <c r="N83" s="4">
        <f t="shared" si="9"/>
        <v>86</v>
      </c>
      <c r="O83" s="4">
        <f t="shared" si="1"/>
        <v>667.8600525</v>
      </c>
      <c r="P83" s="4">
        <f t="shared" si="2"/>
        <v>494.0836999</v>
      </c>
      <c r="Q83" s="4">
        <f t="shared" si="3"/>
        <v>361.8762458</v>
      </c>
      <c r="V83" s="4">
        <f t="shared" si="4"/>
        <v>415.8600525</v>
      </c>
      <c r="W83" s="4">
        <f t="shared" si="5"/>
        <v>242.0836999</v>
      </c>
      <c r="X83" s="4">
        <f t="shared" si="6"/>
        <v>109.8762458</v>
      </c>
    </row>
    <row r="84">
      <c r="A84" s="3">
        <v>40728.0</v>
      </c>
      <c r="B84" s="2">
        <v>131.0</v>
      </c>
      <c r="C84" s="2">
        <v>258.0</v>
      </c>
      <c r="D84" s="2">
        <v>1364.0</v>
      </c>
      <c r="E84" s="2">
        <v>901.0</v>
      </c>
      <c r="F84" s="2">
        <v>460.0</v>
      </c>
      <c r="G84" s="2">
        <v>18.0</v>
      </c>
      <c r="H84" s="2">
        <v>23.0</v>
      </c>
      <c r="I84" s="2">
        <v>636.0</v>
      </c>
      <c r="J84" s="2">
        <v>452.0</v>
      </c>
      <c r="K84" s="2">
        <v>440.0</v>
      </c>
      <c r="L84" s="4">
        <f t="shared" si="7"/>
        <v>292.3333333</v>
      </c>
      <c r="M84" s="4">
        <f t="shared" si="8"/>
        <v>-34.33333333</v>
      </c>
      <c r="N84" s="4">
        <f t="shared" si="9"/>
        <v>34.33333333</v>
      </c>
      <c r="O84" s="4">
        <f t="shared" si="1"/>
        <v>626.2740472</v>
      </c>
      <c r="P84" s="4">
        <f t="shared" si="2"/>
        <v>421.4585899</v>
      </c>
      <c r="Q84" s="4">
        <f t="shared" si="3"/>
        <v>306.9381229</v>
      </c>
      <c r="V84" s="4">
        <f t="shared" si="4"/>
        <v>368.2740472</v>
      </c>
      <c r="W84" s="4">
        <f t="shared" si="5"/>
        <v>163.4585899</v>
      </c>
      <c r="X84" s="4">
        <f t="shared" si="6"/>
        <v>48.93812288</v>
      </c>
    </row>
    <row r="85">
      <c r="A85" s="3">
        <v>40735.0</v>
      </c>
      <c r="B85" s="2">
        <v>292.0</v>
      </c>
      <c r="C85" s="2">
        <v>1195.0</v>
      </c>
      <c r="D85" s="2">
        <v>421.0</v>
      </c>
      <c r="E85" s="2">
        <v>354.0</v>
      </c>
      <c r="F85" s="2">
        <v>372.0</v>
      </c>
      <c r="G85" s="2">
        <v>10.0</v>
      </c>
      <c r="H85" s="2">
        <v>33.0</v>
      </c>
      <c r="I85" s="2">
        <v>157.0</v>
      </c>
      <c r="J85" s="2">
        <v>315.0</v>
      </c>
      <c r="K85" s="2">
        <v>231.0</v>
      </c>
      <c r="L85" s="4">
        <f t="shared" si="7"/>
        <v>248.6666667</v>
      </c>
      <c r="M85" s="4">
        <f t="shared" si="8"/>
        <v>946.3333333</v>
      </c>
      <c r="N85" s="4">
        <f t="shared" si="9"/>
        <v>946.3333333</v>
      </c>
      <c r="O85" s="4">
        <f t="shared" si="1"/>
        <v>589.4466425</v>
      </c>
      <c r="P85" s="4">
        <f t="shared" si="2"/>
        <v>372.4210129</v>
      </c>
      <c r="Q85" s="4">
        <f t="shared" si="3"/>
        <v>282.4690614</v>
      </c>
      <c r="V85" s="4">
        <f t="shared" si="4"/>
        <v>605.5533575</v>
      </c>
      <c r="W85" s="4">
        <f t="shared" si="5"/>
        <v>822.5789871</v>
      </c>
      <c r="X85" s="4">
        <f t="shared" si="6"/>
        <v>912.5309386</v>
      </c>
    </row>
    <row r="86">
      <c r="A86" s="3">
        <v>40742.0</v>
      </c>
      <c r="B86" s="2">
        <v>340.0</v>
      </c>
      <c r="C86" s="2">
        <v>719.0</v>
      </c>
      <c r="D86" s="2">
        <v>732.0</v>
      </c>
      <c r="E86" s="2">
        <v>927.0</v>
      </c>
      <c r="F86" s="2">
        <v>519.0</v>
      </c>
      <c r="G86" s="2">
        <v>32.0</v>
      </c>
      <c r="H86" s="2">
        <v>133.0</v>
      </c>
      <c r="I86" s="2">
        <v>621.0</v>
      </c>
      <c r="J86" s="2">
        <v>307.0</v>
      </c>
      <c r="K86" s="2">
        <v>495.0</v>
      </c>
      <c r="L86" s="4">
        <f t="shared" si="7"/>
        <v>568.3333333</v>
      </c>
      <c r="M86" s="4">
        <f t="shared" si="8"/>
        <v>150.6666667</v>
      </c>
      <c r="N86" s="4">
        <f t="shared" si="9"/>
        <v>150.6666667</v>
      </c>
      <c r="O86" s="4">
        <f t="shared" si="1"/>
        <v>650.0019783</v>
      </c>
      <c r="P86" s="4">
        <f t="shared" si="2"/>
        <v>619.1947091</v>
      </c>
      <c r="Q86" s="4">
        <f t="shared" si="3"/>
        <v>738.7345307</v>
      </c>
      <c r="V86" s="4">
        <f t="shared" si="4"/>
        <v>68.99802174</v>
      </c>
      <c r="W86" s="4">
        <f t="shared" si="5"/>
        <v>99.80529094</v>
      </c>
      <c r="X86" s="4">
        <f t="shared" si="6"/>
        <v>19.73453072</v>
      </c>
    </row>
    <row r="87">
      <c r="A87" s="3">
        <v>40749.0</v>
      </c>
      <c r="B87" s="2">
        <v>341.0</v>
      </c>
      <c r="C87" s="2">
        <v>774.0</v>
      </c>
      <c r="D87" s="2">
        <v>440.0</v>
      </c>
      <c r="E87" s="2">
        <v>520.0</v>
      </c>
      <c r="F87" s="2">
        <v>478.0</v>
      </c>
      <c r="G87" s="2">
        <v>287.0</v>
      </c>
      <c r="H87" s="2">
        <v>651.0</v>
      </c>
      <c r="I87" s="2">
        <v>436.0</v>
      </c>
      <c r="J87" s="2">
        <v>403.0</v>
      </c>
      <c r="K87" s="2">
        <v>385.0</v>
      </c>
      <c r="L87" s="4">
        <f t="shared" si="7"/>
        <v>724</v>
      </c>
      <c r="M87" s="4">
        <f t="shared" si="8"/>
        <v>50</v>
      </c>
      <c r="N87" s="4">
        <f t="shared" si="9"/>
        <v>50</v>
      </c>
      <c r="O87" s="4">
        <f t="shared" si="1"/>
        <v>656.9017804</v>
      </c>
      <c r="P87" s="4">
        <f t="shared" si="2"/>
        <v>649.1362963</v>
      </c>
      <c r="Q87" s="4">
        <f t="shared" si="3"/>
        <v>728.8672654</v>
      </c>
      <c r="V87" s="4">
        <f t="shared" si="4"/>
        <v>117.0982196</v>
      </c>
      <c r="W87" s="4">
        <f t="shared" si="5"/>
        <v>124.8637037</v>
      </c>
      <c r="X87" s="4">
        <f t="shared" si="6"/>
        <v>45.13273464</v>
      </c>
    </row>
    <row r="88">
      <c r="A88" s="3">
        <v>40756.0</v>
      </c>
      <c r="B88" s="2">
        <v>148.0</v>
      </c>
      <c r="C88" s="2">
        <v>441.0</v>
      </c>
      <c r="D88" s="2">
        <v>1040.0</v>
      </c>
      <c r="E88" s="2">
        <v>423.0</v>
      </c>
      <c r="F88" s="2">
        <v>3800.0</v>
      </c>
      <c r="G88" s="2">
        <v>161.0</v>
      </c>
      <c r="H88" s="2">
        <v>87.0</v>
      </c>
      <c r="I88" s="2">
        <v>2178.0</v>
      </c>
      <c r="J88" s="2">
        <v>382.0</v>
      </c>
      <c r="K88" s="2">
        <v>603.0</v>
      </c>
      <c r="L88" s="4">
        <f t="shared" si="7"/>
        <v>896</v>
      </c>
      <c r="M88" s="4">
        <f t="shared" si="8"/>
        <v>-455</v>
      </c>
      <c r="N88" s="4">
        <f t="shared" si="9"/>
        <v>455</v>
      </c>
      <c r="O88" s="4">
        <f t="shared" si="1"/>
        <v>668.6116024</v>
      </c>
      <c r="P88" s="4">
        <f t="shared" si="2"/>
        <v>686.5954074</v>
      </c>
      <c r="Q88" s="4">
        <f t="shared" si="3"/>
        <v>751.4336327</v>
      </c>
      <c r="V88" s="4">
        <f t="shared" si="4"/>
        <v>227.6116024</v>
      </c>
      <c r="W88" s="4">
        <f t="shared" si="5"/>
        <v>245.5954074</v>
      </c>
      <c r="X88" s="4">
        <f t="shared" si="6"/>
        <v>310.4336327</v>
      </c>
    </row>
    <row r="89">
      <c r="A89" s="3">
        <v>40763.0</v>
      </c>
      <c r="B89" s="2">
        <v>177.0</v>
      </c>
      <c r="C89" s="2">
        <v>466.0</v>
      </c>
      <c r="D89" s="2">
        <v>1373.0</v>
      </c>
      <c r="E89" s="2">
        <v>280.0</v>
      </c>
      <c r="F89" s="2">
        <v>1323.0</v>
      </c>
      <c r="G89" s="2">
        <v>22.0</v>
      </c>
      <c r="H89" s="2">
        <v>135.0</v>
      </c>
      <c r="I89" s="2">
        <v>1735.0</v>
      </c>
      <c r="J89" s="2">
        <v>551.0</v>
      </c>
      <c r="K89" s="2">
        <v>725.0</v>
      </c>
      <c r="L89" s="4">
        <f t="shared" si="7"/>
        <v>644.6666667</v>
      </c>
      <c r="M89" s="4">
        <f t="shared" si="8"/>
        <v>-178.6666667</v>
      </c>
      <c r="N89" s="4">
        <f t="shared" si="9"/>
        <v>178.6666667</v>
      </c>
      <c r="O89" s="4">
        <f t="shared" si="1"/>
        <v>645.8504422</v>
      </c>
      <c r="P89" s="4">
        <f t="shared" si="2"/>
        <v>612.9167852</v>
      </c>
      <c r="Q89" s="4">
        <f t="shared" si="3"/>
        <v>596.2168163</v>
      </c>
      <c r="V89" s="4">
        <f t="shared" si="4"/>
        <v>179.8504422</v>
      </c>
      <c r="W89" s="4">
        <f t="shared" si="5"/>
        <v>146.9167852</v>
      </c>
      <c r="X89" s="4">
        <f t="shared" si="6"/>
        <v>130.2168163</v>
      </c>
    </row>
    <row r="90">
      <c r="A90" s="3">
        <v>40770.0</v>
      </c>
      <c r="B90" s="2">
        <v>210.0</v>
      </c>
      <c r="C90" s="2">
        <v>296.0</v>
      </c>
      <c r="D90" s="2">
        <v>1356.0</v>
      </c>
      <c r="E90" s="2">
        <v>402.0</v>
      </c>
      <c r="F90" s="2">
        <v>556.0</v>
      </c>
      <c r="G90" s="2">
        <v>36.0</v>
      </c>
      <c r="H90" s="2">
        <v>62.0</v>
      </c>
      <c r="I90" s="2">
        <v>518.0</v>
      </c>
      <c r="J90" s="2">
        <v>586.0</v>
      </c>
      <c r="K90" s="2">
        <v>423.0</v>
      </c>
      <c r="L90" s="4">
        <f t="shared" si="7"/>
        <v>560.3333333</v>
      </c>
      <c r="M90" s="4">
        <f t="shared" si="8"/>
        <v>-264.3333333</v>
      </c>
      <c r="N90" s="4">
        <f t="shared" si="9"/>
        <v>264.3333333</v>
      </c>
      <c r="O90" s="4">
        <f t="shared" si="1"/>
        <v>627.8653979</v>
      </c>
      <c r="P90" s="4">
        <f t="shared" si="2"/>
        <v>568.8417496</v>
      </c>
      <c r="Q90" s="4">
        <f t="shared" si="3"/>
        <v>531.1084082</v>
      </c>
      <c r="V90" s="4">
        <f t="shared" si="4"/>
        <v>331.8653979</v>
      </c>
      <c r="W90" s="4">
        <f t="shared" si="5"/>
        <v>272.8417496</v>
      </c>
      <c r="X90" s="4">
        <f t="shared" si="6"/>
        <v>235.1084082</v>
      </c>
    </row>
    <row r="91">
      <c r="A91" s="3">
        <v>40777.0</v>
      </c>
      <c r="B91" s="2">
        <v>241.0</v>
      </c>
      <c r="C91" s="2">
        <v>772.0</v>
      </c>
      <c r="D91" s="2">
        <v>1518.0</v>
      </c>
      <c r="E91" s="2">
        <v>470.0</v>
      </c>
      <c r="F91" s="2">
        <v>850.0</v>
      </c>
      <c r="G91" s="2">
        <v>28.0</v>
      </c>
      <c r="H91" s="2">
        <v>110.0</v>
      </c>
      <c r="I91" s="2">
        <v>826.0</v>
      </c>
      <c r="J91" s="2">
        <v>619.0</v>
      </c>
      <c r="K91" s="2">
        <v>340.0</v>
      </c>
      <c r="L91" s="4">
        <f t="shared" si="7"/>
        <v>401</v>
      </c>
      <c r="M91" s="4">
        <f t="shared" si="8"/>
        <v>371</v>
      </c>
      <c r="N91" s="4">
        <f t="shared" si="9"/>
        <v>371</v>
      </c>
      <c r="O91" s="4">
        <f t="shared" si="1"/>
        <v>594.6788581</v>
      </c>
      <c r="P91" s="4">
        <f t="shared" si="2"/>
        <v>486.9892248</v>
      </c>
      <c r="Q91" s="4">
        <f t="shared" si="3"/>
        <v>413.5542041</v>
      </c>
      <c r="V91" s="4">
        <f t="shared" si="4"/>
        <v>177.3211419</v>
      </c>
      <c r="W91" s="4">
        <f t="shared" si="5"/>
        <v>285.0107752</v>
      </c>
      <c r="X91" s="4">
        <f t="shared" si="6"/>
        <v>358.4457959</v>
      </c>
    </row>
    <row r="92">
      <c r="A92" s="3">
        <v>40784.0</v>
      </c>
      <c r="B92" s="2">
        <v>146.0</v>
      </c>
      <c r="C92" s="2">
        <v>394.0</v>
      </c>
      <c r="D92" s="2">
        <v>717.0</v>
      </c>
      <c r="E92" s="2">
        <v>207.0</v>
      </c>
      <c r="F92" s="2">
        <v>216.0</v>
      </c>
      <c r="G92" s="2">
        <v>192.0</v>
      </c>
      <c r="H92" s="2">
        <v>210.0</v>
      </c>
      <c r="I92" s="2">
        <v>956.0</v>
      </c>
      <c r="J92" s="2">
        <v>248.0</v>
      </c>
      <c r="K92" s="2">
        <v>202.0</v>
      </c>
      <c r="L92" s="4">
        <f t="shared" si="7"/>
        <v>511.3333333</v>
      </c>
      <c r="M92" s="4">
        <f t="shared" si="8"/>
        <v>-117.3333333</v>
      </c>
      <c r="N92" s="4">
        <f t="shared" si="9"/>
        <v>117.3333333</v>
      </c>
      <c r="O92" s="4">
        <f t="shared" si="1"/>
        <v>612.4109723</v>
      </c>
      <c r="P92" s="4">
        <f t="shared" si="2"/>
        <v>572.4924573</v>
      </c>
      <c r="Q92" s="4">
        <f t="shared" si="3"/>
        <v>592.777102</v>
      </c>
      <c r="V92" s="4">
        <f t="shared" si="4"/>
        <v>218.4109723</v>
      </c>
      <c r="W92" s="4">
        <f t="shared" si="5"/>
        <v>178.4924573</v>
      </c>
      <c r="X92" s="4">
        <f t="shared" si="6"/>
        <v>198.777102</v>
      </c>
    </row>
    <row r="93">
      <c r="A93" s="3">
        <v>40791.0</v>
      </c>
      <c r="B93" s="2">
        <v>149.0</v>
      </c>
      <c r="C93" s="2">
        <v>428.0</v>
      </c>
      <c r="D93" s="2">
        <v>556.0</v>
      </c>
      <c r="E93" s="2">
        <v>300.0</v>
      </c>
      <c r="F93" s="2">
        <v>488.0</v>
      </c>
      <c r="G93" s="2">
        <v>455.0</v>
      </c>
      <c r="H93" s="2">
        <v>70.0</v>
      </c>
      <c r="I93" s="2">
        <v>516.0</v>
      </c>
      <c r="J93" s="2">
        <v>657.0</v>
      </c>
      <c r="K93" s="2">
        <v>424.0</v>
      </c>
      <c r="L93" s="4">
        <f t="shared" si="7"/>
        <v>487.3333333</v>
      </c>
      <c r="M93" s="4">
        <f t="shared" si="8"/>
        <v>-59.33333333</v>
      </c>
      <c r="N93" s="4">
        <f t="shared" si="9"/>
        <v>59.33333333</v>
      </c>
      <c r="O93" s="4">
        <f t="shared" si="1"/>
        <v>590.5698751</v>
      </c>
      <c r="P93" s="4">
        <f t="shared" si="2"/>
        <v>518.9447201</v>
      </c>
      <c r="Q93" s="4">
        <f t="shared" si="3"/>
        <v>493.388551</v>
      </c>
      <c r="V93" s="4">
        <f t="shared" si="4"/>
        <v>162.5698751</v>
      </c>
      <c r="W93" s="4">
        <f t="shared" si="5"/>
        <v>90.94472013</v>
      </c>
      <c r="X93" s="4">
        <f t="shared" si="6"/>
        <v>65.38855102</v>
      </c>
    </row>
    <row r="94">
      <c r="A94" s="3">
        <v>40798.0</v>
      </c>
      <c r="B94" s="2">
        <v>218.0</v>
      </c>
      <c r="C94" s="2">
        <v>658.0</v>
      </c>
      <c r="D94" s="2">
        <v>743.0</v>
      </c>
      <c r="E94" s="2">
        <v>334.0</v>
      </c>
      <c r="F94" s="2">
        <v>908.0</v>
      </c>
      <c r="G94" s="2">
        <v>561.0</v>
      </c>
      <c r="H94" s="2">
        <v>262.0</v>
      </c>
      <c r="I94" s="2">
        <v>570.0</v>
      </c>
      <c r="J94" s="2">
        <v>478.0</v>
      </c>
      <c r="K94" s="2">
        <v>329.0</v>
      </c>
      <c r="L94" s="4">
        <f t="shared" si="7"/>
        <v>531.3333333</v>
      </c>
      <c r="M94" s="4">
        <f t="shared" si="8"/>
        <v>126.6666667</v>
      </c>
      <c r="N94" s="4">
        <f t="shared" si="9"/>
        <v>126.6666667</v>
      </c>
      <c r="O94" s="4">
        <f t="shared" si="1"/>
        <v>574.3128876</v>
      </c>
      <c r="P94" s="4">
        <f t="shared" si="2"/>
        <v>491.6613041</v>
      </c>
      <c r="Q94" s="4">
        <f t="shared" si="3"/>
        <v>460.6942755</v>
      </c>
      <c r="V94" s="4">
        <f t="shared" si="4"/>
        <v>83.68711241</v>
      </c>
      <c r="W94" s="4">
        <f t="shared" si="5"/>
        <v>166.3386959</v>
      </c>
      <c r="X94" s="4">
        <f t="shared" si="6"/>
        <v>197.3057245</v>
      </c>
    </row>
    <row r="95">
      <c r="A95" s="3">
        <v>40805.0</v>
      </c>
      <c r="B95" s="2">
        <v>147.0</v>
      </c>
      <c r="C95" s="2">
        <v>705.0</v>
      </c>
      <c r="D95" s="2">
        <v>1667.0</v>
      </c>
      <c r="E95" s="2">
        <v>158.0</v>
      </c>
      <c r="F95" s="2">
        <v>677.0</v>
      </c>
      <c r="G95" s="2">
        <v>602.0</v>
      </c>
      <c r="H95" s="2">
        <v>28.0</v>
      </c>
      <c r="I95" s="2">
        <v>682.0</v>
      </c>
      <c r="J95" s="2">
        <v>809.0</v>
      </c>
      <c r="K95" s="2">
        <v>482.0</v>
      </c>
      <c r="L95" s="4">
        <f t="shared" si="7"/>
        <v>493.3333333</v>
      </c>
      <c r="M95" s="4">
        <f t="shared" si="8"/>
        <v>211.6666667</v>
      </c>
      <c r="N95" s="4">
        <f t="shared" si="9"/>
        <v>211.6666667</v>
      </c>
      <c r="O95" s="4">
        <f t="shared" si="1"/>
        <v>582.6815988</v>
      </c>
      <c r="P95" s="4">
        <f t="shared" si="2"/>
        <v>541.5629129</v>
      </c>
      <c r="Q95" s="4">
        <f t="shared" si="3"/>
        <v>559.3471378</v>
      </c>
      <c r="V95" s="4">
        <f t="shared" si="4"/>
        <v>122.3184012</v>
      </c>
      <c r="W95" s="4">
        <f t="shared" si="5"/>
        <v>163.4370871</v>
      </c>
      <c r="X95" s="4">
        <f t="shared" si="6"/>
        <v>145.6528622</v>
      </c>
    </row>
    <row r="96">
      <c r="A96" s="3">
        <v>40812.0</v>
      </c>
      <c r="B96" s="2">
        <v>148.0</v>
      </c>
      <c r="C96" s="2">
        <v>402.0</v>
      </c>
      <c r="D96" s="2">
        <v>929.0</v>
      </c>
      <c r="E96" s="2">
        <v>209.0</v>
      </c>
      <c r="F96" s="2">
        <v>799.0</v>
      </c>
      <c r="G96" s="2">
        <v>359.0</v>
      </c>
      <c r="H96" s="2">
        <v>162.0</v>
      </c>
      <c r="I96" s="2">
        <v>1675.0</v>
      </c>
      <c r="J96" s="2">
        <v>665.0</v>
      </c>
      <c r="K96" s="2">
        <v>318.0</v>
      </c>
      <c r="L96" s="4">
        <f t="shared" si="7"/>
        <v>597</v>
      </c>
      <c r="M96" s="4">
        <f t="shared" si="8"/>
        <v>-195</v>
      </c>
      <c r="N96" s="4">
        <f t="shared" si="9"/>
        <v>195</v>
      </c>
      <c r="O96" s="4">
        <f t="shared" si="1"/>
        <v>594.9134389</v>
      </c>
      <c r="P96" s="4">
        <f t="shared" si="2"/>
        <v>590.594039</v>
      </c>
      <c r="Q96" s="4">
        <f t="shared" si="3"/>
        <v>632.1735689</v>
      </c>
      <c r="V96" s="4">
        <f t="shared" si="4"/>
        <v>192.9134389</v>
      </c>
      <c r="W96" s="4">
        <f t="shared" si="5"/>
        <v>188.594039</v>
      </c>
      <c r="X96" s="4">
        <f t="shared" si="6"/>
        <v>230.1735689</v>
      </c>
    </row>
    <row r="97">
      <c r="A97" s="3">
        <v>40819.0</v>
      </c>
      <c r="B97" s="2">
        <v>409.0</v>
      </c>
      <c r="C97" s="2">
        <v>164.0</v>
      </c>
      <c r="D97" s="2">
        <v>2569.0</v>
      </c>
      <c r="E97" s="2">
        <v>183.0</v>
      </c>
      <c r="F97" s="2">
        <v>589.0</v>
      </c>
      <c r="G97" s="2">
        <v>977.0</v>
      </c>
      <c r="H97" s="2">
        <v>51.0</v>
      </c>
      <c r="I97" s="2">
        <v>835.0</v>
      </c>
      <c r="J97" s="2">
        <v>1649.0</v>
      </c>
      <c r="K97" s="2">
        <v>322.0</v>
      </c>
      <c r="L97" s="4">
        <f t="shared" si="7"/>
        <v>588.3333333</v>
      </c>
      <c r="M97" s="4">
        <f t="shared" si="8"/>
        <v>-424.3333333</v>
      </c>
      <c r="N97" s="4">
        <f t="shared" si="9"/>
        <v>424.3333333</v>
      </c>
      <c r="O97" s="4">
        <f t="shared" si="1"/>
        <v>575.6220951</v>
      </c>
      <c r="P97" s="4">
        <f t="shared" si="2"/>
        <v>534.0158273</v>
      </c>
      <c r="Q97" s="4">
        <f t="shared" si="3"/>
        <v>517.0867844</v>
      </c>
      <c r="V97" s="4">
        <f t="shared" si="4"/>
        <v>411.6220951</v>
      </c>
      <c r="W97" s="4">
        <f t="shared" si="5"/>
        <v>370.0158273</v>
      </c>
      <c r="X97" s="4">
        <f t="shared" si="6"/>
        <v>353.0867844</v>
      </c>
    </row>
    <row r="98">
      <c r="A98" s="3">
        <v>40826.0</v>
      </c>
      <c r="B98" s="2">
        <v>181.0</v>
      </c>
      <c r="C98" s="2">
        <v>679.0</v>
      </c>
      <c r="D98" s="2">
        <v>647.0</v>
      </c>
      <c r="E98" s="2">
        <v>106.0</v>
      </c>
      <c r="F98" s="2">
        <v>420.0</v>
      </c>
      <c r="G98" s="2">
        <v>739.0</v>
      </c>
      <c r="H98" s="2">
        <v>150.0</v>
      </c>
      <c r="I98" s="2">
        <v>884.0</v>
      </c>
      <c r="J98" s="2">
        <v>237.0</v>
      </c>
      <c r="K98" s="2">
        <v>443.0</v>
      </c>
      <c r="L98" s="4">
        <f t="shared" si="7"/>
        <v>423.6666667</v>
      </c>
      <c r="M98" s="4">
        <f t="shared" si="8"/>
        <v>255.3333333</v>
      </c>
      <c r="N98" s="4">
        <f t="shared" si="9"/>
        <v>255.3333333</v>
      </c>
      <c r="O98" s="4">
        <f t="shared" si="1"/>
        <v>534.4598855</v>
      </c>
      <c r="P98" s="4">
        <f t="shared" si="2"/>
        <v>423.0110791</v>
      </c>
      <c r="Q98" s="4">
        <f t="shared" si="3"/>
        <v>340.5433922</v>
      </c>
      <c r="V98" s="4">
        <f t="shared" si="4"/>
        <v>144.5401145</v>
      </c>
      <c r="W98" s="4">
        <f t="shared" si="5"/>
        <v>255.9889209</v>
      </c>
      <c r="X98" s="4">
        <f t="shared" si="6"/>
        <v>338.4566078</v>
      </c>
    </row>
    <row r="99">
      <c r="A99" s="3">
        <v>40833.0</v>
      </c>
      <c r="B99" s="2">
        <v>268.0</v>
      </c>
      <c r="C99" s="2">
        <v>231.0</v>
      </c>
      <c r="D99" s="2">
        <v>1045.0</v>
      </c>
      <c r="E99" s="2">
        <v>211.0</v>
      </c>
      <c r="F99" s="2">
        <v>829.0</v>
      </c>
      <c r="G99" s="2">
        <v>756.0</v>
      </c>
      <c r="H99" s="2">
        <v>109.0</v>
      </c>
      <c r="I99" s="2">
        <v>1164.0</v>
      </c>
      <c r="J99" s="2">
        <v>334.0</v>
      </c>
      <c r="K99" s="2">
        <v>276.0</v>
      </c>
      <c r="L99" s="4">
        <f t="shared" si="7"/>
        <v>415</v>
      </c>
      <c r="M99" s="4">
        <f t="shared" si="8"/>
        <v>-184</v>
      </c>
      <c r="N99" s="4">
        <f t="shared" si="9"/>
        <v>184</v>
      </c>
      <c r="O99" s="4">
        <f t="shared" si="1"/>
        <v>548.913897</v>
      </c>
      <c r="P99" s="4">
        <f t="shared" si="2"/>
        <v>499.8077554</v>
      </c>
      <c r="Q99" s="4">
        <f t="shared" si="3"/>
        <v>509.7716961</v>
      </c>
      <c r="V99" s="4">
        <f t="shared" si="4"/>
        <v>317.913897</v>
      </c>
      <c r="W99" s="4">
        <f t="shared" si="5"/>
        <v>268.8077554</v>
      </c>
      <c r="X99" s="4">
        <f t="shared" si="6"/>
        <v>278.7716961</v>
      </c>
    </row>
    <row r="100">
      <c r="A100" s="3">
        <v>40840.0</v>
      </c>
      <c r="B100" s="2">
        <v>135.0</v>
      </c>
      <c r="C100" s="2">
        <v>444.0</v>
      </c>
      <c r="D100" s="2">
        <v>500.0</v>
      </c>
      <c r="E100" s="2">
        <v>78.0</v>
      </c>
      <c r="F100" s="2">
        <v>778.0</v>
      </c>
      <c r="G100" s="2">
        <v>644.0</v>
      </c>
      <c r="H100" s="2">
        <v>431.0</v>
      </c>
      <c r="I100" s="2">
        <v>2775.0</v>
      </c>
      <c r="J100" s="2">
        <v>643.0</v>
      </c>
      <c r="K100" s="2">
        <v>314.0</v>
      </c>
      <c r="L100" s="4">
        <f t="shared" si="7"/>
        <v>358</v>
      </c>
      <c r="M100" s="4">
        <f t="shared" si="8"/>
        <v>86</v>
      </c>
      <c r="N100" s="4">
        <f t="shared" si="9"/>
        <v>86</v>
      </c>
      <c r="O100" s="4">
        <f t="shared" si="1"/>
        <v>517.1225073</v>
      </c>
      <c r="P100" s="4">
        <f t="shared" si="2"/>
        <v>419.1654288</v>
      </c>
      <c r="Q100" s="4">
        <f t="shared" si="3"/>
        <v>370.3858481</v>
      </c>
      <c r="V100" s="4">
        <f t="shared" si="4"/>
        <v>73.12250729</v>
      </c>
      <c r="W100" s="4">
        <f t="shared" si="5"/>
        <v>24.83457124</v>
      </c>
      <c r="X100" s="4">
        <f t="shared" si="6"/>
        <v>73.61415195</v>
      </c>
    </row>
    <row r="101">
      <c r="A101" s="3">
        <v>40847.0</v>
      </c>
      <c r="B101" s="2">
        <v>279.0</v>
      </c>
      <c r="C101" s="2">
        <v>1703.0</v>
      </c>
      <c r="D101" s="2">
        <v>1063.0</v>
      </c>
      <c r="E101" s="2">
        <v>102.0</v>
      </c>
      <c r="F101" s="2">
        <v>968.0</v>
      </c>
      <c r="G101" s="2">
        <v>1745.0</v>
      </c>
      <c r="H101" s="2">
        <v>166.0</v>
      </c>
      <c r="I101" s="2">
        <v>1156.0</v>
      </c>
      <c r="J101" s="2">
        <v>313.0</v>
      </c>
      <c r="K101" s="2">
        <v>223.0</v>
      </c>
      <c r="L101" s="4">
        <f t="shared" si="7"/>
        <v>451.3333333</v>
      </c>
      <c r="M101" s="4">
        <f t="shared" si="8"/>
        <v>1251.666667</v>
      </c>
      <c r="N101" s="4">
        <f t="shared" si="9"/>
        <v>1251.666667</v>
      </c>
      <c r="O101" s="4">
        <f t="shared" si="1"/>
        <v>509.8102566</v>
      </c>
      <c r="P101" s="4">
        <f t="shared" si="2"/>
        <v>426.6158001</v>
      </c>
      <c r="Q101" s="4">
        <f t="shared" si="3"/>
        <v>407.192924</v>
      </c>
      <c r="V101" s="4">
        <f t="shared" si="4"/>
        <v>1193.189743</v>
      </c>
      <c r="W101" s="4">
        <f t="shared" si="5"/>
        <v>1276.3842</v>
      </c>
      <c r="X101" s="4">
        <f t="shared" si="6"/>
        <v>1295.807076</v>
      </c>
    </row>
    <row r="102">
      <c r="A102" s="3">
        <v>40854.0</v>
      </c>
      <c r="B102" s="2">
        <v>167.0</v>
      </c>
      <c r="C102" s="2">
        <v>575.0</v>
      </c>
      <c r="D102" s="2">
        <v>2100.0</v>
      </c>
      <c r="E102" s="2">
        <v>135.0</v>
      </c>
      <c r="F102" s="2">
        <v>1748.0</v>
      </c>
      <c r="G102" s="2">
        <v>1436.0</v>
      </c>
      <c r="H102" s="2">
        <v>482.0</v>
      </c>
      <c r="I102" s="2">
        <v>3900.0</v>
      </c>
      <c r="J102" s="2">
        <v>416.0</v>
      </c>
      <c r="K102" s="2">
        <v>556.0</v>
      </c>
      <c r="L102" s="4">
        <f t="shared" si="7"/>
        <v>792.6666667</v>
      </c>
      <c r="M102" s="4">
        <f t="shared" si="8"/>
        <v>-217.6666667</v>
      </c>
      <c r="N102" s="4">
        <f t="shared" si="9"/>
        <v>217.6666667</v>
      </c>
      <c r="O102" s="4">
        <f t="shared" si="1"/>
        <v>629.1292309</v>
      </c>
      <c r="P102" s="4">
        <f t="shared" si="2"/>
        <v>809.5310601</v>
      </c>
      <c r="Q102" s="4">
        <f t="shared" si="3"/>
        <v>1055.096462</v>
      </c>
      <c r="V102" s="4">
        <f t="shared" si="4"/>
        <v>54.12923091</v>
      </c>
      <c r="W102" s="4">
        <f t="shared" si="5"/>
        <v>234.5310601</v>
      </c>
      <c r="X102" s="4">
        <f t="shared" si="6"/>
        <v>480.096462</v>
      </c>
    </row>
    <row r="103">
      <c r="A103" s="3">
        <v>40861.0</v>
      </c>
      <c r="B103" s="2">
        <v>235.0</v>
      </c>
      <c r="C103" s="2">
        <v>1322.0</v>
      </c>
      <c r="D103" s="2">
        <v>1602.0</v>
      </c>
      <c r="E103" s="2">
        <v>218.0</v>
      </c>
      <c r="F103" s="2">
        <v>1326.0</v>
      </c>
      <c r="G103" s="2">
        <v>2161.0</v>
      </c>
      <c r="H103" s="2">
        <v>389.0</v>
      </c>
      <c r="I103" s="2">
        <v>3145.0</v>
      </c>
      <c r="J103" s="2">
        <v>522.0</v>
      </c>
      <c r="K103" s="2">
        <v>650.0</v>
      </c>
      <c r="L103" s="4">
        <f t="shared" si="7"/>
        <v>907.3333333</v>
      </c>
      <c r="M103" s="4">
        <f t="shared" si="8"/>
        <v>414.6666667</v>
      </c>
      <c r="N103" s="4">
        <f t="shared" si="9"/>
        <v>414.6666667</v>
      </c>
      <c r="O103" s="4">
        <f t="shared" si="1"/>
        <v>623.7163078</v>
      </c>
      <c r="P103" s="4">
        <f t="shared" si="2"/>
        <v>739.1717421</v>
      </c>
      <c r="Q103" s="4">
        <f t="shared" si="3"/>
        <v>815.048231</v>
      </c>
      <c r="V103" s="4">
        <f t="shared" si="4"/>
        <v>698.2836922</v>
      </c>
      <c r="W103" s="4">
        <f t="shared" si="5"/>
        <v>582.8282579</v>
      </c>
      <c r="X103" s="4">
        <f t="shared" si="6"/>
        <v>506.951769</v>
      </c>
    </row>
    <row r="104">
      <c r="A104" s="3">
        <v>40868.0</v>
      </c>
      <c r="B104" s="2">
        <v>249.0</v>
      </c>
      <c r="C104" s="2">
        <v>898.0</v>
      </c>
      <c r="D104" s="2">
        <v>753.0</v>
      </c>
      <c r="E104" s="2">
        <v>455.0</v>
      </c>
      <c r="F104" s="2">
        <v>1037.0</v>
      </c>
      <c r="G104" s="2">
        <v>1692.0</v>
      </c>
      <c r="H104" s="2">
        <v>959.0</v>
      </c>
      <c r="I104" s="2">
        <v>2755.0</v>
      </c>
      <c r="J104" s="2">
        <v>253.0</v>
      </c>
      <c r="K104" s="2">
        <v>276.0</v>
      </c>
      <c r="L104" s="4">
        <f t="shared" si="7"/>
        <v>1200</v>
      </c>
      <c r="M104" s="4">
        <f t="shared" si="8"/>
        <v>-302</v>
      </c>
      <c r="N104" s="4">
        <f t="shared" si="9"/>
        <v>302</v>
      </c>
      <c r="O104" s="4">
        <f t="shared" si="1"/>
        <v>693.544677</v>
      </c>
      <c r="P104" s="4">
        <f t="shared" si="2"/>
        <v>914.0202194</v>
      </c>
      <c r="Q104" s="4">
        <f t="shared" si="3"/>
        <v>1068.524116</v>
      </c>
      <c r="V104" s="4">
        <f t="shared" si="4"/>
        <v>204.455323</v>
      </c>
      <c r="W104" s="4">
        <f t="shared" si="5"/>
        <v>16.02021945</v>
      </c>
      <c r="X104" s="4">
        <f t="shared" si="6"/>
        <v>170.5241155</v>
      </c>
    </row>
    <row r="105">
      <c r="A105" s="3">
        <v>40875.0</v>
      </c>
      <c r="B105" s="2">
        <v>226.0</v>
      </c>
      <c r="C105" s="2">
        <v>726.0</v>
      </c>
      <c r="D105" s="2">
        <v>1040.0</v>
      </c>
      <c r="E105" s="2">
        <v>105.0</v>
      </c>
      <c r="F105" s="2">
        <v>953.0</v>
      </c>
      <c r="G105" s="2">
        <v>1564.0</v>
      </c>
      <c r="H105" s="2">
        <v>314.0</v>
      </c>
      <c r="I105" s="2">
        <v>3275.0</v>
      </c>
      <c r="J105" s="2">
        <v>436.0</v>
      </c>
      <c r="K105" s="2">
        <v>331.0</v>
      </c>
      <c r="L105" s="4">
        <f t="shared" si="7"/>
        <v>931.6666667</v>
      </c>
      <c r="M105" s="4">
        <f t="shared" si="8"/>
        <v>-205.6666667</v>
      </c>
      <c r="N105" s="4">
        <f t="shared" si="9"/>
        <v>205.6666667</v>
      </c>
      <c r="O105" s="4">
        <f t="shared" si="1"/>
        <v>713.9902093</v>
      </c>
      <c r="P105" s="4">
        <f t="shared" si="2"/>
        <v>909.2141536</v>
      </c>
      <c r="Q105" s="4">
        <f t="shared" si="3"/>
        <v>983.2620578</v>
      </c>
      <c r="V105" s="4">
        <f t="shared" si="4"/>
        <v>12.00979067</v>
      </c>
      <c r="W105" s="4">
        <f t="shared" si="5"/>
        <v>183.2141536</v>
      </c>
      <c r="X105" s="4">
        <f t="shared" si="6"/>
        <v>257.2620578</v>
      </c>
    </row>
    <row r="106">
      <c r="T106" s="1" t="s">
        <v>21</v>
      </c>
      <c r="U106" s="5">
        <f>AVERAGE(N94:N105)</f>
        <v>322.8888889</v>
      </c>
    </row>
    <row r="107">
      <c r="T107" s="1" t="s">
        <v>22</v>
      </c>
      <c r="U107" s="5">
        <f>AVERAGE(V94:V105)</f>
        <v>292.3487789</v>
      </c>
    </row>
    <row r="108">
      <c r="T108" s="1" t="s">
        <v>23</v>
      </c>
      <c r="U108" s="5">
        <f>AVERAGE(W94:W105)</f>
        <v>310.9162323</v>
      </c>
    </row>
    <row r="109">
      <c r="T109" s="1" t="s">
        <v>24</v>
      </c>
      <c r="U109" s="5">
        <f>AVERAGE(X94:X105)</f>
        <v>360.6419063</v>
      </c>
    </row>
    <row r="111">
      <c r="V111" s="1" t="s">
        <v>25</v>
      </c>
      <c r="W111" s="1" t="s">
        <v>26</v>
      </c>
    </row>
    <row r="112">
      <c r="V112" s="4">
        <f>AVERAGE(C2:C105)</f>
        <v>850.5673077</v>
      </c>
      <c r="W112" s="4">
        <f>STDEV(C2:C105)</f>
        <v>496.452322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0.1</v>
      </c>
      <c r="V1" s="1" t="s">
        <v>18</v>
      </c>
      <c r="W1" s="1" t="s">
        <v>19</v>
      </c>
      <c r="X1" s="1" t="s">
        <v>20</v>
      </c>
    </row>
    <row r="2">
      <c r="A2" s="3">
        <v>40154.0</v>
      </c>
      <c r="B2" s="2">
        <v>0.0</v>
      </c>
      <c r="C2" s="2">
        <v>0.0</v>
      </c>
      <c r="D2" s="2">
        <v>1233.0</v>
      </c>
      <c r="E2" s="2">
        <v>19.0</v>
      </c>
      <c r="F2" s="2">
        <v>1213.0</v>
      </c>
      <c r="G2" s="2">
        <v>663.0</v>
      </c>
      <c r="H2" s="2">
        <v>175.0</v>
      </c>
      <c r="I2" s="2">
        <v>153.0</v>
      </c>
      <c r="J2" s="2">
        <v>0.0</v>
      </c>
      <c r="K2" s="2">
        <v>324.0</v>
      </c>
      <c r="O2" s="4">
        <f>(C2)</f>
        <v>0</v>
      </c>
      <c r="P2" s="4">
        <f>(C2)</f>
        <v>0</v>
      </c>
      <c r="Q2" s="4">
        <f>(C2)</f>
        <v>0</v>
      </c>
      <c r="S2" s="2">
        <v>0.3</v>
      </c>
    </row>
    <row r="3">
      <c r="A3" s="3">
        <v>40161.0</v>
      </c>
      <c r="B3" s="2">
        <v>0.0</v>
      </c>
      <c r="C3" s="2">
        <v>0.0</v>
      </c>
      <c r="D3" s="2">
        <v>1304.0</v>
      </c>
      <c r="E3" s="2">
        <v>52.0</v>
      </c>
      <c r="F3" s="2">
        <v>1324.0</v>
      </c>
      <c r="G3" s="2">
        <v>572.0</v>
      </c>
      <c r="H3" s="2">
        <v>173.0</v>
      </c>
      <c r="I3" s="2">
        <v>644.0</v>
      </c>
      <c r="J3" s="2">
        <v>0.0</v>
      </c>
      <c r="K3" s="2">
        <v>236.0</v>
      </c>
      <c r="O3" s="4">
        <f t="shared" ref="O3:O105" si="1">($S$1*C2+(1-$S$1)*O2)</f>
        <v>0</v>
      </c>
      <c r="P3" s="4">
        <f t="shared" ref="P3:P105" si="2">($S$2*C2+(1-$S$2)*P2)</f>
        <v>0</v>
      </c>
      <c r="Q3" s="4">
        <f t="shared" ref="Q3:Q105" si="3">($S$3*C2+(1-$S$3)*Q2)</f>
        <v>0</v>
      </c>
      <c r="S3" s="2">
        <v>0.5</v>
      </c>
      <c r="V3" s="4">
        <f t="shared" ref="V3:V105" si="4">ABS(C3-O3)</f>
        <v>0</v>
      </c>
      <c r="W3" s="4">
        <f t="shared" ref="W3:W105" si="5">ABS(C3-P3)</f>
        <v>0</v>
      </c>
      <c r="X3" s="4">
        <f t="shared" ref="X3:X105" si="6">ABS(C3-Q3)</f>
        <v>0</v>
      </c>
    </row>
    <row r="4">
      <c r="A4" s="3">
        <v>40168.0</v>
      </c>
      <c r="B4" s="2">
        <v>0.0</v>
      </c>
      <c r="C4" s="2">
        <v>0.0</v>
      </c>
      <c r="D4" s="2">
        <v>36.0</v>
      </c>
      <c r="E4" s="2">
        <v>1.0</v>
      </c>
      <c r="F4" s="2">
        <v>82.0</v>
      </c>
      <c r="G4" s="2">
        <v>69.0</v>
      </c>
      <c r="H4" s="2">
        <v>19.0</v>
      </c>
      <c r="I4" s="2">
        <v>2.0</v>
      </c>
      <c r="J4" s="2">
        <v>0.0</v>
      </c>
      <c r="K4" s="2">
        <v>111.0</v>
      </c>
      <c r="O4" s="4">
        <f t="shared" si="1"/>
        <v>0</v>
      </c>
      <c r="P4" s="4">
        <f t="shared" si="2"/>
        <v>0</v>
      </c>
      <c r="Q4" s="4">
        <f t="shared" si="3"/>
        <v>0</v>
      </c>
      <c r="V4" s="4">
        <f t="shared" si="4"/>
        <v>0</v>
      </c>
      <c r="W4" s="4">
        <f t="shared" si="5"/>
        <v>0</v>
      </c>
      <c r="X4" s="4">
        <f t="shared" si="6"/>
        <v>0</v>
      </c>
    </row>
    <row r="5">
      <c r="A5" s="3">
        <v>40175.0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f t="shared" ref="L5:L105" si="7">AVERAGE(C2:C4)</f>
        <v>0</v>
      </c>
      <c r="M5" s="4">
        <f t="shared" ref="M5:M105" si="8">(C5-L5)</f>
        <v>0</v>
      </c>
      <c r="N5" s="4">
        <f t="shared" ref="N5:N105" si="9">ABS(M5)</f>
        <v>0</v>
      </c>
      <c r="O5" s="4">
        <f t="shared" si="1"/>
        <v>0</v>
      </c>
      <c r="P5" s="4">
        <f t="shared" si="2"/>
        <v>0</v>
      </c>
      <c r="Q5" s="4">
        <f t="shared" si="3"/>
        <v>0</v>
      </c>
      <c r="V5" s="4">
        <f t="shared" si="4"/>
        <v>0</v>
      </c>
      <c r="W5" s="4">
        <f t="shared" si="5"/>
        <v>0</v>
      </c>
      <c r="X5" s="4">
        <f t="shared" si="6"/>
        <v>0</v>
      </c>
    </row>
    <row r="6">
      <c r="A6" s="3">
        <v>40182.0</v>
      </c>
      <c r="B6" s="2">
        <v>0.0</v>
      </c>
      <c r="C6" s="2">
        <v>0.0</v>
      </c>
      <c r="D6" s="2">
        <v>1152.0</v>
      </c>
      <c r="E6" s="2">
        <v>47.0</v>
      </c>
      <c r="F6" s="2">
        <v>168.0</v>
      </c>
      <c r="G6" s="2">
        <v>0.0</v>
      </c>
      <c r="H6" s="2">
        <v>17.0</v>
      </c>
      <c r="I6" s="2">
        <v>21.0</v>
      </c>
      <c r="J6" s="2">
        <v>0.0</v>
      </c>
      <c r="K6" s="2">
        <v>324.0</v>
      </c>
      <c r="L6" s="4">
        <f t="shared" si="7"/>
        <v>0</v>
      </c>
      <c r="M6" s="4">
        <f t="shared" si="8"/>
        <v>0</v>
      </c>
      <c r="N6" s="4">
        <f t="shared" si="9"/>
        <v>0</v>
      </c>
      <c r="O6" s="4">
        <f t="shared" si="1"/>
        <v>0</v>
      </c>
      <c r="P6" s="4">
        <f t="shared" si="2"/>
        <v>0</v>
      </c>
      <c r="Q6" s="4">
        <f t="shared" si="3"/>
        <v>0</v>
      </c>
      <c r="V6" s="4">
        <f t="shared" si="4"/>
        <v>0</v>
      </c>
      <c r="W6" s="4">
        <f t="shared" si="5"/>
        <v>0</v>
      </c>
      <c r="X6" s="4">
        <f t="shared" si="6"/>
        <v>0</v>
      </c>
    </row>
    <row r="7">
      <c r="A7" s="3">
        <v>40189.0</v>
      </c>
      <c r="B7" s="2">
        <v>0.0</v>
      </c>
      <c r="C7" s="2">
        <v>0.0</v>
      </c>
      <c r="D7" s="2">
        <v>928.0</v>
      </c>
      <c r="E7" s="2">
        <v>64.0</v>
      </c>
      <c r="F7" s="2">
        <v>233.0</v>
      </c>
      <c r="G7" s="2">
        <v>20.0</v>
      </c>
      <c r="H7" s="2">
        <v>23.0</v>
      </c>
      <c r="I7" s="2">
        <v>72.0</v>
      </c>
      <c r="J7" s="2">
        <v>0.0</v>
      </c>
      <c r="K7" s="2">
        <v>190.0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"/>
        <v>0</v>
      </c>
      <c r="P7" s="4">
        <f t="shared" si="2"/>
        <v>0</v>
      </c>
      <c r="Q7" s="4">
        <f t="shared" si="3"/>
        <v>0</v>
      </c>
      <c r="V7" s="4">
        <f t="shared" si="4"/>
        <v>0</v>
      </c>
      <c r="W7" s="4">
        <f t="shared" si="5"/>
        <v>0</v>
      </c>
      <c r="X7" s="4">
        <f t="shared" si="6"/>
        <v>0</v>
      </c>
    </row>
    <row r="8">
      <c r="A8" s="3">
        <v>40196.0</v>
      </c>
      <c r="B8" s="2">
        <v>0.0</v>
      </c>
      <c r="C8" s="2">
        <v>0.0</v>
      </c>
      <c r="D8" s="2">
        <v>627.0</v>
      </c>
      <c r="E8" s="2">
        <v>49.0</v>
      </c>
      <c r="F8" s="2">
        <v>897.0</v>
      </c>
      <c r="G8" s="2">
        <v>3.0</v>
      </c>
      <c r="H8" s="2">
        <v>0.0</v>
      </c>
      <c r="I8" s="2">
        <v>23.0</v>
      </c>
      <c r="J8" s="2">
        <v>0.0</v>
      </c>
      <c r="K8" s="2">
        <v>479.0</v>
      </c>
      <c r="L8" s="4">
        <f t="shared" si="7"/>
        <v>0</v>
      </c>
      <c r="M8" s="4">
        <f t="shared" si="8"/>
        <v>0</v>
      </c>
      <c r="N8" s="4">
        <f t="shared" si="9"/>
        <v>0</v>
      </c>
      <c r="O8" s="4">
        <f t="shared" si="1"/>
        <v>0</v>
      </c>
      <c r="P8" s="4">
        <f t="shared" si="2"/>
        <v>0</v>
      </c>
      <c r="Q8" s="4">
        <f t="shared" si="3"/>
        <v>0</v>
      </c>
      <c r="V8" s="4">
        <f t="shared" si="4"/>
        <v>0</v>
      </c>
      <c r="W8" s="4">
        <f t="shared" si="5"/>
        <v>0</v>
      </c>
      <c r="X8" s="4">
        <f t="shared" si="6"/>
        <v>0</v>
      </c>
    </row>
    <row r="9">
      <c r="A9" s="3">
        <v>40203.0</v>
      </c>
      <c r="B9" s="2">
        <v>0.0</v>
      </c>
      <c r="C9" s="2">
        <v>114.0</v>
      </c>
      <c r="D9" s="2">
        <v>864.0</v>
      </c>
      <c r="E9" s="2">
        <v>186.0</v>
      </c>
      <c r="F9" s="2">
        <v>211.0</v>
      </c>
      <c r="G9" s="2">
        <v>0.0</v>
      </c>
      <c r="H9" s="2">
        <v>0.0</v>
      </c>
      <c r="I9" s="2">
        <v>621.0</v>
      </c>
      <c r="J9" s="2">
        <v>114.0</v>
      </c>
      <c r="K9" s="2">
        <v>504.0</v>
      </c>
      <c r="L9" s="4">
        <f t="shared" si="7"/>
        <v>0</v>
      </c>
      <c r="M9" s="4">
        <f t="shared" si="8"/>
        <v>114</v>
      </c>
      <c r="N9" s="4">
        <f t="shared" si="9"/>
        <v>114</v>
      </c>
      <c r="O9" s="4">
        <f t="shared" si="1"/>
        <v>0</v>
      </c>
      <c r="P9" s="4">
        <f t="shared" si="2"/>
        <v>0</v>
      </c>
      <c r="Q9" s="4">
        <f t="shared" si="3"/>
        <v>0</v>
      </c>
      <c r="V9" s="4">
        <f t="shared" si="4"/>
        <v>114</v>
      </c>
      <c r="W9" s="4">
        <f t="shared" si="5"/>
        <v>114</v>
      </c>
      <c r="X9" s="4">
        <f t="shared" si="6"/>
        <v>114</v>
      </c>
    </row>
    <row r="10">
      <c r="A10" s="3">
        <v>40210.0</v>
      </c>
      <c r="B10" s="2">
        <v>0.0</v>
      </c>
      <c r="C10" s="2">
        <v>338.0</v>
      </c>
      <c r="D10" s="2">
        <v>488.0</v>
      </c>
      <c r="E10" s="2">
        <v>53.0</v>
      </c>
      <c r="F10" s="2">
        <v>274.0</v>
      </c>
      <c r="G10" s="2">
        <v>0.0</v>
      </c>
      <c r="H10" s="2">
        <v>24.0</v>
      </c>
      <c r="I10" s="2">
        <v>81.0</v>
      </c>
      <c r="J10" s="2">
        <v>338.0</v>
      </c>
      <c r="K10" s="2">
        <v>326.0</v>
      </c>
      <c r="L10" s="4">
        <f t="shared" si="7"/>
        <v>38</v>
      </c>
      <c r="M10" s="4">
        <f t="shared" si="8"/>
        <v>300</v>
      </c>
      <c r="N10" s="4">
        <f t="shared" si="9"/>
        <v>300</v>
      </c>
      <c r="O10" s="4">
        <f t="shared" si="1"/>
        <v>11.4</v>
      </c>
      <c r="P10" s="4">
        <f t="shared" si="2"/>
        <v>34.2</v>
      </c>
      <c r="Q10" s="4">
        <f t="shared" si="3"/>
        <v>57</v>
      </c>
      <c r="V10" s="4">
        <f t="shared" si="4"/>
        <v>326.6</v>
      </c>
      <c r="W10" s="4">
        <f t="shared" si="5"/>
        <v>303.8</v>
      </c>
      <c r="X10" s="4">
        <f t="shared" si="6"/>
        <v>281</v>
      </c>
    </row>
    <row r="11">
      <c r="A11" s="3">
        <v>40217.0</v>
      </c>
      <c r="B11" s="2">
        <v>0.0</v>
      </c>
      <c r="C11" s="2">
        <v>314.0</v>
      </c>
      <c r="D11" s="2">
        <v>547.0</v>
      </c>
      <c r="E11" s="2">
        <v>51.0</v>
      </c>
      <c r="F11" s="2">
        <v>512.0</v>
      </c>
      <c r="G11" s="2">
        <v>0.0</v>
      </c>
      <c r="H11" s="2">
        <v>0.0</v>
      </c>
      <c r="I11" s="2">
        <v>68.0</v>
      </c>
      <c r="J11" s="2">
        <v>314.0</v>
      </c>
      <c r="K11" s="2">
        <v>213.0</v>
      </c>
      <c r="L11" s="4">
        <f t="shared" si="7"/>
        <v>150.6666667</v>
      </c>
      <c r="M11" s="4">
        <f t="shared" si="8"/>
        <v>163.3333333</v>
      </c>
      <c r="N11" s="4">
        <f t="shared" si="9"/>
        <v>163.3333333</v>
      </c>
      <c r="O11" s="4">
        <f t="shared" si="1"/>
        <v>44.06</v>
      </c>
      <c r="P11" s="4">
        <f t="shared" si="2"/>
        <v>125.34</v>
      </c>
      <c r="Q11" s="4">
        <f t="shared" si="3"/>
        <v>197.5</v>
      </c>
      <c r="V11" s="4">
        <f t="shared" si="4"/>
        <v>269.94</v>
      </c>
      <c r="W11" s="4">
        <f t="shared" si="5"/>
        <v>188.66</v>
      </c>
      <c r="X11" s="4">
        <f t="shared" si="6"/>
        <v>116.5</v>
      </c>
    </row>
    <row r="12">
      <c r="A12" s="3">
        <v>40224.0</v>
      </c>
      <c r="B12" s="2">
        <v>0.0</v>
      </c>
      <c r="C12" s="2">
        <v>720.0</v>
      </c>
      <c r="D12" s="2">
        <v>1014.0</v>
      </c>
      <c r="E12" s="2">
        <v>159.0</v>
      </c>
      <c r="F12" s="2">
        <v>587.0</v>
      </c>
      <c r="G12" s="2">
        <v>0.0</v>
      </c>
      <c r="H12" s="2">
        <v>1.0</v>
      </c>
      <c r="I12" s="2">
        <v>19.0</v>
      </c>
      <c r="J12" s="2">
        <v>720.0</v>
      </c>
      <c r="K12" s="2">
        <v>442.0</v>
      </c>
      <c r="L12" s="4">
        <f t="shared" si="7"/>
        <v>255.3333333</v>
      </c>
      <c r="M12" s="4">
        <f t="shared" si="8"/>
        <v>464.6666667</v>
      </c>
      <c r="N12" s="4">
        <f t="shared" si="9"/>
        <v>464.6666667</v>
      </c>
      <c r="O12" s="4">
        <f t="shared" si="1"/>
        <v>71.054</v>
      </c>
      <c r="P12" s="4">
        <f t="shared" si="2"/>
        <v>181.938</v>
      </c>
      <c r="Q12" s="4">
        <f t="shared" si="3"/>
        <v>255.75</v>
      </c>
      <c r="V12" s="4">
        <f t="shared" si="4"/>
        <v>648.946</v>
      </c>
      <c r="W12" s="4">
        <f t="shared" si="5"/>
        <v>538.062</v>
      </c>
      <c r="X12" s="4">
        <f t="shared" si="6"/>
        <v>464.25</v>
      </c>
    </row>
    <row r="13">
      <c r="A13" s="3">
        <v>40231.0</v>
      </c>
      <c r="B13" s="2">
        <v>0.0</v>
      </c>
      <c r="C13" s="2">
        <v>551.0</v>
      </c>
      <c r="D13" s="2">
        <v>613.0</v>
      </c>
      <c r="E13" s="2">
        <v>79.0</v>
      </c>
      <c r="F13" s="2">
        <v>294.0</v>
      </c>
      <c r="G13" s="2">
        <v>0.0</v>
      </c>
      <c r="H13" s="2">
        <v>0.0</v>
      </c>
      <c r="I13" s="2">
        <v>1407.0</v>
      </c>
      <c r="J13" s="2">
        <v>551.0</v>
      </c>
      <c r="K13" s="2">
        <v>272.0</v>
      </c>
      <c r="L13" s="4">
        <f t="shared" si="7"/>
        <v>457.3333333</v>
      </c>
      <c r="M13" s="4">
        <f t="shared" si="8"/>
        <v>93.66666667</v>
      </c>
      <c r="N13" s="4">
        <f t="shared" si="9"/>
        <v>93.66666667</v>
      </c>
      <c r="O13" s="4">
        <f t="shared" si="1"/>
        <v>135.9486</v>
      </c>
      <c r="P13" s="4">
        <f t="shared" si="2"/>
        <v>343.3566</v>
      </c>
      <c r="Q13" s="4">
        <f t="shared" si="3"/>
        <v>487.875</v>
      </c>
      <c r="V13" s="4">
        <f t="shared" si="4"/>
        <v>415.0514</v>
      </c>
      <c r="W13" s="4">
        <f t="shared" si="5"/>
        <v>207.6434</v>
      </c>
      <c r="X13" s="4">
        <f t="shared" si="6"/>
        <v>63.125</v>
      </c>
    </row>
    <row r="14">
      <c r="A14" s="3">
        <v>40238.0</v>
      </c>
      <c r="B14" s="2">
        <v>0.0</v>
      </c>
      <c r="C14" s="2">
        <v>306.0</v>
      </c>
      <c r="D14" s="2">
        <v>754.0</v>
      </c>
      <c r="E14" s="2">
        <v>78.0</v>
      </c>
      <c r="F14" s="2">
        <v>735.0</v>
      </c>
      <c r="G14" s="2">
        <v>3.0</v>
      </c>
      <c r="H14" s="2">
        <v>2.0</v>
      </c>
      <c r="I14" s="2">
        <v>133.0</v>
      </c>
      <c r="J14" s="2">
        <v>306.0</v>
      </c>
      <c r="K14" s="2">
        <v>409.0</v>
      </c>
      <c r="L14" s="4">
        <f t="shared" si="7"/>
        <v>528.3333333</v>
      </c>
      <c r="M14" s="4">
        <f t="shared" si="8"/>
        <v>-222.3333333</v>
      </c>
      <c r="N14" s="4">
        <f t="shared" si="9"/>
        <v>222.3333333</v>
      </c>
      <c r="O14" s="4">
        <f t="shared" si="1"/>
        <v>177.45374</v>
      </c>
      <c r="P14" s="4">
        <f t="shared" si="2"/>
        <v>405.64962</v>
      </c>
      <c r="Q14" s="4">
        <f t="shared" si="3"/>
        <v>519.4375</v>
      </c>
      <c r="V14" s="4">
        <f t="shared" si="4"/>
        <v>128.54626</v>
      </c>
      <c r="W14" s="4">
        <f t="shared" si="5"/>
        <v>99.64962</v>
      </c>
      <c r="X14" s="4">
        <f t="shared" si="6"/>
        <v>213.4375</v>
      </c>
    </row>
    <row r="15">
      <c r="A15" s="3">
        <v>40245.0</v>
      </c>
      <c r="B15" s="2">
        <v>0.0</v>
      </c>
      <c r="C15" s="2">
        <v>405.0</v>
      </c>
      <c r="D15" s="2">
        <v>800.0</v>
      </c>
      <c r="E15" s="2">
        <v>262.0</v>
      </c>
      <c r="F15" s="2">
        <v>917.0</v>
      </c>
      <c r="G15" s="2">
        <v>0.0</v>
      </c>
      <c r="H15" s="2">
        <v>0.0</v>
      </c>
      <c r="I15" s="2">
        <v>47.0</v>
      </c>
      <c r="J15" s="2">
        <v>405.0</v>
      </c>
      <c r="K15" s="2">
        <v>337.0</v>
      </c>
      <c r="L15" s="4">
        <f t="shared" si="7"/>
        <v>525.6666667</v>
      </c>
      <c r="M15" s="4">
        <f t="shared" si="8"/>
        <v>-120.6666667</v>
      </c>
      <c r="N15" s="4">
        <f t="shared" si="9"/>
        <v>120.6666667</v>
      </c>
      <c r="O15" s="4">
        <f t="shared" si="1"/>
        <v>190.308366</v>
      </c>
      <c r="P15" s="4">
        <f t="shared" si="2"/>
        <v>375.754734</v>
      </c>
      <c r="Q15" s="4">
        <f t="shared" si="3"/>
        <v>412.71875</v>
      </c>
      <c r="V15" s="4">
        <f t="shared" si="4"/>
        <v>214.691634</v>
      </c>
      <c r="W15" s="4">
        <f t="shared" si="5"/>
        <v>29.245266</v>
      </c>
      <c r="X15" s="4">
        <f t="shared" si="6"/>
        <v>7.71875</v>
      </c>
    </row>
    <row r="16">
      <c r="A16" s="3">
        <v>40252.0</v>
      </c>
      <c r="B16" s="2">
        <v>194.0</v>
      </c>
      <c r="C16" s="2">
        <v>179.0</v>
      </c>
      <c r="D16" s="2">
        <v>555.0</v>
      </c>
      <c r="E16" s="2">
        <v>224.0</v>
      </c>
      <c r="F16" s="2">
        <v>551.0</v>
      </c>
      <c r="G16" s="2">
        <v>12.0</v>
      </c>
      <c r="H16" s="2">
        <v>0.0</v>
      </c>
      <c r="I16" s="2">
        <v>826.0</v>
      </c>
      <c r="J16" s="2">
        <v>179.0</v>
      </c>
      <c r="K16" s="2">
        <v>375.0</v>
      </c>
      <c r="L16" s="4">
        <f t="shared" si="7"/>
        <v>420.6666667</v>
      </c>
      <c r="M16" s="4">
        <f t="shared" si="8"/>
        <v>-241.6666667</v>
      </c>
      <c r="N16" s="4">
        <f t="shared" si="9"/>
        <v>241.6666667</v>
      </c>
      <c r="O16" s="4">
        <f t="shared" si="1"/>
        <v>211.7775294</v>
      </c>
      <c r="P16" s="4">
        <f t="shared" si="2"/>
        <v>384.5283138</v>
      </c>
      <c r="Q16" s="4">
        <f t="shared" si="3"/>
        <v>408.859375</v>
      </c>
      <c r="V16" s="4">
        <f t="shared" si="4"/>
        <v>32.7775294</v>
      </c>
      <c r="W16" s="4">
        <f t="shared" si="5"/>
        <v>205.5283138</v>
      </c>
      <c r="X16" s="4">
        <f t="shared" si="6"/>
        <v>229.859375</v>
      </c>
    </row>
    <row r="17">
      <c r="A17" s="3">
        <v>40259.0</v>
      </c>
      <c r="B17" s="2">
        <v>410.0</v>
      </c>
      <c r="C17" s="2">
        <v>467.0</v>
      </c>
      <c r="D17" s="2">
        <v>930.0</v>
      </c>
      <c r="E17" s="2">
        <v>212.0</v>
      </c>
      <c r="F17" s="2">
        <v>808.0</v>
      </c>
      <c r="G17" s="2">
        <v>0.0</v>
      </c>
      <c r="H17" s="2">
        <v>0.0</v>
      </c>
      <c r="I17" s="2">
        <v>103.0</v>
      </c>
      <c r="J17" s="2">
        <v>467.0</v>
      </c>
      <c r="K17" s="2">
        <v>177.0</v>
      </c>
      <c r="L17" s="4">
        <f t="shared" si="7"/>
        <v>296.6666667</v>
      </c>
      <c r="M17" s="4">
        <f t="shared" si="8"/>
        <v>170.3333333</v>
      </c>
      <c r="N17" s="4">
        <f t="shared" si="9"/>
        <v>170.3333333</v>
      </c>
      <c r="O17" s="4">
        <f t="shared" si="1"/>
        <v>208.4997765</v>
      </c>
      <c r="P17" s="4">
        <f t="shared" si="2"/>
        <v>322.8698197</v>
      </c>
      <c r="Q17" s="4">
        <f t="shared" si="3"/>
        <v>293.9296875</v>
      </c>
      <c r="V17" s="4">
        <f t="shared" si="4"/>
        <v>258.5002235</v>
      </c>
      <c r="W17" s="4">
        <f t="shared" si="5"/>
        <v>144.1301803</v>
      </c>
      <c r="X17" s="4">
        <f t="shared" si="6"/>
        <v>173.0703125</v>
      </c>
    </row>
    <row r="18">
      <c r="A18" s="3">
        <v>40266.0</v>
      </c>
      <c r="B18" s="2">
        <v>186.0</v>
      </c>
      <c r="C18" s="2">
        <v>331.0</v>
      </c>
      <c r="D18" s="2">
        <v>588.0</v>
      </c>
      <c r="E18" s="2">
        <v>149.0</v>
      </c>
      <c r="F18" s="2">
        <v>331.0</v>
      </c>
      <c r="G18" s="2">
        <v>2.0</v>
      </c>
      <c r="H18" s="2">
        <v>450.0</v>
      </c>
      <c r="I18" s="2">
        <v>423.0</v>
      </c>
      <c r="J18" s="2">
        <v>331.0</v>
      </c>
      <c r="K18" s="2">
        <v>425.0</v>
      </c>
      <c r="L18" s="4">
        <f t="shared" si="7"/>
        <v>350.3333333</v>
      </c>
      <c r="M18" s="4">
        <f t="shared" si="8"/>
        <v>-19.33333333</v>
      </c>
      <c r="N18" s="4">
        <f t="shared" si="9"/>
        <v>19.33333333</v>
      </c>
      <c r="O18" s="4">
        <f t="shared" si="1"/>
        <v>234.3497988</v>
      </c>
      <c r="P18" s="4">
        <f t="shared" si="2"/>
        <v>366.1088738</v>
      </c>
      <c r="Q18" s="4">
        <f t="shared" si="3"/>
        <v>380.4648438</v>
      </c>
      <c r="V18" s="4">
        <f t="shared" si="4"/>
        <v>96.65020119</v>
      </c>
      <c r="W18" s="4">
        <f t="shared" si="5"/>
        <v>35.10887376</v>
      </c>
      <c r="X18" s="4">
        <f t="shared" si="6"/>
        <v>49.46484375</v>
      </c>
    </row>
    <row r="19">
      <c r="A19" s="3">
        <v>40273.0</v>
      </c>
      <c r="B19" s="2">
        <v>230.0</v>
      </c>
      <c r="C19" s="2">
        <v>164.0</v>
      </c>
      <c r="D19" s="2">
        <v>416.0</v>
      </c>
      <c r="E19" s="2">
        <v>179.0</v>
      </c>
      <c r="F19" s="2">
        <v>736.0</v>
      </c>
      <c r="G19" s="2">
        <v>0.0</v>
      </c>
      <c r="H19" s="2">
        <v>216.0</v>
      </c>
      <c r="I19" s="2">
        <v>716.0</v>
      </c>
      <c r="J19" s="2">
        <v>164.0</v>
      </c>
      <c r="K19" s="2">
        <v>298.0</v>
      </c>
      <c r="L19" s="4">
        <f t="shared" si="7"/>
        <v>325.6666667</v>
      </c>
      <c r="M19" s="4">
        <f t="shared" si="8"/>
        <v>-161.6666667</v>
      </c>
      <c r="N19" s="4">
        <f t="shared" si="9"/>
        <v>161.6666667</v>
      </c>
      <c r="O19" s="4">
        <f t="shared" si="1"/>
        <v>244.0148189</v>
      </c>
      <c r="P19" s="4">
        <f t="shared" si="2"/>
        <v>355.5762116</v>
      </c>
      <c r="Q19" s="4">
        <f t="shared" si="3"/>
        <v>355.7324219</v>
      </c>
      <c r="V19" s="4">
        <f t="shared" si="4"/>
        <v>80.01481893</v>
      </c>
      <c r="W19" s="4">
        <f t="shared" si="5"/>
        <v>191.5762116</v>
      </c>
      <c r="X19" s="4">
        <f t="shared" si="6"/>
        <v>191.7324219</v>
      </c>
    </row>
    <row r="20">
      <c r="A20" s="3">
        <v>40280.0</v>
      </c>
      <c r="B20" s="2">
        <v>293.0</v>
      </c>
      <c r="C20" s="2">
        <v>218.0</v>
      </c>
      <c r="D20" s="2">
        <v>1007.0</v>
      </c>
      <c r="E20" s="2">
        <v>386.0</v>
      </c>
      <c r="F20" s="2">
        <v>653.0</v>
      </c>
      <c r="G20" s="2">
        <v>0.0</v>
      </c>
      <c r="H20" s="2">
        <v>91.0</v>
      </c>
      <c r="I20" s="2">
        <v>224.0</v>
      </c>
      <c r="J20" s="2">
        <v>218.0</v>
      </c>
      <c r="K20" s="2">
        <v>477.0</v>
      </c>
      <c r="L20" s="4">
        <f t="shared" si="7"/>
        <v>320.6666667</v>
      </c>
      <c r="M20" s="4">
        <f t="shared" si="8"/>
        <v>-102.6666667</v>
      </c>
      <c r="N20" s="4">
        <f t="shared" si="9"/>
        <v>102.6666667</v>
      </c>
      <c r="O20" s="4">
        <f t="shared" si="1"/>
        <v>236.013337</v>
      </c>
      <c r="P20" s="4">
        <f t="shared" si="2"/>
        <v>298.1033481</v>
      </c>
      <c r="Q20" s="4">
        <f t="shared" si="3"/>
        <v>259.8662109</v>
      </c>
      <c r="V20" s="4">
        <f t="shared" si="4"/>
        <v>18.01333704</v>
      </c>
      <c r="W20" s="4">
        <f t="shared" si="5"/>
        <v>80.10334814</v>
      </c>
      <c r="X20" s="4">
        <f t="shared" si="6"/>
        <v>41.86621094</v>
      </c>
    </row>
    <row r="21">
      <c r="A21" s="3">
        <v>40287.0</v>
      </c>
      <c r="B21" s="2">
        <v>349.0</v>
      </c>
      <c r="C21" s="2">
        <v>248.0</v>
      </c>
      <c r="D21" s="2">
        <v>645.0</v>
      </c>
      <c r="E21" s="2">
        <v>525.0</v>
      </c>
      <c r="F21" s="2">
        <v>504.0</v>
      </c>
      <c r="G21" s="2">
        <v>1.0</v>
      </c>
      <c r="H21" s="2">
        <v>116.0</v>
      </c>
      <c r="I21" s="2">
        <v>378.0</v>
      </c>
      <c r="J21" s="2">
        <v>248.0</v>
      </c>
      <c r="K21" s="2">
        <v>297.0</v>
      </c>
      <c r="L21" s="4">
        <f t="shared" si="7"/>
        <v>237.6666667</v>
      </c>
      <c r="M21" s="4">
        <f t="shared" si="8"/>
        <v>10.33333333</v>
      </c>
      <c r="N21" s="4">
        <f t="shared" si="9"/>
        <v>10.33333333</v>
      </c>
      <c r="O21" s="4">
        <f t="shared" si="1"/>
        <v>234.2120033</v>
      </c>
      <c r="P21" s="4">
        <f t="shared" si="2"/>
        <v>274.0723437</v>
      </c>
      <c r="Q21" s="4">
        <f t="shared" si="3"/>
        <v>238.9331055</v>
      </c>
      <c r="V21" s="4">
        <f t="shared" si="4"/>
        <v>13.78799666</v>
      </c>
      <c r="W21" s="4">
        <f t="shared" si="5"/>
        <v>26.0723437</v>
      </c>
      <c r="X21" s="4">
        <f t="shared" si="6"/>
        <v>9.066894531</v>
      </c>
    </row>
    <row r="22">
      <c r="A22" s="3">
        <v>40294.0</v>
      </c>
      <c r="B22" s="2">
        <v>276.0</v>
      </c>
      <c r="C22" s="2">
        <v>386.0</v>
      </c>
      <c r="D22" s="2">
        <v>1539.0</v>
      </c>
      <c r="E22" s="2">
        <v>418.0</v>
      </c>
      <c r="F22" s="2">
        <v>919.0</v>
      </c>
      <c r="G22" s="2">
        <v>18.0</v>
      </c>
      <c r="H22" s="2">
        <v>55.0</v>
      </c>
      <c r="I22" s="2">
        <v>500.0</v>
      </c>
      <c r="J22" s="2">
        <v>386.0</v>
      </c>
      <c r="K22" s="2">
        <v>304.0</v>
      </c>
      <c r="L22" s="4">
        <f t="shared" si="7"/>
        <v>210</v>
      </c>
      <c r="M22" s="4">
        <f t="shared" si="8"/>
        <v>176</v>
      </c>
      <c r="N22" s="4">
        <f t="shared" si="9"/>
        <v>176</v>
      </c>
      <c r="O22" s="4">
        <f t="shared" si="1"/>
        <v>235.590803</v>
      </c>
      <c r="P22" s="4">
        <f t="shared" si="2"/>
        <v>266.2506406</v>
      </c>
      <c r="Q22" s="4">
        <f t="shared" si="3"/>
        <v>243.4665527</v>
      </c>
      <c r="V22" s="4">
        <f t="shared" si="4"/>
        <v>150.409197</v>
      </c>
      <c r="W22" s="4">
        <f t="shared" si="5"/>
        <v>119.7493594</v>
      </c>
      <c r="X22" s="4">
        <f t="shared" si="6"/>
        <v>142.5334473</v>
      </c>
    </row>
    <row r="23">
      <c r="A23" s="3">
        <v>40301.0</v>
      </c>
      <c r="B23" s="2">
        <v>306.0</v>
      </c>
      <c r="C23" s="2">
        <v>751.0</v>
      </c>
      <c r="D23" s="2">
        <v>1207.0</v>
      </c>
      <c r="E23" s="2">
        <v>565.0</v>
      </c>
      <c r="F23" s="2">
        <v>342.0</v>
      </c>
      <c r="G23" s="2">
        <v>46.0</v>
      </c>
      <c r="H23" s="2">
        <v>62.0</v>
      </c>
      <c r="I23" s="2">
        <v>203.0</v>
      </c>
      <c r="J23" s="2">
        <v>751.0</v>
      </c>
      <c r="K23" s="2">
        <v>711.0</v>
      </c>
      <c r="L23" s="4">
        <f t="shared" si="7"/>
        <v>284</v>
      </c>
      <c r="M23" s="4">
        <f t="shared" si="8"/>
        <v>467</v>
      </c>
      <c r="N23" s="4">
        <f t="shared" si="9"/>
        <v>467</v>
      </c>
      <c r="O23" s="4">
        <f t="shared" si="1"/>
        <v>250.6317227</v>
      </c>
      <c r="P23" s="4">
        <f t="shared" si="2"/>
        <v>302.1754484</v>
      </c>
      <c r="Q23" s="4">
        <f t="shared" si="3"/>
        <v>314.7332764</v>
      </c>
      <c r="V23" s="4">
        <f t="shared" si="4"/>
        <v>500.3682773</v>
      </c>
      <c r="W23" s="4">
        <f t="shared" si="5"/>
        <v>448.8245516</v>
      </c>
      <c r="X23" s="4">
        <f t="shared" si="6"/>
        <v>436.2667236</v>
      </c>
    </row>
    <row r="24">
      <c r="A24" s="3">
        <v>40308.0</v>
      </c>
      <c r="B24" s="2">
        <v>130.0</v>
      </c>
      <c r="C24" s="2">
        <v>290.0</v>
      </c>
      <c r="D24" s="2">
        <v>987.0</v>
      </c>
      <c r="E24" s="2">
        <v>436.0</v>
      </c>
      <c r="F24" s="2">
        <v>907.0</v>
      </c>
      <c r="G24" s="2">
        <v>6.0</v>
      </c>
      <c r="H24" s="2">
        <v>16.0</v>
      </c>
      <c r="I24" s="2">
        <v>180.0</v>
      </c>
      <c r="J24" s="2">
        <v>290.0</v>
      </c>
      <c r="K24" s="2">
        <v>517.0</v>
      </c>
      <c r="L24" s="4">
        <f t="shared" si="7"/>
        <v>461.6666667</v>
      </c>
      <c r="M24" s="4">
        <f t="shared" si="8"/>
        <v>-171.6666667</v>
      </c>
      <c r="N24" s="4">
        <f t="shared" si="9"/>
        <v>171.6666667</v>
      </c>
      <c r="O24" s="4">
        <f t="shared" si="1"/>
        <v>300.6685504</v>
      </c>
      <c r="P24" s="4">
        <f t="shared" si="2"/>
        <v>436.8228139</v>
      </c>
      <c r="Q24" s="4">
        <f t="shared" si="3"/>
        <v>532.8666382</v>
      </c>
      <c r="V24" s="4">
        <f t="shared" si="4"/>
        <v>10.66855043</v>
      </c>
      <c r="W24" s="4">
        <f t="shared" si="5"/>
        <v>146.8228139</v>
      </c>
      <c r="X24" s="4">
        <f t="shared" si="6"/>
        <v>242.8666382</v>
      </c>
    </row>
    <row r="25">
      <c r="A25" s="3">
        <v>40315.0</v>
      </c>
      <c r="B25" s="2">
        <v>28.0</v>
      </c>
      <c r="C25" s="2">
        <v>512.0</v>
      </c>
      <c r="D25" s="2">
        <v>621.0</v>
      </c>
      <c r="E25" s="2">
        <v>450.0</v>
      </c>
      <c r="F25" s="2">
        <v>283.0</v>
      </c>
      <c r="G25" s="2">
        <v>6.0</v>
      </c>
      <c r="H25" s="2">
        <v>87.0</v>
      </c>
      <c r="I25" s="2">
        <v>192.0</v>
      </c>
      <c r="J25" s="2">
        <v>512.0</v>
      </c>
      <c r="K25" s="2">
        <v>265.0</v>
      </c>
      <c r="L25" s="4">
        <f t="shared" si="7"/>
        <v>475.6666667</v>
      </c>
      <c r="M25" s="4">
        <f t="shared" si="8"/>
        <v>36.33333333</v>
      </c>
      <c r="N25" s="4">
        <f t="shared" si="9"/>
        <v>36.33333333</v>
      </c>
      <c r="O25" s="4">
        <f t="shared" si="1"/>
        <v>299.6016954</v>
      </c>
      <c r="P25" s="4">
        <f t="shared" si="2"/>
        <v>392.7759697</v>
      </c>
      <c r="Q25" s="4">
        <f t="shared" si="3"/>
        <v>411.4333191</v>
      </c>
      <c r="V25" s="4">
        <f t="shared" si="4"/>
        <v>212.3983046</v>
      </c>
      <c r="W25" s="4">
        <f t="shared" si="5"/>
        <v>119.2240303</v>
      </c>
      <c r="X25" s="4">
        <f t="shared" si="6"/>
        <v>100.5666809</v>
      </c>
    </row>
    <row r="26">
      <c r="A26" s="3">
        <v>40322.0</v>
      </c>
      <c r="B26" s="2">
        <v>15.0</v>
      </c>
      <c r="C26" s="2">
        <v>279.0</v>
      </c>
      <c r="D26" s="2">
        <v>760.0</v>
      </c>
      <c r="E26" s="2">
        <v>671.0</v>
      </c>
      <c r="F26" s="2">
        <v>560.0</v>
      </c>
      <c r="G26" s="2">
        <v>0.0</v>
      </c>
      <c r="H26" s="2">
        <v>69.0</v>
      </c>
      <c r="I26" s="2">
        <v>218.0</v>
      </c>
      <c r="J26" s="2">
        <v>279.0</v>
      </c>
      <c r="K26" s="2">
        <v>674.0</v>
      </c>
      <c r="L26" s="4">
        <f t="shared" si="7"/>
        <v>517.6666667</v>
      </c>
      <c r="M26" s="4">
        <f t="shared" si="8"/>
        <v>-238.6666667</v>
      </c>
      <c r="N26" s="4">
        <f t="shared" si="9"/>
        <v>238.6666667</v>
      </c>
      <c r="O26" s="4">
        <f t="shared" si="1"/>
        <v>320.8415258</v>
      </c>
      <c r="P26" s="4">
        <f t="shared" si="2"/>
        <v>428.5431788</v>
      </c>
      <c r="Q26" s="4">
        <f t="shared" si="3"/>
        <v>461.7166595</v>
      </c>
      <c r="V26" s="4">
        <f t="shared" si="4"/>
        <v>41.84152585</v>
      </c>
      <c r="W26" s="4">
        <f t="shared" si="5"/>
        <v>149.5431788</v>
      </c>
      <c r="X26" s="4">
        <f t="shared" si="6"/>
        <v>182.7166595</v>
      </c>
    </row>
    <row r="27">
      <c r="A27" s="3">
        <v>40329.0</v>
      </c>
      <c r="B27" s="2">
        <v>93.0</v>
      </c>
      <c r="C27" s="2">
        <v>236.0</v>
      </c>
      <c r="D27" s="2">
        <v>727.0</v>
      </c>
      <c r="E27" s="2">
        <v>301.0</v>
      </c>
      <c r="F27" s="2">
        <v>309.0</v>
      </c>
      <c r="G27" s="2">
        <v>4.0</v>
      </c>
      <c r="H27" s="2">
        <v>29.0</v>
      </c>
      <c r="I27" s="2">
        <v>145.0</v>
      </c>
      <c r="J27" s="2">
        <v>236.0</v>
      </c>
      <c r="K27" s="2">
        <v>300.0</v>
      </c>
      <c r="L27" s="4">
        <f t="shared" si="7"/>
        <v>360.3333333</v>
      </c>
      <c r="M27" s="4">
        <f t="shared" si="8"/>
        <v>-124.3333333</v>
      </c>
      <c r="N27" s="4">
        <f t="shared" si="9"/>
        <v>124.3333333</v>
      </c>
      <c r="O27" s="4">
        <f t="shared" si="1"/>
        <v>316.6573733</v>
      </c>
      <c r="P27" s="4">
        <f t="shared" si="2"/>
        <v>383.6802252</v>
      </c>
      <c r="Q27" s="4">
        <f t="shared" si="3"/>
        <v>370.3583298</v>
      </c>
      <c r="V27" s="4">
        <f t="shared" si="4"/>
        <v>80.65737326</v>
      </c>
      <c r="W27" s="4">
        <f t="shared" si="5"/>
        <v>147.6802252</v>
      </c>
      <c r="X27" s="4">
        <f t="shared" si="6"/>
        <v>134.3583298</v>
      </c>
    </row>
    <row r="28">
      <c r="A28" s="3">
        <v>40336.0</v>
      </c>
      <c r="B28" s="2">
        <v>454.0</v>
      </c>
      <c r="C28" s="2">
        <v>429.0</v>
      </c>
      <c r="D28" s="2">
        <v>973.0</v>
      </c>
      <c r="E28" s="2">
        <v>716.0</v>
      </c>
      <c r="F28" s="2">
        <v>264.0</v>
      </c>
      <c r="G28" s="2">
        <v>3.0</v>
      </c>
      <c r="H28" s="2">
        <v>220.0</v>
      </c>
      <c r="I28" s="2">
        <v>617.0</v>
      </c>
      <c r="J28" s="2">
        <v>429.0</v>
      </c>
      <c r="K28" s="2">
        <v>408.0</v>
      </c>
      <c r="L28" s="4">
        <f t="shared" si="7"/>
        <v>342.3333333</v>
      </c>
      <c r="M28" s="4">
        <f t="shared" si="8"/>
        <v>86.66666667</v>
      </c>
      <c r="N28" s="4">
        <f t="shared" si="9"/>
        <v>86.66666667</v>
      </c>
      <c r="O28" s="4">
        <f t="shared" si="1"/>
        <v>308.5916359</v>
      </c>
      <c r="P28" s="4">
        <f t="shared" si="2"/>
        <v>339.3761576</v>
      </c>
      <c r="Q28" s="4">
        <f t="shared" si="3"/>
        <v>303.1791649</v>
      </c>
      <c r="V28" s="4">
        <f t="shared" si="4"/>
        <v>120.4083641</v>
      </c>
      <c r="W28" s="4">
        <f t="shared" si="5"/>
        <v>89.62384239</v>
      </c>
      <c r="X28" s="4">
        <f t="shared" si="6"/>
        <v>125.8208351</v>
      </c>
    </row>
    <row r="29">
      <c r="A29" s="3">
        <v>40343.0</v>
      </c>
      <c r="B29" s="2">
        <v>432.0</v>
      </c>
      <c r="C29" s="2">
        <v>362.0</v>
      </c>
      <c r="D29" s="2">
        <v>696.0</v>
      </c>
      <c r="E29" s="2">
        <v>142.0</v>
      </c>
      <c r="F29" s="2">
        <v>569.0</v>
      </c>
      <c r="G29" s="2">
        <v>28.0</v>
      </c>
      <c r="H29" s="2">
        <v>25.0</v>
      </c>
      <c r="I29" s="2">
        <v>625.0</v>
      </c>
      <c r="J29" s="2">
        <v>362.0</v>
      </c>
      <c r="K29" s="2">
        <v>458.0</v>
      </c>
      <c r="L29" s="4">
        <f t="shared" si="7"/>
        <v>314.6666667</v>
      </c>
      <c r="M29" s="4">
        <f t="shared" si="8"/>
        <v>47.33333333</v>
      </c>
      <c r="N29" s="4">
        <f t="shared" si="9"/>
        <v>47.33333333</v>
      </c>
      <c r="O29" s="4">
        <f t="shared" si="1"/>
        <v>320.6324723</v>
      </c>
      <c r="P29" s="4">
        <f t="shared" si="2"/>
        <v>366.2633103</v>
      </c>
      <c r="Q29" s="4">
        <f t="shared" si="3"/>
        <v>366.0895824</v>
      </c>
      <c r="V29" s="4">
        <f t="shared" si="4"/>
        <v>41.36752766</v>
      </c>
      <c r="W29" s="4">
        <f t="shared" si="5"/>
        <v>4.26331033</v>
      </c>
      <c r="X29" s="4">
        <f t="shared" si="6"/>
        <v>4.089582443</v>
      </c>
    </row>
    <row r="30">
      <c r="A30" s="3">
        <v>40350.0</v>
      </c>
      <c r="B30" s="2">
        <v>151.0</v>
      </c>
      <c r="C30" s="2">
        <v>460.0</v>
      </c>
      <c r="D30" s="2">
        <v>750.0</v>
      </c>
      <c r="E30" s="2">
        <v>52.0</v>
      </c>
      <c r="F30" s="2">
        <v>252.0</v>
      </c>
      <c r="G30" s="2">
        <v>305.0</v>
      </c>
      <c r="H30" s="2">
        <v>35.0</v>
      </c>
      <c r="I30" s="2">
        <v>168.0</v>
      </c>
      <c r="J30" s="2">
        <v>460.0</v>
      </c>
      <c r="K30" s="2">
        <v>511.0</v>
      </c>
      <c r="L30" s="4">
        <f t="shared" si="7"/>
        <v>342.3333333</v>
      </c>
      <c r="M30" s="4">
        <f t="shared" si="8"/>
        <v>117.6666667</v>
      </c>
      <c r="N30" s="4">
        <f t="shared" si="9"/>
        <v>117.6666667</v>
      </c>
      <c r="O30" s="4">
        <f t="shared" si="1"/>
        <v>324.7692251</v>
      </c>
      <c r="P30" s="4">
        <f t="shared" si="2"/>
        <v>364.9843172</v>
      </c>
      <c r="Q30" s="4">
        <f t="shared" si="3"/>
        <v>364.0447912</v>
      </c>
      <c r="V30" s="4">
        <f t="shared" si="4"/>
        <v>135.2307749</v>
      </c>
      <c r="W30" s="4">
        <f t="shared" si="5"/>
        <v>95.01568277</v>
      </c>
      <c r="X30" s="4">
        <f t="shared" si="6"/>
        <v>95.95520878</v>
      </c>
    </row>
    <row r="31">
      <c r="A31" s="3">
        <v>40357.0</v>
      </c>
      <c r="B31" s="2">
        <v>387.0</v>
      </c>
      <c r="C31" s="2">
        <v>598.0</v>
      </c>
      <c r="D31" s="2">
        <v>1415.0</v>
      </c>
      <c r="E31" s="2">
        <v>51.0</v>
      </c>
      <c r="F31" s="2">
        <v>692.0</v>
      </c>
      <c r="G31" s="2">
        <v>44.0</v>
      </c>
      <c r="H31" s="2">
        <v>22.0</v>
      </c>
      <c r="I31" s="2">
        <v>365.0</v>
      </c>
      <c r="J31" s="2">
        <v>598.0</v>
      </c>
      <c r="K31" s="2">
        <v>534.0</v>
      </c>
      <c r="L31" s="4">
        <f t="shared" si="7"/>
        <v>417</v>
      </c>
      <c r="M31" s="4">
        <f t="shared" si="8"/>
        <v>181</v>
      </c>
      <c r="N31" s="4">
        <f t="shared" si="9"/>
        <v>181</v>
      </c>
      <c r="O31" s="4">
        <f t="shared" si="1"/>
        <v>338.2923026</v>
      </c>
      <c r="P31" s="4">
        <f t="shared" si="2"/>
        <v>393.4890221</v>
      </c>
      <c r="Q31" s="4">
        <f t="shared" si="3"/>
        <v>412.0223956</v>
      </c>
      <c r="V31" s="4">
        <f t="shared" si="4"/>
        <v>259.7076974</v>
      </c>
      <c r="W31" s="4">
        <f t="shared" si="5"/>
        <v>204.5109779</v>
      </c>
      <c r="X31" s="4">
        <f t="shared" si="6"/>
        <v>185.9776044</v>
      </c>
    </row>
    <row r="32">
      <c r="A32" s="3">
        <v>40364.0</v>
      </c>
      <c r="B32" s="2">
        <v>150.0</v>
      </c>
      <c r="C32" s="2">
        <v>331.0</v>
      </c>
      <c r="D32" s="2">
        <v>654.0</v>
      </c>
      <c r="E32" s="2">
        <v>52.0</v>
      </c>
      <c r="F32" s="2">
        <v>874.0</v>
      </c>
      <c r="G32" s="2">
        <v>14.0</v>
      </c>
      <c r="H32" s="2">
        <v>88.0</v>
      </c>
      <c r="I32" s="2">
        <v>278.0</v>
      </c>
      <c r="J32" s="2">
        <v>331.0</v>
      </c>
      <c r="K32" s="2">
        <v>211.0</v>
      </c>
      <c r="L32" s="4">
        <f t="shared" si="7"/>
        <v>473.3333333</v>
      </c>
      <c r="M32" s="4">
        <f t="shared" si="8"/>
        <v>-142.3333333</v>
      </c>
      <c r="N32" s="4">
        <f t="shared" si="9"/>
        <v>142.3333333</v>
      </c>
      <c r="O32" s="4">
        <f t="shared" si="1"/>
        <v>364.2630723</v>
      </c>
      <c r="P32" s="4">
        <f t="shared" si="2"/>
        <v>454.8423154</v>
      </c>
      <c r="Q32" s="4">
        <f t="shared" si="3"/>
        <v>505.0111978</v>
      </c>
      <c r="V32" s="4">
        <f t="shared" si="4"/>
        <v>33.26307234</v>
      </c>
      <c r="W32" s="4">
        <f t="shared" si="5"/>
        <v>123.8423154</v>
      </c>
      <c r="X32" s="4">
        <f t="shared" si="6"/>
        <v>174.0111978</v>
      </c>
    </row>
    <row r="33">
      <c r="A33" s="3">
        <v>40371.0</v>
      </c>
      <c r="B33" s="2">
        <v>160.0</v>
      </c>
      <c r="C33" s="2">
        <v>240.0</v>
      </c>
      <c r="D33" s="2">
        <v>865.0</v>
      </c>
      <c r="E33" s="2">
        <v>44.0</v>
      </c>
      <c r="F33" s="2">
        <v>400.0</v>
      </c>
      <c r="G33" s="2">
        <v>3.0</v>
      </c>
      <c r="H33" s="2">
        <v>6.0</v>
      </c>
      <c r="I33" s="2">
        <v>766.0</v>
      </c>
      <c r="J33" s="2">
        <v>240.0</v>
      </c>
      <c r="K33" s="2">
        <v>575.0</v>
      </c>
      <c r="L33" s="4">
        <f t="shared" si="7"/>
        <v>463</v>
      </c>
      <c r="M33" s="4">
        <f t="shared" si="8"/>
        <v>-223</v>
      </c>
      <c r="N33" s="4">
        <f t="shared" si="9"/>
        <v>223</v>
      </c>
      <c r="O33" s="4">
        <f t="shared" si="1"/>
        <v>360.9367651</v>
      </c>
      <c r="P33" s="4">
        <f t="shared" si="2"/>
        <v>417.6896208</v>
      </c>
      <c r="Q33" s="4">
        <f t="shared" si="3"/>
        <v>418.0055989</v>
      </c>
      <c r="V33" s="4">
        <f t="shared" si="4"/>
        <v>120.9367651</v>
      </c>
      <c r="W33" s="4">
        <f t="shared" si="5"/>
        <v>177.6896208</v>
      </c>
      <c r="X33" s="4">
        <f t="shared" si="6"/>
        <v>178.0055989</v>
      </c>
    </row>
    <row r="34">
      <c r="A34" s="3">
        <v>40378.0</v>
      </c>
      <c r="B34" s="2">
        <v>453.0</v>
      </c>
      <c r="C34" s="2">
        <v>729.0</v>
      </c>
      <c r="D34" s="2">
        <v>1268.0</v>
      </c>
      <c r="E34" s="2">
        <v>52.0</v>
      </c>
      <c r="F34" s="2">
        <v>1043.0</v>
      </c>
      <c r="G34" s="2">
        <v>50.0</v>
      </c>
      <c r="H34" s="2">
        <v>8.0</v>
      </c>
      <c r="I34" s="2">
        <v>691.0</v>
      </c>
      <c r="J34" s="2">
        <v>729.0</v>
      </c>
      <c r="K34" s="2">
        <v>487.0</v>
      </c>
      <c r="L34" s="4">
        <f t="shared" si="7"/>
        <v>389.6666667</v>
      </c>
      <c r="M34" s="4">
        <f t="shared" si="8"/>
        <v>339.3333333</v>
      </c>
      <c r="N34" s="4">
        <f t="shared" si="9"/>
        <v>339.3333333</v>
      </c>
      <c r="O34" s="4">
        <f t="shared" si="1"/>
        <v>348.8430886</v>
      </c>
      <c r="P34" s="4">
        <f t="shared" si="2"/>
        <v>364.3827346</v>
      </c>
      <c r="Q34" s="4">
        <f t="shared" si="3"/>
        <v>329.0027995</v>
      </c>
      <c r="V34" s="4">
        <f t="shared" si="4"/>
        <v>380.1569114</v>
      </c>
      <c r="W34" s="4">
        <f t="shared" si="5"/>
        <v>364.6172654</v>
      </c>
      <c r="X34" s="4">
        <f t="shared" si="6"/>
        <v>399.9972005</v>
      </c>
    </row>
    <row r="35">
      <c r="A35" s="3">
        <v>40385.0</v>
      </c>
      <c r="B35" s="2">
        <v>577.0</v>
      </c>
      <c r="C35" s="2">
        <v>171.0</v>
      </c>
      <c r="D35" s="2">
        <v>618.0</v>
      </c>
      <c r="E35" s="2">
        <v>34.0</v>
      </c>
      <c r="F35" s="2">
        <v>621.0</v>
      </c>
      <c r="G35" s="2">
        <v>128.0</v>
      </c>
      <c r="H35" s="2">
        <v>5.0</v>
      </c>
      <c r="I35" s="2">
        <v>265.0</v>
      </c>
      <c r="J35" s="2">
        <v>171.0</v>
      </c>
      <c r="K35" s="2">
        <v>454.0</v>
      </c>
      <c r="L35" s="4">
        <f t="shared" si="7"/>
        <v>433.3333333</v>
      </c>
      <c r="M35" s="4">
        <f t="shared" si="8"/>
        <v>-262.3333333</v>
      </c>
      <c r="N35" s="4">
        <f t="shared" si="9"/>
        <v>262.3333333</v>
      </c>
      <c r="O35" s="4">
        <f t="shared" si="1"/>
        <v>386.8587797</v>
      </c>
      <c r="P35" s="4">
        <f t="shared" si="2"/>
        <v>473.7679142</v>
      </c>
      <c r="Q35" s="4">
        <f t="shared" si="3"/>
        <v>529.0013997</v>
      </c>
      <c r="V35" s="4">
        <f t="shared" si="4"/>
        <v>215.8587797</v>
      </c>
      <c r="W35" s="4">
        <f t="shared" si="5"/>
        <v>302.7679142</v>
      </c>
      <c r="X35" s="4">
        <f t="shared" si="6"/>
        <v>358.0013997</v>
      </c>
    </row>
    <row r="36">
      <c r="A36" s="3">
        <v>40392.0</v>
      </c>
      <c r="B36" s="2">
        <v>294.0</v>
      </c>
      <c r="C36" s="2">
        <v>354.0</v>
      </c>
      <c r="D36" s="2">
        <v>726.0</v>
      </c>
      <c r="E36" s="2">
        <v>57.0</v>
      </c>
      <c r="F36" s="2">
        <v>648.0</v>
      </c>
      <c r="G36" s="2">
        <v>142.0</v>
      </c>
      <c r="H36" s="2">
        <v>17.0</v>
      </c>
      <c r="I36" s="2">
        <v>95.0</v>
      </c>
      <c r="J36" s="2">
        <v>354.0</v>
      </c>
      <c r="K36" s="2">
        <v>694.0</v>
      </c>
      <c r="L36" s="4">
        <f t="shared" si="7"/>
        <v>380</v>
      </c>
      <c r="M36" s="4">
        <f t="shared" si="8"/>
        <v>-26</v>
      </c>
      <c r="N36" s="4">
        <f t="shared" si="9"/>
        <v>26</v>
      </c>
      <c r="O36" s="4">
        <f t="shared" si="1"/>
        <v>365.2729018</v>
      </c>
      <c r="P36" s="4">
        <f t="shared" si="2"/>
        <v>382.9375399</v>
      </c>
      <c r="Q36" s="4">
        <f t="shared" si="3"/>
        <v>350.0006999</v>
      </c>
      <c r="V36" s="4">
        <f t="shared" si="4"/>
        <v>11.27290176</v>
      </c>
      <c r="W36" s="4">
        <f t="shared" si="5"/>
        <v>28.93753994</v>
      </c>
      <c r="X36" s="4">
        <f t="shared" si="6"/>
        <v>3.999300137</v>
      </c>
    </row>
    <row r="37">
      <c r="A37" s="3">
        <v>40399.0</v>
      </c>
      <c r="B37" s="2">
        <v>224.0</v>
      </c>
      <c r="C37" s="2">
        <v>460.0</v>
      </c>
      <c r="D37" s="2">
        <v>893.0</v>
      </c>
      <c r="E37" s="2">
        <v>188.0</v>
      </c>
      <c r="F37" s="2">
        <v>758.0</v>
      </c>
      <c r="G37" s="2">
        <v>74.0</v>
      </c>
      <c r="H37" s="2">
        <v>45.0</v>
      </c>
      <c r="I37" s="2">
        <v>552.0</v>
      </c>
      <c r="J37" s="2">
        <v>460.0</v>
      </c>
      <c r="K37" s="2">
        <v>608.0</v>
      </c>
      <c r="L37" s="4">
        <f t="shared" si="7"/>
        <v>418</v>
      </c>
      <c r="M37" s="4">
        <f t="shared" si="8"/>
        <v>42</v>
      </c>
      <c r="N37" s="4">
        <f t="shared" si="9"/>
        <v>42</v>
      </c>
      <c r="O37" s="4">
        <f t="shared" si="1"/>
        <v>364.1456116</v>
      </c>
      <c r="P37" s="4">
        <f t="shared" si="2"/>
        <v>374.256278</v>
      </c>
      <c r="Q37" s="4">
        <f t="shared" si="3"/>
        <v>352.0003499</v>
      </c>
      <c r="V37" s="4">
        <f t="shared" si="4"/>
        <v>95.85438841</v>
      </c>
      <c r="W37" s="4">
        <f t="shared" si="5"/>
        <v>85.74372204</v>
      </c>
      <c r="X37" s="4">
        <f t="shared" si="6"/>
        <v>107.9996501</v>
      </c>
    </row>
    <row r="38">
      <c r="A38" s="3">
        <v>40406.0</v>
      </c>
      <c r="B38" s="2">
        <v>177.0</v>
      </c>
      <c r="C38" s="2">
        <v>677.0</v>
      </c>
      <c r="D38" s="2">
        <v>189.0</v>
      </c>
      <c r="E38" s="2">
        <v>351.0</v>
      </c>
      <c r="F38" s="2">
        <v>664.0</v>
      </c>
      <c r="G38" s="2">
        <v>19.0</v>
      </c>
      <c r="H38" s="2">
        <v>37.0</v>
      </c>
      <c r="I38" s="2">
        <v>1025.0</v>
      </c>
      <c r="J38" s="2">
        <v>677.0</v>
      </c>
      <c r="K38" s="2">
        <v>940.0</v>
      </c>
      <c r="L38" s="4">
        <f t="shared" si="7"/>
        <v>328.3333333</v>
      </c>
      <c r="M38" s="4">
        <f t="shared" si="8"/>
        <v>348.6666667</v>
      </c>
      <c r="N38" s="4">
        <f t="shared" si="9"/>
        <v>348.6666667</v>
      </c>
      <c r="O38" s="4">
        <f t="shared" si="1"/>
        <v>373.7310504</v>
      </c>
      <c r="P38" s="4">
        <f t="shared" si="2"/>
        <v>399.9793946</v>
      </c>
      <c r="Q38" s="4">
        <f t="shared" si="3"/>
        <v>406.000175</v>
      </c>
      <c r="V38" s="4">
        <f t="shared" si="4"/>
        <v>303.2689496</v>
      </c>
      <c r="W38" s="4">
        <f t="shared" si="5"/>
        <v>277.0206054</v>
      </c>
      <c r="X38" s="4">
        <f t="shared" si="6"/>
        <v>270.999825</v>
      </c>
    </row>
    <row r="39">
      <c r="A39" s="3">
        <v>40413.0</v>
      </c>
      <c r="B39" s="2">
        <v>254.0</v>
      </c>
      <c r="C39" s="2">
        <v>338.0</v>
      </c>
      <c r="D39" s="2">
        <v>1.0</v>
      </c>
      <c r="E39" s="2">
        <v>9.0</v>
      </c>
      <c r="F39" s="2">
        <v>1000.0</v>
      </c>
      <c r="G39" s="2">
        <v>27.0</v>
      </c>
      <c r="H39" s="2">
        <v>70.0</v>
      </c>
      <c r="I39" s="2">
        <v>880.0</v>
      </c>
      <c r="J39" s="2">
        <v>338.0</v>
      </c>
      <c r="K39" s="2">
        <v>450.0</v>
      </c>
      <c r="L39" s="4">
        <f t="shared" si="7"/>
        <v>497</v>
      </c>
      <c r="M39" s="4">
        <f t="shared" si="8"/>
        <v>-159</v>
      </c>
      <c r="N39" s="4">
        <f t="shared" si="9"/>
        <v>159</v>
      </c>
      <c r="O39" s="4">
        <f t="shared" si="1"/>
        <v>404.0579454</v>
      </c>
      <c r="P39" s="4">
        <f t="shared" si="2"/>
        <v>483.0855762</v>
      </c>
      <c r="Q39" s="4">
        <f t="shared" si="3"/>
        <v>541.5000875</v>
      </c>
      <c r="V39" s="4">
        <f t="shared" si="4"/>
        <v>66.05794538</v>
      </c>
      <c r="W39" s="4">
        <f t="shared" si="5"/>
        <v>145.0855762</v>
      </c>
      <c r="X39" s="4">
        <f t="shared" si="6"/>
        <v>203.5000875</v>
      </c>
    </row>
    <row r="40">
      <c r="A40" s="3">
        <v>40420.0</v>
      </c>
      <c r="B40" s="2">
        <v>445.0</v>
      </c>
      <c r="C40" s="2">
        <v>652.0</v>
      </c>
      <c r="D40" s="2">
        <v>1889.0</v>
      </c>
      <c r="E40" s="2">
        <v>8.0</v>
      </c>
      <c r="F40" s="2">
        <v>963.0</v>
      </c>
      <c r="G40" s="2">
        <v>3.0</v>
      </c>
      <c r="H40" s="2">
        <v>110.0</v>
      </c>
      <c r="I40" s="2">
        <v>135.0</v>
      </c>
      <c r="J40" s="2">
        <v>652.0</v>
      </c>
      <c r="K40" s="2">
        <v>375.0</v>
      </c>
      <c r="L40" s="4">
        <f t="shared" si="7"/>
        <v>491.6666667</v>
      </c>
      <c r="M40" s="4">
        <f t="shared" si="8"/>
        <v>160.3333333</v>
      </c>
      <c r="N40" s="4">
        <f t="shared" si="9"/>
        <v>160.3333333</v>
      </c>
      <c r="O40" s="4">
        <f t="shared" si="1"/>
        <v>397.4521508</v>
      </c>
      <c r="P40" s="4">
        <f t="shared" si="2"/>
        <v>439.5599033</v>
      </c>
      <c r="Q40" s="4">
        <f t="shared" si="3"/>
        <v>439.7500437</v>
      </c>
      <c r="V40" s="4">
        <f t="shared" si="4"/>
        <v>254.5478492</v>
      </c>
      <c r="W40" s="4">
        <f t="shared" si="5"/>
        <v>212.4400967</v>
      </c>
      <c r="X40" s="4">
        <f t="shared" si="6"/>
        <v>212.2499563</v>
      </c>
    </row>
    <row r="41">
      <c r="A41" s="3">
        <v>40427.0</v>
      </c>
      <c r="B41" s="2">
        <v>299.0</v>
      </c>
      <c r="C41" s="2">
        <v>617.0</v>
      </c>
      <c r="D41" s="2">
        <v>1313.0</v>
      </c>
      <c r="E41" s="2">
        <v>6.0</v>
      </c>
      <c r="F41" s="2">
        <v>387.0</v>
      </c>
      <c r="G41" s="2">
        <v>6.0</v>
      </c>
      <c r="H41" s="2">
        <v>68.0</v>
      </c>
      <c r="I41" s="2">
        <v>270.0</v>
      </c>
      <c r="J41" s="2">
        <v>617.0</v>
      </c>
      <c r="K41" s="2">
        <v>483.0</v>
      </c>
      <c r="L41" s="4">
        <f t="shared" si="7"/>
        <v>555.6666667</v>
      </c>
      <c r="M41" s="4">
        <f t="shared" si="8"/>
        <v>61.33333333</v>
      </c>
      <c r="N41" s="4">
        <f t="shared" si="9"/>
        <v>61.33333333</v>
      </c>
      <c r="O41" s="4">
        <f t="shared" si="1"/>
        <v>422.9069358</v>
      </c>
      <c r="P41" s="4">
        <f t="shared" si="2"/>
        <v>503.2919323</v>
      </c>
      <c r="Q41" s="4">
        <f t="shared" si="3"/>
        <v>545.8750219</v>
      </c>
      <c r="V41" s="4">
        <f t="shared" si="4"/>
        <v>194.0930642</v>
      </c>
      <c r="W41" s="4">
        <f t="shared" si="5"/>
        <v>113.7080677</v>
      </c>
      <c r="X41" s="4">
        <f t="shared" si="6"/>
        <v>71.12497813</v>
      </c>
    </row>
    <row r="42">
      <c r="A42" s="3">
        <v>40434.0</v>
      </c>
      <c r="B42" s="2">
        <v>370.0</v>
      </c>
      <c r="C42" s="2">
        <v>305.0</v>
      </c>
      <c r="D42" s="2">
        <v>1118.0</v>
      </c>
      <c r="E42" s="2">
        <v>0.0</v>
      </c>
      <c r="F42" s="2">
        <v>619.0</v>
      </c>
      <c r="G42" s="2">
        <v>344.0</v>
      </c>
      <c r="H42" s="2">
        <v>38.0</v>
      </c>
      <c r="I42" s="2">
        <v>534.0</v>
      </c>
      <c r="J42" s="2">
        <v>305.0</v>
      </c>
      <c r="K42" s="2">
        <v>304.0</v>
      </c>
      <c r="L42" s="4">
        <f t="shared" si="7"/>
        <v>535.6666667</v>
      </c>
      <c r="M42" s="4">
        <f t="shared" si="8"/>
        <v>-230.6666667</v>
      </c>
      <c r="N42" s="4">
        <f t="shared" si="9"/>
        <v>230.6666667</v>
      </c>
      <c r="O42" s="4">
        <f t="shared" si="1"/>
        <v>442.3162422</v>
      </c>
      <c r="P42" s="4">
        <f t="shared" si="2"/>
        <v>537.4043526</v>
      </c>
      <c r="Q42" s="4">
        <f t="shared" si="3"/>
        <v>581.4375109</v>
      </c>
      <c r="V42" s="4">
        <f t="shared" si="4"/>
        <v>137.3162422</v>
      </c>
      <c r="W42" s="4">
        <f t="shared" si="5"/>
        <v>232.4043526</v>
      </c>
      <c r="X42" s="4">
        <f t="shared" si="6"/>
        <v>276.4375109</v>
      </c>
    </row>
    <row r="43">
      <c r="A43" s="3">
        <v>40441.0</v>
      </c>
      <c r="B43" s="2">
        <v>624.0</v>
      </c>
      <c r="C43" s="2">
        <v>352.0</v>
      </c>
      <c r="D43" s="2">
        <v>1381.0</v>
      </c>
      <c r="E43" s="2">
        <v>99.0</v>
      </c>
      <c r="F43" s="2">
        <v>1792.0</v>
      </c>
      <c r="G43" s="2">
        <v>425.0</v>
      </c>
      <c r="H43" s="2">
        <v>180.0</v>
      </c>
      <c r="I43" s="2">
        <v>1709.0</v>
      </c>
      <c r="J43" s="2">
        <v>352.0</v>
      </c>
      <c r="K43" s="2">
        <v>605.0</v>
      </c>
      <c r="L43" s="4">
        <f t="shared" si="7"/>
        <v>524.6666667</v>
      </c>
      <c r="M43" s="4">
        <f t="shared" si="8"/>
        <v>-172.6666667</v>
      </c>
      <c r="N43" s="4">
        <f t="shared" si="9"/>
        <v>172.6666667</v>
      </c>
      <c r="O43" s="4">
        <f t="shared" si="1"/>
        <v>428.584618</v>
      </c>
      <c r="P43" s="4">
        <f t="shared" si="2"/>
        <v>467.6830468</v>
      </c>
      <c r="Q43" s="4">
        <f t="shared" si="3"/>
        <v>443.2187555</v>
      </c>
      <c r="V43" s="4">
        <f t="shared" si="4"/>
        <v>76.58461797</v>
      </c>
      <c r="W43" s="4">
        <f t="shared" si="5"/>
        <v>115.6830468</v>
      </c>
      <c r="X43" s="4">
        <f t="shared" si="6"/>
        <v>91.21875547</v>
      </c>
    </row>
    <row r="44">
      <c r="A44" s="3">
        <v>40448.0</v>
      </c>
      <c r="B44" s="2">
        <v>385.0</v>
      </c>
      <c r="C44" s="2">
        <v>518.0</v>
      </c>
      <c r="D44" s="2">
        <v>1597.0</v>
      </c>
      <c r="E44" s="2">
        <v>916.0</v>
      </c>
      <c r="F44" s="2">
        <v>773.0</v>
      </c>
      <c r="G44" s="2">
        <v>495.0</v>
      </c>
      <c r="H44" s="2">
        <v>239.0</v>
      </c>
      <c r="I44" s="2">
        <v>284.0</v>
      </c>
      <c r="J44" s="2">
        <v>518.0</v>
      </c>
      <c r="K44" s="2">
        <v>358.0</v>
      </c>
      <c r="L44" s="4">
        <f t="shared" si="7"/>
        <v>424.6666667</v>
      </c>
      <c r="M44" s="4">
        <f t="shared" si="8"/>
        <v>93.33333333</v>
      </c>
      <c r="N44" s="4">
        <f t="shared" si="9"/>
        <v>93.33333333</v>
      </c>
      <c r="O44" s="4">
        <f t="shared" si="1"/>
        <v>420.9261562</v>
      </c>
      <c r="P44" s="4">
        <f t="shared" si="2"/>
        <v>432.9781328</v>
      </c>
      <c r="Q44" s="4">
        <f t="shared" si="3"/>
        <v>397.6093777</v>
      </c>
      <c r="V44" s="4">
        <f t="shared" si="4"/>
        <v>97.07384383</v>
      </c>
      <c r="W44" s="4">
        <f t="shared" si="5"/>
        <v>85.02186721</v>
      </c>
      <c r="X44" s="4">
        <f t="shared" si="6"/>
        <v>120.3906223</v>
      </c>
    </row>
    <row r="45">
      <c r="A45" s="3">
        <v>40455.0</v>
      </c>
      <c r="B45" s="2">
        <v>507.0</v>
      </c>
      <c r="C45" s="2">
        <v>258.0</v>
      </c>
      <c r="D45" s="2">
        <v>956.0</v>
      </c>
      <c r="E45" s="2">
        <v>262.0</v>
      </c>
      <c r="F45" s="2">
        <v>753.0</v>
      </c>
      <c r="G45" s="2">
        <v>1516.0</v>
      </c>
      <c r="H45" s="2">
        <v>542.0</v>
      </c>
      <c r="I45" s="2">
        <v>919.0</v>
      </c>
      <c r="J45" s="2">
        <v>258.0</v>
      </c>
      <c r="K45" s="2">
        <v>250.0</v>
      </c>
      <c r="L45" s="4">
        <f t="shared" si="7"/>
        <v>391.6666667</v>
      </c>
      <c r="M45" s="4">
        <f t="shared" si="8"/>
        <v>-133.6666667</v>
      </c>
      <c r="N45" s="4">
        <f t="shared" si="9"/>
        <v>133.6666667</v>
      </c>
      <c r="O45" s="4">
        <f t="shared" si="1"/>
        <v>430.6335406</v>
      </c>
      <c r="P45" s="4">
        <f t="shared" si="2"/>
        <v>458.484693</v>
      </c>
      <c r="Q45" s="4">
        <f t="shared" si="3"/>
        <v>457.8046889</v>
      </c>
      <c r="V45" s="4">
        <f t="shared" si="4"/>
        <v>172.6335406</v>
      </c>
      <c r="W45" s="4">
        <f t="shared" si="5"/>
        <v>200.484693</v>
      </c>
      <c r="X45" s="4">
        <f t="shared" si="6"/>
        <v>199.8046889</v>
      </c>
    </row>
    <row r="46">
      <c r="A46" s="3">
        <v>40462.0</v>
      </c>
      <c r="B46" s="2">
        <v>322.0</v>
      </c>
      <c r="C46" s="2">
        <v>917.0</v>
      </c>
      <c r="D46" s="2">
        <v>1857.0</v>
      </c>
      <c r="E46" s="2">
        <v>333.0</v>
      </c>
      <c r="F46" s="2">
        <v>2277.0</v>
      </c>
      <c r="G46" s="2">
        <v>530.0</v>
      </c>
      <c r="H46" s="2">
        <v>152.0</v>
      </c>
      <c r="I46" s="2">
        <v>345.0</v>
      </c>
      <c r="J46" s="2">
        <v>917.0</v>
      </c>
      <c r="K46" s="2">
        <v>524.0</v>
      </c>
      <c r="L46" s="4">
        <f t="shared" si="7"/>
        <v>376</v>
      </c>
      <c r="M46" s="4">
        <f t="shared" si="8"/>
        <v>541</v>
      </c>
      <c r="N46" s="4">
        <f t="shared" si="9"/>
        <v>541</v>
      </c>
      <c r="O46" s="4">
        <f t="shared" si="1"/>
        <v>413.3701865</v>
      </c>
      <c r="P46" s="4">
        <f t="shared" si="2"/>
        <v>398.3392851</v>
      </c>
      <c r="Q46" s="4">
        <f t="shared" si="3"/>
        <v>357.9023444</v>
      </c>
      <c r="V46" s="4">
        <f t="shared" si="4"/>
        <v>503.6298135</v>
      </c>
      <c r="W46" s="4">
        <f t="shared" si="5"/>
        <v>518.6607149</v>
      </c>
      <c r="X46" s="4">
        <f t="shared" si="6"/>
        <v>559.0976556</v>
      </c>
    </row>
    <row r="47">
      <c r="A47" s="3">
        <v>40469.0</v>
      </c>
      <c r="B47" s="2">
        <v>386.0</v>
      </c>
      <c r="C47" s="2">
        <v>144.0</v>
      </c>
      <c r="D47" s="2">
        <v>783.0</v>
      </c>
      <c r="E47" s="2">
        <v>167.0</v>
      </c>
      <c r="F47" s="2">
        <v>1736.0</v>
      </c>
      <c r="G47" s="2">
        <v>406.0</v>
      </c>
      <c r="H47" s="2">
        <v>228.0</v>
      </c>
      <c r="I47" s="2">
        <v>1239.0</v>
      </c>
      <c r="J47" s="2">
        <v>144.0</v>
      </c>
      <c r="K47" s="2">
        <v>141.0</v>
      </c>
      <c r="L47" s="4">
        <f t="shared" si="7"/>
        <v>564.3333333</v>
      </c>
      <c r="M47" s="4">
        <f t="shared" si="8"/>
        <v>-420.3333333</v>
      </c>
      <c r="N47" s="4">
        <f t="shared" si="9"/>
        <v>420.3333333</v>
      </c>
      <c r="O47" s="4">
        <f t="shared" si="1"/>
        <v>463.7331678</v>
      </c>
      <c r="P47" s="4">
        <f t="shared" si="2"/>
        <v>553.9374995</v>
      </c>
      <c r="Q47" s="4">
        <f t="shared" si="3"/>
        <v>637.4511722</v>
      </c>
      <c r="V47" s="4">
        <f t="shared" si="4"/>
        <v>319.7331678</v>
      </c>
      <c r="W47" s="4">
        <f t="shared" si="5"/>
        <v>409.9374995</v>
      </c>
      <c r="X47" s="4">
        <f t="shared" si="6"/>
        <v>493.4511722</v>
      </c>
    </row>
    <row r="48">
      <c r="A48" s="3">
        <v>40476.0</v>
      </c>
      <c r="B48" s="2">
        <v>638.0</v>
      </c>
      <c r="C48" s="2">
        <v>137.0</v>
      </c>
      <c r="D48" s="2">
        <v>515.0</v>
      </c>
      <c r="E48" s="2">
        <v>155.0</v>
      </c>
      <c r="F48" s="2">
        <v>1039.0</v>
      </c>
      <c r="G48" s="2">
        <v>469.0</v>
      </c>
      <c r="H48" s="2">
        <v>175.0</v>
      </c>
      <c r="I48" s="2">
        <v>2582.0</v>
      </c>
      <c r="J48" s="2">
        <v>137.0</v>
      </c>
      <c r="K48" s="2">
        <v>276.0</v>
      </c>
      <c r="L48" s="4">
        <f t="shared" si="7"/>
        <v>439.6666667</v>
      </c>
      <c r="M48" s="4">
        <f t="shared" si="8"/>
        <v>-302.6666667</v>
      </c>
      <c r="N48" s="4">
        <f t="shared" si="9"/>
        <v>302.6666667</v>
      </c>
      <c r="O48" s="4">
        <f t="shared" si="1"/>
        <v>431.7598511</v>
      </c>
      <c r="P48" s="4">
        <f t="shared" si="2"/>
        <v>430.9562497</v>
      </c>
      <c r="Q48" s="4">
        <f t="shared" si="3"/>
        <v>390.7255861</v>
      </c>
      <c r="V48" s="4">
        <f t="shared" si="4"/>
        <v>294.7598511</v>
      </c>
      <c r="W48" s="4">
        <f t="shared" si="5"/>
        <v>293.9562497</v>
      </c>
      <c r="X48" s="4">
        <f t="shared" si="6"/>
        <v>253.7255861</v>
      </c>
    </row>
    <row r="49">
      <c r="A49" s="3">
        <v>40483.0</v>
      </c>
      <c r="B49" s="2">
        <v>227.0</v>
      </c>
      <c r="C49" s="2">
        <v>347.0</v>
      </c>
      <c r="D49" s="2">
        <v>793.0</v>
      </c>
      <c r="E49" s="2">
        <v>58.0</v>
      </c>
      <c r="F49" s="2">
        <v>992.0</v>
      </c>
      <c r="G49" s="2">
        <v>1549.0</v>
      </c>
      <c r="H49" s="2">
        <v>123.0</v>
      </c>
      <c r="I49" s="2">
        <v>926.0</v>
      </c>
      <c r="J49" s="2">
        <v>347.0</v>
      </c>
      <c r="K49" s="2">
        <v>530.0</v>
      </c>
      <c r="L49" s="4">
        <f t="shared" si="7"/>
        <v>399.3333333</v>
      </c>
      <c r="M49" s="4">
        <f t="shared" si="8"/>
        <v>-52.33333333</v>
      </c>
      <c r="N49" s="4">
        <f t="shared" si="9"/>
        <v>52.33333333</v>
      </c>
      <c r="O49" s="4">
        <f t="shared" si="1"/>
        <v>402.283866</v>
      </c>
      <c r="P49" s="4">
        <f t="shared" si="2"/>
        <v>342.7693748</v>
      </c>
      <c r="Q49" s="4">
        <f t="shared" si="3"/>
        <v>263.8627931</v>
      </c>
      <c r="V49" s="4">
        <f t="shared" si="4"/>
        <v>55.28386596</v>
      </c>
      <c r="W49" s="4">
        <f t="shared" si="5"/>
        <v>4.230625222</v>
      </c>
      <c r="X49" s="4">
        <f t="shared" si="6"/>
        <v>83.13720695</v>
      </c>
    </row>
    <row r="50">
      <c r="A50" s="3">
        <v>40490.0</v>
      </c>
      <c r="B50" s="2">
        <v>570.0</v>
      </c>
      <c r="C50" s="2">
        <v>659.0</v>
      </c>
      <c r="D50" s="2">
        <v>2127.0</v>
      </c>
      <c r="E50" s="2">
        <v>98.0</v>
      </c>
      <c r="F50" s="2">
        <v>5584.0</v>
      </c>
      <c r="G50" s="2">
        <v>1675.0</v>
      </c>
      <c r="H50" s="2">
        <v>517.0</v>
      </c>
      <c r="I50" s="2">
        <v>4115.0</v>
      </c>
      <c r="J50" s="2">
        <v>659.0</v>
      </c>
      <c r="K50" s="2">
        <v>264.0</v>
      </c>
      <c r="L50" s="4">
        <f t="shared" si="7"/>
        <v>209.3333333</v>
      </c>
      <c r="M50" s="4">
        <f t="shared" si="8"/>
        <v>449.6666667</v>
      </c>
      <c r="N50" s="4">
        <f t="shared" si="9"/>
        <v>449.6666667</v>
      </c>
      <c r="O50" s="4">
        <f t="shared" si="1"/>
        <v>396.7554794</v>
      </c>
      <c r="P50" s="4">
        <f t="shared" si="2"/>
        <v>344.0385623</v>
      </c>
      <c r="Q50" s="4">
        <f t="shared" si="3"/>
        <v>305.4313965</v>
      </c>
      <c r="V50" s="4">
        <f t="shared" si="4"/>
        <v>262.2445206</v>
      </c>
      <c r="W50" s="4">
        <f t="shared" si="5"/>
        <v>314.9614377</v>
      </c>
      <c r="X50" s="4">
        <f t="shared" si="6"/>
        <v>353.5686035</v>
      </c>
    </row>
    <row r="51">
      <c r="A51" s="3">
        <v>40497.0</v>
      </c>
      <c r="B51" s="2">
        <v>461.0</v>
      </c>
      <c r="C51" s="2">
        <v>699.0</v>
      </c>
      <c r="D51" s="2">
        <v>1215.0</v>
      </c>
      <c r="E51" s="2">
        <v>286.0</v>
      </c>
      <c r="F51" s="2">
        <v>1263.0</v>
      </c>
      <c r="G51" s="2">
        <v>1791.0</v>
      </c>
      <c r="H51" s="2">
        <v>304.0</v>
      </c>
      <c r="I51" s="2">
        <v>1746.0</v>
      </c>
      <c r="J51" s="2">
        <v>699.0</v>
      </c>
      <c r="K51" s="2">
        <v>669.0</v>
      </c>
      <c r="L51" s="4">
        <f t="shared" si="7"/>
        <v>381</v>
      </c>
      <c r="M51" s="4">
        <f t="shared" si="8"/>
        <v>318</v>
      </c>
      <c r="N51" s="4">
        <f t="shared" si="9"/>
        <v>318</v>
      </c>
      <c r="O51" s="4">
        <f t="shared" si="1"/>
        <v>422.9799314</v>
      </c>
      <c r="P51" s="4">
        <f t="shared" si="2"/>
        <v>438.5269936</v>
      </c>
      <c r="Q51" s="4">
        <f t="shared" si="3"/>
        <v>482.2156983</v>
      </c>
      <c r="V51" s="4">
        <f t="shared" si="4"/>
        <v>276.0200686</v>
      </c>
      <c r="W51" s="4">
        <f t="shared" si="5"/>
        <v>260.4730064</v>
      </c>
      <c r="X51" s="4">
        <f t="shared" si="6"/>
        <v>216.7843017</v>
      </c>
    </row>
    <row r="52">
      <c r="A52" s="3">
        <v>40504.0</v>
      </c>
      <c r="B52" s="2">
        <v>493.0</v>
      </c>
      <c r="C52" s="2">
        <v>273.0</v>
      </c>
      <c r="D52" s="2">
        <v>1223.0</v>
      </c>
      <c r="E52" s="2">
        <v>67.0</v>
      </c>
      <c r="F52" s="2">
        <v>787.0</v>
      </c>
      <c r="G52" s="2">
        <v>1716.0</v>
      </c>
      <c r="H52" s="2">
        <v>343.0</v>
      </c>
      <c r="I52" s="2">
        <v>2207.0</v>
      </c>
      <c r="J52" s="2">
        <v>273.0</v>
      </c>
      <c r="K52" s="2">
        <v>327.0</v>
      </c>
      <c r="L52" s="4">
        <f t="shared" si="7"/>
        <v>568.3333333</v>
      </c>
      <c r="M52" s="4">
        <f t="shared" si="8"/>
        <v>-295.3333333</v>
      </c>
      <c r="N52" s="4">
        <f t="shared" si="9"/>
        <v>295.3333333</v>
      </c>
      <c r="O52" s="4">
        <f t="shared" si="1"/>
        <v>450.5819383</v>
      </c>
      <c r="P52" s="4">
        <f t="shared" si="2"/>
        <v>516.6688955</v>
      </c>
      <c r="Q52" s="4">
        <f t="shared" si="3"/>
        <v>590.6078491</v>
      </c>
      <c r="V52" s="4">
        <f t="shared" si="4"/>
        <v>177.5819383</v>
      </c>
      <c r="W52" s="4">
        <f t="shared" si="5"/>
        <v>243.6688955</v>
      </c>
      <c r="X52" s="4">
        <f t="shared" si="6"/>
        <v>317.6078491</v>
      </c>
    </row>
    <row r="53">
      <c r="A53" s="3">
        <v>40511.0</v>
      </c>
      <c r="B53" s="2">
        <v>928.0</v>
      </c>
      <c r="C53" s="2">
        <v>262.0</v>
      </c>
      <c r="D53" s="2">
        <v>1767.0</v>
      </c>
      <c r="E53" s="2">
        <v>69.0</v>
      </c>
      <c r="F53" s="2">
        <v>1192.0</v>
      </c>
      <c r="G53" s="2">
        <v>1149.0</v>
      </c>
      <c r="H53" s="2">
        <v>848.0</v>
      </c>
      <c r="I53" s="2">
        <v>683.0</v>
      </c>
      <c r="J53" s="2">
        <v>262.0</v>
      </c>
      <c r="K53" s="2">
        <v>293.0</v>
      </c>
      <c r="L53" s="4">
        <f t="shared" si="7"/>
        <v>543.6666667</v>
      </c>
      <c r="M53" s="4">
        <f t="shared" si="8"/>
        <v>-281.6666667</v>
      </c>
      <c r="N53" s="4">
        <f t="shared" si="9"/>
        <v>281.6666667</v>
      </c>
      <c r="O53" s="4">
        <f t="shared" si="1"/>
        <v>432.8237445</v>
      </c>
      <c r="P53" s="4">
        <f t="shared" si="2"/>
        <v>443.5682269</v>
      </c>
      <c r="Q53" s="4">
        <f t="shared" si="3"/>
        <v>431.8039246</v>
      </c>
      <c r="V53" s="4">
        <f t="shared" si="4"/>
        <v>170.8237445</v>
      </c>
      <c r="W53" s="4">
        <f t="shared" si="5"/>
        <v>181.5682269</v>
      </c>
      <c r="X53" s="4">
        <f t="shared" si="6"/>
        <v>169.8039246</v>
      </c>
    </row>
    <row r="54">
      <c r="A54" s="3">
        <v>40518.0</v>
      </c>
      <c r="B54" s="2">
        <v>850.0</v>
      </c>
      <c r="C54" s="2">
        <v>270.0</v>
      </c>
      <c r="D54" s="2">
        <v>852.0</v>
      </c>
      <c r="E54" s="2">
        <v>165.0</v>
      </c>
      <c r="F54" s="2">
        <v>789.0</v>
      </c>
      <c r="G54" s="2">
        <v>1054.0</v>
      </c>
      <c r="H54" s="2">
        <v>337.0</v>
      </c>
      <c r="I54" s="2">
        <v>1012.0</v>
      </c>
      <c r="J54" s="2">
        <v>270.0</v>
      </c>
      <c r="K54" s="2">
        <v>283.0</v>
      </c>
      <c r="L54" s="4">
        <f t="shared" si="7"/>
        <v>411.3333333</v>
      </c>
      <c r="M54" s="4">
        <f t="shared" si="8"/>
        <v>-141.3333333</v>
      </c>
      <c r="N54" s="4">
        <f t="shared" si="9"/>
        <v>141.3333333</v>
      </c>
      <c r="O54" s="4">
        <f t="shared" si="1"/>
        <v>415.74137</v>
      </c>
      <c r="P54" s="4">
        <f t="shared" si="2"/>
        <v>389.0977588</v>
      </c>
      <c r="Q54" s="4">
        <f t="shared" si="3"/>
        <v>346.9019623</v>
      </c>
      <c r="V54" s="4">
        <f t="shared" si="4"/>
        <v>145.74137</v>
      </c>
      <c r="W54" s="4">
        <f t="shared" si="5"/>
        <v>119.0977588</v>
      </c>
      <c r="X54" s="4">
        <f t="shared" si="6"/>
        <v>76.90196228</v>
      </c>
    </row>
    <row r="55">
      <c r="A55" s="3">
        <v>40525.0</v>
      </c>
      <c r="B55" s="2">
        <v>434.0</v>
      </c>
      <c r="C55" s="2">
        <v>107.0</v>
      </c>
      <c r="D55" s="2">
        <v>417.0</v>
      </c>
      <c r="E55" s="2">
        <v>29.0</v>
      </c>
      <c r="F55" s="2">
        <v>638.0</v>
      </c>
      <c r="G55" s="2">
        <v>597.0</v>
      </c>
      <c r="H55" s="2">
        <v>589.0</v>
      </c>
      <c r="I55" s="2">
        <v>981.0</v>
      </c>
      <c r="J55" s="2">
        <v>107.0</v>
      </c>
      <c r="K55" s="2">
        <v>187.0</v>
      </c>
      <c r="L55" s="4">
        <f t="shared" si="7"/>
        <v>268.3333333</v>
      </c>
      <c r="M55" s="4">
        <f t="shared" si="8"/>
        <v>-161.3333333</v>
      </c>
      <c r="N55" s="4">
        <f t="shared" si="9"/>
        <v>161.3333333</v>
      </c>
      <c r="O55" s="4">
        <f t="shared" si="1"/>
        <v>401.167233</v>
      </c>
      <c r="P55" s="4">
        <f t="shared" si="2"/>
        <v>353.3684312</v>
      </c>
      <c r="Q55" s="4">
        <f t="shared" si="3"/>
        <v>308.4509811</v>
      </c>
      <c r="V55" s="4">
        <f t="shared" si="4"/>
        <v>294.167233</v>
      </c>
      <c r="W55" s="4">
        <f t="shared" si="5"/>
        <v>246.3684312</v>
      </c>
      <c r="X55" s="4">
        <f t="shared" si="6"/>
        <v>201.4509811</v>
      </c>
    </row>
    <row r="56">
      <c r="A56" s="3">
        <v>40532.0</v>
      </c>
      <c r="B56" s="2">
        <v>177.0</v>
      </c>
      <c r="C56" s="2">
        <v>9.0</v>
      </c>
      <c r="D56" s="2">
        <v>180.0</v>
      </c>
      <c r="E56" s="2">
        <v>23.0</v>
      </c>
      <c r="F56" s="2">
        <v>40.0</v>
      </c>
      <c r="G56" s="2">
        <v>125.0</v>
      </c>
      <c r="H56" s="2">
        <v>60.0</v>
      </c>
      <c r="I56" s="2">
        <v>252.0</v>
      </c>
      <c r="J56" s="2">
        <v>9.0</v>
      </c>
      <c r="K56" s="2">
        <v>44.0</v>
      </c>
      <c r="L56" s="4">
        <f t="shared" si="7"/>
        <v>213</v>
      </c>
      <c r="M56" s="4">
        <f t="shared" si="8"/>
        <v>-204</v>
      </c>
      <c r="N56" s="4">
        <f t="shared" si="9"/>
        <v>204</v>
      </c>
      <c r="O56" s="4">
        <f t="shared" si="1"/>
        <v>371.7505097</v>
      </c>
      <c r="P56" s="4">
        <f t="shared" si="2"/>
        <v>279.4579018</v>
      </c>
      <c r="Q56" s="4">
        <f t="shared" si="3"/>
        <v>207.7254906</v>
      </c>
      <c r="V56" s="4">
        <f t="shared" si="4"/>
        <v>362.7505097</v>
      </c>
      <c r="W56" s="4">
        <f t="shared" si="5"/>
        <v>270.4579018</v>
      </c>
      <c r="X56" s="4">
        <f t="shared" si="6"/>
        <v>198.7254906</v>
      </c>
    </row>
    <row r="57">
      <c r="A57" s="3">
        <v>40539.0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f t="shared" si="7"/>
        <v>128.6666667</v>
      </c>
      <c r="M57" s="4">
        <f t="shared" si="8"/>
        <v>-128.6666667</v>
      </c>
      <c r="N57" s="4">
        <f t="shared" si="9"/>
        <v>128.6666667</v>
      </c>
      <c r="O57" s="4">
        <f t="shared" si="1"/>
        <v>335.4754587</v>
      </c>
      <c r="P57" s="4">
        <f t="shared" si="2"/>
        <v>198.3205313</v>
      </c>
      <c r="Q57" s="4">
        <f t="shared" si="3"/>
        <v>108.3627453</v>
      </c>
      <c r="V57" s="4">
        <f t="shared" si="4"/>
        <v>335.4754587</v>
      </c>
      <c r="W57" s="4">
        <f t="shared" si="5"/>
        <v>198.3205313</v>
      </c>
      <c r="X57" s="4">
        <f t="shared" si="6"/>
        <v>108.3627453</v>
      </c>
    </row>
    <row r="58">
      <c r="A58" s="3">
        <v>40546.0</v>
      </c>
      <c r="B58" s="2">
        <v>251.0</v>
      </c>
      <c r="C58" s="2">
        <v>523.0</v>
      </c>
      <c r="D58" s="2">
        <v>1274.0</v>
      </c>
      <c r="E58" s="2">
        <v>145.0</v>
      </c>
      <c r="F58" s="2">
        <v>480.0</v>
      </c>
      <c r="G58" s="2">
        <v>16.0</v>
      </c>
      <c r="H58" s="2">
        <v>861.0</v>
      </c>
      <c r="I58" s="2">
        <v>797.0</v>
      </c>
      <c r="J58" s="2">
        <v>523.0</v>
      </c>
      <c r="K58" s="2">
        <v>362.0</v>
      </c>
      <c r="L58" s="4">
        <f t="shared" si="7"/>
        <v>38.66666667</v>
      </c>
      <c r="M58" s="4">
        <f t="shared" si="8"/>
        <v>484.3333333</v>
      </c>
      <c r="N58" s="4">
        <f t="shared" si="9"/>
        <v>484.3333333</v>
      </c>
      <c r="O58" s="4">
        <f t="shared" si="1"/>
        <v>301.9279129</v>
      </c>
      <c r="P58" s="4">
        <f t="shared" si="2"/>
        <v>138.8243719</v>
      </c>
      <c r="Q58" s="4">
        <f t="shared" si="3"/>
        <v>54.18137264</v>
      </c>
      <c r="V58" s="4">
        <f t="shared" si="4"/>
        <v>221.0720871</v>
      </c>
      <c r="W58" s="4">
        <f t="shared" si="5"/>
        <v>384.1756281</v>
      </c>
      <c r="X58" s="4">
        <f t="shared" si="6"/>
        <v>468.8186274</v>
      </c>
    </row>
    <row r="59">
      <c r="A59" s="3">
        <v>40553.0</v>
      </c>
      <c r="B59" s="2">
        <v>404.0</v>
      </c>
      <c r="C59" s="2">
        <v>323.0</v>
      </c>
      <c r="D59" s="2">
        <v>225.0</v>
      </c>
      <c r="E59" s="2">
        <v>85.0</v>
      </c>
      <c r="F59" s="2">
        <v>442.0</v>
      </c>
      <c r="G59" s="2">
        <v>6.0</v>
      </c>
      <c r="H59" s="2">
        <v>175.0</v>
      </c>
      <c r="I59" s="2">
        <v>344.0</v>
      </c>
      <c r="J59" s="2">
        <v>323.0</v>
      </c>
      <c r="K59" s="2">
        <v>642.0</v>
      </c>
      <c r="L59" s="4">
        <f t="shared" si="7"/>
        <v>177.3333333</v>
      </c>
      <c r="M59" s="4">
        <f t="shared" si="8"/>
        <v>145.6666667</v>
      </c>
      <c r="N59" s="4">
        <f t="shared" si="9"/>
        <v>145.6666667</v>
      </c>
      <c r="O59" s="4">
        <f t="shared" si="1"/>
        <v>324.0351216</v>
      </c>
      <c r="P59" s="4">
        <f t="shared" si="2"/>
        <v>254.0770603</v>
      </c>
      <c r="Q59" s="4">
        <f t="shared" si="3"/>
        <v>288.5906863</v>
      </c>
      <c r="V59" s="4">
        <f t="shared" si="4"/>
        <v>1.035121577</v>
      </c>
      <c r="W59" s="4">
        <f t="shared" si="5"/>
        <v>68.92293968</v>
      </c>
      <c r="X59" s="4">
        <f t="shared" si="6"/>
        <v>34.40931368</v>
      </c>
    </row>
    <row r="60">
      <c r="A60" s="3">
        <v>40560.0</v>
      </c>
      <c r="B60" s="2">
        <v>138.0</v>
      </c>
      <c r="C60" s="2">
        <v>73.0</v>
      </c>
      <c r="D60" s="2">
        <v>594.0</v>
      </c>
      <c r="E60" s="2">
        <v>69.0</v>
      </c>
      <c r="F60" s="2">
        <v>139.0</v>
      </c>
      <c r="G60" s="2">
        <v>2.0</v>
      </c>
      <c r="H60" s="2">
        <v>165.0</v>
      </c>
      <c r="I60" s="2">
        <v>261.0</v>
      </c>
      <c r="J60" s="2">
        <v>73.0</v>
      </c>
      <c r="K60" s="2">
        <v>128.0</v>
      </c>
      <c r="L60" s="4">
        <f t="shared" si="7"/>
        <v>282</v>
      </c>
      <c r="M60" s="4">
        <f t="shared" si="8"/>
        <v>-209</v>
      </c>
      <c r="N60" s="4">
        <f t="shared" si="9"/>
        <v>209</v>
      </c>
      <c r="O60" s="4">
        <f t="shared" si="1"/>
        <v>323.9316094</v>
      </c>
      <c r="P60" s="4">
        <f t="shared" si="2"/>
        <v>274.7539422</v>
      </c>
      <c r="Q60" s="4">
        <f t="shared" si="3"/>
        <v>305.7953432</v>
      </c>
      <c r="V60" s="4">
        <f t="shared" si="4"/>
        <v>250.9316094</v>
      </c>
      <c r="W60" s="4">
        <f t="shared" si="5"/>
        <v>201.7539422</v>
      </c>
      <c r="X60" s="4">
        <f t="shared" si="6"/>
        <v>232.7953432</v>
      </c>
    </row>
    <row r="61">
      <c r="A61" s="3">
        <v>40567.0</v>
      </c>
      <c r="B61" s="2">
        <v>228.0</v>
      </c>
      <c r="C61" s="2">
        <v>199.0</v>
      </c>
      <c r="D61" s="2">
        <v>502.0</v>
      </c>
      <c r="E61" s="2">
        <v>171.0</v>
      </c>
      <c r="F61" s="2">
        <v>344.0</v>
      </c>
      <c r="G61" s="2">
        <v>0.0</v>
      </c>
      <c r="H61" s="2">
        <v>105.0</v>
      </c>
      <c r="I61" s="2">
        <v>351.0</v>
      </c>
      <c r="J61" s="2">
        <v>199.0</v>
      </c>
      <c r="K61" s="2">
        <v>171.0</v>
      </c>
      <c r="L61" s="4">
        <f t="shared" si="7"/>
        <v>306.3333333</v>
      </c>
      <c r="M61" s="4">
        <f t="shared" si="8"/>
        <v>-107.3333333</v>
      </c>
      <c r="N61" s="4">
        <f t="shared" si="9"/>
        <v>107.3333333</v>
      </c>
      <c r="O61" s="4">
        <f t="shared" si="1"/>
        <v>298.8384485</v>
      </c>
      <c r="P61" s="4">
        <f t="shared" si="2"/>
        <v>214.2277596</v>
      </c>
      <c r="Q61" s="4">
        <f t="shared" si="3"/>
        <v>189.3976716</v>
      </c>
      <c r="V61" s="4">
        <f t="shared" si="4"/>
        <v>99.83844848</v>
      </c>
      <c r="W61" s="4">
        <f t="shared" si="5"/>
        <v>15.22775956</v>
      </c>
      <c r="X61" s="4">
        <f t="shared" si="6"/>
        <v>9.60232842</v>
      </c>
    </row>
    <row r="62">
      <c r="A62" s="3">
        <v>40574.0</v>
      </c>
      <c r="B62" s="2">
        <v>149.0</v>
      </c>
      <c r="C62" s="2">
        <v>225.0</v>
      </c>
      <c r="D62" s="2">
        <v>965.0</v>
      </c>
      <c r="E62" s="2">
        <v>232.0</v>
      </c>
      <c r="F62" s="2">
        <v>937.0</v>
      </c>
      <c r="G62" s="2">
        <v>0.0</v>
      </c>
      <c r="H62" s="2">
        <v>99.0</v>
      </c>
      <c r="I62" s="2">
        <v>107.0</v>
      </c>
      <c r="J62" s="2">
        <v>225.0</v>
      </c>
      <c r="K62" s="2">
        <v>417.0</v>
      </c>
      <c r="L62" s="4">
        <f t="shared" si="7"/>
        <v>198.3333333</v>
      </c>
      <c r="M62" s="4">
        <f t="shared" si="8"/>
        <v>26.66666667</v>
      </c>
      <c r="N62" s="4">
        <f t="shared" si="9"/>
        <v>26.66666667</v>
      </c>
      <c r="O62" s="4">
        <f t="shared" si="1"/>
        <v>288.8546036</v>
      </c>
      <c r="P62" s="4">
        <f t="shared" si="2"/>
        <v>209.6594317</v>
      </c>
      <c r="Q62" s="4">
        <f t="shared" si="3"/>
        <v>194.1988358</v>
      </c>
      <c r="V62" s="4">
        <f t="shared" si="4"/>
        <v>63.85460363</v>
      </c>
      <c r="W62" s="4">
        <f t="shared" si="5"/>
        <v>15.34056831</v>
      </c>
      <c r="X62" s="4">
        <f t="shared" si="6"/>
        <v>30.80116421</v>
      </c>
    </row>
    <row r="63">
      <c r="A63" s="3">
        <v>40581.0</v>
      </c>
      <c r="B63" s="2">
        <v>137.0</v>
      </c>
      <c r="C63" s="2">
        <v>95.0</v>
      </c>
      <c r="D63" s="2">
        <v>288.0</v>
      </c>
      <c r="E63" s="2">
        <v>291.0</v>
      </c>
      <c r="F63" s="2">
        <v>160.0</v>
      </c>
      <c r="G63" s="2">
        <v>0.0</v>
      </c>
      <c r="H63" s="2">
        <v>192.0</v>
      </c>
      <c r="I63" s="2">
        <v>239.0</v>
      </c>
      <c r="J63" s="2">
        <v>95.0</v>
      </c>
      <c r="K63" s="2">
        <v>255.0</v>
      </c>
      <c r="L63" s="4">
        <f t="shared" si="7"/>
        <v>165.6666667</v>
      </c>
      <c r="M63" s="4">
        <f t="shared" si="8"/>
        <v>-70.66666667</v>
      </c>
      <c r="N63" s="4">
        <f t="shared" si="9"/>
        <v>70.66666667</v>
      </c>
      <c r="O63" s="4">
        <f t="shared" si="1"/>
        <v>282.4691433</v>
      </c>
      <c r="P63" s="4">
        <f t="shared" si="2"/>
        <v>214.2616022</v>
      </c>
      <c r="Q63" s="4">
        <f t="shared" si="3"/>
        <v>209.5994179</v>
      </c>
      <c r="V63" s="4">
        <f t="shared" si="4"/>
        <v>187.4691433</v>
      </c>
      <c r="W63" s="4">
        <f t="shared" si="5"/>
        <v>119.2616022</v>
      </c>
      <c r="X63" s="4">
        <f t="shared" si="6"/>
        <v>114.5994179</v>
      </c>
    </row>
    <row r="64">
      <c r="A64" s="3">
        <v>40588.0</v>
      </c>
      <c r="B64" s="2">
        <v>399.0</v>
      </c>
      <c r="C64" s="2">
        <v>409.0</v>
      </c>
      <c r="D64" s="2">
        <v>985.0</v>
      </c>
      <c r="E64" s="2">
        <v>189.0</v>
      </c>
      <c r="F64" s="2">
        <v>588.0</v>
      </c>
      <c r="G64" s="2">
        <v>2.0</v>
      </c>
      <c r="H64" s="2">
        <v>305.0</v>
      </c>
      <c r="I64" s="2">
        <v>1040.0</v>
      </c>
      <c r="J64" s="2">
        <v>409.0</v>
      </c>
      <c r="K64" s="2">
        <v>291.0</v>
      </c>
      <c r="L64" s="4">
        <f t="shared" si="7"/>
        <v>173</v>
      </c>
      <c r="M64" s="4">
        <f t="shared" si="8"/>
        <v>236</v>
      </c>
      <c r="N64" s="4">
        <f t="shared" si="9"/>
        <v>236</v>
      </c>
      <c r="O64" s="4">
        <f t="shared" si="1"/>
        <v>263.7222289</v>
      </c>
      <c r="P64" s="4">
        <f t="shared" si="2"/>
        <v>178.4831215</v>
      </c>
      <c r="Q64" s="4">
        <f t="shared" si="3"/>
        <v>152.2997089</v>
      </c>
      <c r="V64" s="4">
        <f t="shared" si="4"/>
        <v>145.2777711</v>
      </c>
      <c r="W64" s="4">
        <f t="shared" si="5"/>
        <v>230.5168785</v>
      </c>
      <c r="X64" s="4">
        <f t="shared" si="6"/>
        <v>256.7002911</v>
      </c>
    </row>
    <row r="65">
      <c r="A65" s="3">
        <v>40595.0</v>
      </c>
      <c r="B65" s="2">
        <v>203.0</v>
      </c>
      <c r="C65" s="2">
        <v>260.0</v>
      </c>
      <c r="D65" s="2">
        <v>810.0</v>
      </c>
      <c r="E65" s="2">
        <v>157.0</v>
      </c>
      <c r="F65" s="2">
        <v>328.0</v>
      </c>
      <c r="G65" s="2">
        <v>2.0</v>
      </c>
      <c r="H65" s="2">
        <v>75.0</v>
      </c>
      <c r="I65" s="2">
        <v>1312.0</v>
      </c>
      <c r="J65" s="2">
        <v>260.0</v>
      </c>
      <c r="K65" s="2">
        <v>369.0</v>
      </c>
      <c r="L65" s="4">
        <f t="shared" si="7"/>
        <v>243</v>
      </c>
      <c r="M65" s="4">
        <f t="shared" si="8"/>
        <v>17</v>
      </c>
      <c r="N65" s="4">
        <f t="shared" si="9"/>
        <v>17</v>
      </c>
      <c r="O65" s="4">
        <f t="shared" si="1"/>
        <v>278.250006</v>
      </c>
      <c r="P65" s="4">
        <f t="shared" si="2"/>
        <v>247.6381851</v>
      </c>
      <c r="Q65" s="4">
        <f t="shared" si="3"/>
        <v>280.6498545</v>
      </c>
      <c r="V65" s="4">
        <f t="shared" si="4"/>
        <v>18.25000605</v>
      </c>
      <c r="W65" s="4">
        <f t="shared" si="5"/>
        <v>12.36181493</v>
      </c>
      <c r="X65" s="4">
        <f t="shared" si="6"/>
        <v>20.64985447</v>
      </c>
    </row>
    <row r="66">
      <c r="A66" s="3">
        <v>40602.0</v>
      </c>
      <c r="B66" s="2">
        <v>348.0</v>
      </c>
      <c r="C66" s="2">
        <v>174.0</v>
      </c>
      <c r="D66" s="2">
        <v>624.0</v>
      </c>
      <c r="E66" s="2">
        <v>255.0</v>
      </c>
      <c r="F66" s="2">
        <v>213.0</v>
      </c>
      <c r="G66" s="2">
        <v>45.0</v>
      </c>
      <c r="H66" s="2">
        <v>39.0</v>
      </c>
      <c r="I66" s="2">
        <v>370.0</v>
      </c>
      <c r="J66" s="2">
        <v>174.0</v>
      </c>
      <c r="K66" s="2">
        <v>175.0</v>
      </c>
      <c r="L66" s="4">
        <f t="shared" si="7"/>
        <v>254.6666667</v>
      </c>
      <c r="M66" s="4">
        <f t="shared" si="8"/>
        <v>-80.66666667</v>
      </c>
      <c r="N66" s="4">
        <f t="shared" si="9"/>
        <v>80.66666667</v>
      </c>
      <c r="O66" s="4">
        <f t="shared" si="1"/>
        <v>276.4250054</v>
      </c>
      <c r="P66" s="4">
        <f t="shared" si="2"/>
        <v>251.3467295</v>
      </c>
      <c r="Q66" s="4">
        <f t="shared" si="3"/>
        <v>270.3249272</v>
      </c>
      <c r="V66" s="4">
        <f t="shared" si="4"/>
        <v>102.4250054</v>
      </c>
      <c r="W66" s="4">
        <f t="shared" si="5"/>
        <v>77.34672955</v>
      </c>
      <c r="X66" s="4">
        <f t="shared" si="6"/>
        <v>96.32492724</v>
      </c>
    </row>
    <row r="67">
      <c r="A67" s="3">
        <v>40609.0</v>
      </c>
      <c r="B67" s="2">
        <v>190.0</v>
      </c>
      <c r="C67" s="2">
        <v>374.0</v>
      </c>
      <c r="D67" s="2">
        <v>738.0</v>
      </c>
      <c r="E67" s="2">
        <v>205.0</v>
      </c>
      <c r="F67" s="2">
        <v>642.0</v>
      </c>
      <c r="G67" s="2">
        <v>1.0</v>
      </c>
      <c r="H67" s="2">
        <v>270.0</v>
      </c>
      <c r="I67" s="2">
        <v>779.0</v>
      </c>
      <c r="J67" s="2">
        <v>374.0</v>
      </c>
      <c r="K67" s="2">
        <v>148.0</v>
      </c>
      <c r="L67" s="4">
        <f t="shared" si="7"/>
        <v>281</v>
      </c>
      <c r="M67" s="4">
        <f t="shared" si="8"/>
        <v>93</v>
      </c>
      <c r="N67" s="4">
        <f t="shared" si="9"/>
        <v>93</v>
      </c>
      <c r="O67" s="4">
        <f t="shared" si="1"/>
        <v>266.1825049</v>
      </c>
      <c r="P67" s="4">
        <f t="shared" si="2"/>
        <v>228.1427107</v>
      </c>
      <c r="Q67" s="4">
        <f t="shared" si="3"/>
        <v>222.1624636</v>
      </c>
      <c r="V67" s="4">
        <f t="shared" si="4"/>
        <v>107.8174951</v>
      </c>
      <c r="W67" s="4">
        <f t="shared" si="5"/>
        <v>145.8572893</v>
      </c>
      <c r="X67" s="4">
        <f t="shared" si="6"/>
        <v>151.8375364</v>
      </c>
    </row>
    <row r="68">
      <c r="A68" s="3">
        <v>40616.0</v>
      </c>
      <c r="B68" s="2">
        <v>308.0</v>
      </c>
      <c r="C68" s="2">
        <v>1083.0</v>
      </c>
      <c r="D68" s="2">
        <v>1546.0</v>
      </c>
      <c r="E68" s="2">
        <v>606.0</v>
      </c>
      <c r="F68" s="2">
        <v>963.0</v>
      </c>
      <c r="G68" s="2">
        <v>0.0</v>
      </c>
      <c r="H68" s="2">
        <v>108.0</v>
      </c>
      <c r="I68" s="2">
        <v>583.0</v>
      </c>
      <c r="J68" s="2">
        <v>1083.0</v>
      </c>
      <c r="K68" s="2">
        <v>278.0</v>
      </c>
      <c r="L68" s="4">
        <f t="shared" si="7"/>
        <v>269.3333333</v>
      </c>
      <c r="M68" s="4">
        <f t="shared" si="8"/>
        <v>813.6666667</v>
      </c>
      <c r="N68" s="4">
        <f t="shared" si="9"/>
        <v>813.6666667</v>
      </c>
      <c r="O68" s="4">
        <f t="shared" si="1"/>
        <v>276.9642544</v>
      </c>
      <c r="P68" s="4">
        <f t="shared" si="2"/>
        <v>271.8998975</v>
      </c>
      <c r="Q68" s="4">
        <f t="shared" si="3"/>
        <v>298.0812318</v>
      </c>
      <c r="V68" s="4">
        <f t="shared" si="4"/>
        <v>806.0357456</v>
      </c>
      <c r="W68" s="4">
        <f t="shared" si="5"/>
        <v>811.1001025</v>
      </c>
      <c r="X68" s="4">
        <f t="shared" si="6"/>
        <v>784.9187682</v>
      </c>
    </row>
    <row r="69">
      <c r="A69" s="3">
        <v>40623.0</v>
      </c>
      <c r="B69" s="2">
        <v>327.0</v>
      </c>
      <c r="C69" s="2">
        <v>586.0</v>
      </c>
      <c r="D69" s="2">
        <v>1379.0</v>
      </c>
      <c r="E69" s="2">
        <v>325.0</v>
      </c>
      <c r="F69" s="2">
        <v>391.0</v>
      </c>
      <c r="G69" s="2">
        <v>42.0</v>
      </c>
      <c r="H69" s="2">
        <v>22.0</v>
      </c>
      <c r="I69" s="2">
        <v>237.0</v>
      </c>
      <c r="J69" s="2">
        <v>586.0</v>
      </c>
      <c r="K69" s="2">
        <v>379.0</v>
      </c>
      <c r="L69" s="4">
        <f t="shared" si="7"/>
        <v>543.6666667</v>
      </c>
      <c r="M69" s="4">
        <f t="shared" si="8"/>
        <v>42.33333333</v>
      </c>
      <c r="N69" s="4">
        <f t="shared" si="9"/>
        <v>42.33333333</v>
      </c>
      <c r="O69" s="4">
        <f t="shared" si="1"/>
        <v>357.567829</v>
      </c>
      <c r="P69" s="4">
        <f t="shared" si="2"/>
        <v>515.2299282</v>
      </c>
      <c r="Q69" s="4">
        <f t="shared" si="3"/>
        <v>690.5406159</v>
      </c>
      <c r="V69" s="4">
        <f t="shared" si="4"/>
        <v>228.432171</v>
      </c>
      <c r="W69" s="4">
        <f t="shared" si="5"/>
        <v>70.77007176</v>
      </c>
      <c r="X69" s="4">
        <f t="shared" si="6"/>
        <v>104.5406159</v>
      </c>
    </row>
    <row r="70">
      <c r="A70" s="3">
        <v>40630.0</v>
      </c>
      <c r="B70" s="2">
        <v>282.0</v>
      </c>
      <c r="C70" s="2">
        <v>665.0</v>
      </c>
      <c r="D70" s="2">
        <v>1103.0</v>
      </c>
      <c r="E70" s="2">
        <v>368.0</v>
      </c>
      <c r="F70" s="2">
        <v>585.0</v>
      </c>
      <c r="G70" s="2">
        <v>3.0</v>
      </c>
      <c r="H70" s="2">
        <v>85.0</v>
      </c>
      <c r="I70" s="2">
        <v>1030.0</v>
      </c>
      <c r="J70" s="2">
        <v>665.0</v>
      </c>
      <c r="K70" s="2">
        <v>587.0</v>
      </c>
      <c r="L70" s="4">
        <f t="shared" si="7"/>
        <v>681</v>
      </c>
      <c r="M70" s="4">
        <f t="shared" si="8"/>
        <v>-16</v>
      </c>
      <c r="N70" s="4">
        <f t="shared" si="9"/>
        <v>16</v>
      </c>
      <c r="O70" s="4">
        <f t="shared" si="1"/>
        <v>380.4110461</v>
      </c>
      <c r="P70" s="4">
        <f t="shared" si="2"/>
        <v>536.4609498</v>
      </c>
      <c r="Q70" s="4">
        <f t="shared" si="3"/>
        <v>638.270308</v>
      </c>
      <c r="V70" s="4">
        <f t="shared" si="4"/>
        <v>284.5889539</v>
      </c>
      <c r="W70" s="4">
        <f t="shared" si="5"/>
        <v>128.5390502</v>
      </c>
      <c r="X70" s="4">
        <f t="shared" si="6"/>
        <v>26.72969205</v>
      </c>
    </row>
    <row r="71">
      <c r="A71" s="3">
        <v>40637.0</v>
      </c>
      <c r="B71" s="2">
        <v>274.0</v>
      </c>
      <c r="C71" s="2">
        <v>125.0</v>
      </c>
      <c r="D71" s="2">
        <v>975.0</v>
      </c>
      <c r="E71" s="2">
        <v>460.0</v>
      </c>
      <c r="F71" s="2">
        <v>753.0</v>
      </c>
      <c r="G71" s="2">
        <v>9.0</v>
      </c>
      <c r="H71" s="2">
        <v>14.0</v>
      </c>
      <c r="I71" s="2">
        <v>564.0</v>
      </c>
      <c r="J71" s="2">
        <v>125.0</v>
      </c>
      <c r="K71" s="2">
        <v>247.0</v>
      </c>
      <c r="L71" s="4">
        <f t="shared" si="7"/>
        <v>778</v>
      </c>
      <c r="M71" s="4">
        <f t="shared" si="8"/>
        <v>-653</v>
      </c>
      <c r="N71" s="4">
        <f t="shared" si="9"/>
        <v>653</v>
      </c>
      <c r="O71" s="4">
        <f t="shared" si="1"/>
        <v>408.8699415</v>
      </c>
      <c r="P71" s="4">
        <f t="shared" si="2"/>
        <v>575.0226648</v>
      </c>
      <c r="Q71" s="4">
        <f t="shared" si="3"/>
        <v>651.635154</v>
      </c>
      <c r="V71" s="4">
        <f t="shared" si="4"/>
        <v>283.8699415</v>
      </c>
      <c r="W71" s="4">
        <f t="shared" si="5"/>
        <v>450.0226648</v>
      </c>
      <c r="X71" s="4">
        <f t="shared" si="6"/>
        <v>526.635154</v>
      </c>
    </row>
    <row r="72">
      <c r="A72" s="3">
        <v>40644.0</v>
      </c>
      <c r="B72" s="2">
        <v>362.0</v>
      </c>
      <c r="C72" s="2">
        <v>119.0</v>
      </c>
      <c r="D72" s="2">
        <v>616.0</v>
      </c>
      <c r="E72" s="2">
        <v>542.0</v>
      </c>
      <c r="F72" s="2">
        <v>815.0</v>
      </c>
      <c r="G72" s="2">
        <v>0.0</v>
      </c>
      <c r="H72" s="2">
        <v>5.0</v>
      </c>
      <c r="I72" s="2">
        <v>784.0</v>
      </c>
      <c r="J72" s="2">
        <v>119.0</v>
      </c>
      <c r="K72" s="2">
        <v>305.0</v>
      </c>
      <c r="L72" s="4">
        <f t="shared" si="7"/>
        <v>458.6666667</v>
      </c>
      <c r="M72" s="4">
        <f t="shared" si="8"/>
        <v>-339.6666667</v>
      </c>
      <c r="N72" s="4">
        <f t="shared" si="9"/>
        <v>339.6666667</v>
      </c>
      <c r="O72" s="4">
        <f t="shared" si="1"/>
        <v>380.4829473</v>
      </c>
      <c r="P72" s="4">
        <f t="shared" si="2"/>
        <v>440.0158654</v>
      </c>
      <c r="Q72" s="4">
        <f t="shared" si="3"/>
        <v>388.317577</v>
      </c>
      <c r="V72" s="4">
        <f t="shared" si="4"/>
        <v>261.4829473</v>
      </c>
      <c r="W72" s="4">
        <f t="shared" si="5"/>
        <v>321.0158654</v>
      </c>
      <c r="X72" s="4">
        <f t="shared" si="6"/>
        <v>269.317577</v>
      </c>
    </row>
    <row r="73">
      <c r="A73" s="3">
        <v>40651.0</v>
      </c>
      <c r="B73" s="2">
        <v>186.0</v>
      </c>
      <c r="C73" s="2">
        <v>155.0</v>
      </c>
      <c r="D73" s="2">
        <v>549.0</v>
      </c>
      <c r="E73" s="2">
        <v>548.0</v>
      </c>
      <c r="F73" s="2">
        <v>612.0</v>
      </c>
      <c r="G73" s="2">
        <v>1.0</v>
      </c>
      <c r="H73" s="2">
        <v>4.0</v>
      </c>
      <c r="I73" s="2">
        <v>232.0</v>
      </c>
      <c r="J73" s="2">
        <v>155.0</v>
      </c>
      <c r="K73" s="2">
        <v>368.0</v>
      </c>
      <c r="L73" s="4">
        <f t="shared" si="7"/>
        <v>303</v>
      </c>
      <c r="M73" s="4">
        <f t="shared" si="8"/>
        <v>-148</v>
      </c>
      <c r="N73" s="4">
        <f t="shared" si="9"/>
        <v>148</v>
      </c>
      <c r="O73" s="4">
        <f t="shared" si="1"/>
        <v>354.3346526</v>
      </c>
      <c r="P73" s="4">
        <f t="shared" si="2"/>
        <v>343.7111058</v>
      </c>
      <c r="Q73" s="4">
        <f t="shared" si="3"/>
        <v>253.6587885</v>
      </c>
      <c r="V73" s="4">
        <f t="shared" si="4"/>
        <v>199.3346526</v>
      </c>
      <c r="W73" s="4">
        <f t="shared" si="5"/>
        <v>188.7111058</v>
      </c>
      <c r="X73" s="4">
        <f t="shared" si="6"/>
        <v>98.65878849</v>
      </c>
    </row>
    <row r="74">
      <c r="A74" s="3">
        <v>40658.0</v>
      </c>
      <c r="B74" s="2">
        <v>175.0</v>
      </c>
      <c r="C74" s="2">
        <v>282.0</v>
      </c>
      <c r="D74" s="2">
        <v>385.0</v>
      </c>
      <c r="E74" s="2">
        <v>276.0</v>
      </c>
      <c r="F74" s="2">
        <v>264.0</v>
      </c>
      <c r="G74" s="2">
        <v>0.0</v>
      </c>
      <c r="H74" s="2">
        <v>5.0</v>
      </c>
      <c r="I74" s="2">
        <v>310.0</v>
      </c>
      <c r="J74" s="2">
        <v>282.0</v>
      </c>
      <c r="K74" s="2">
        <v>164.0</v>
      </c>
      <c r="L74" s="4">
        <f t="shared" si="7"/>
        <v>133</v>
      </c>
      <c r="M74" s="4">
        <f t="shared" si="8"/>
        <v>149</v>
      </c>
      <c r="N74" s="4">
        <f t="shared" si="9"/>
        <v>149</v>
      </c>
      <c r="O74" s="4">
        <f t="shared" si="1"/>
        <v>334.4011873</v>
      </c>
      <c r="P74" s="4">
        <f t="shared" si="2"/>
        <v>287.097774</v>
      </c>
      <c r="Q74" s="4">
        <f t="shared" si="3"/>
        <v>204.3293942</v>
      </c>
      <c r="V74" s="4">
        <f t="shared" si="4"/>
        <v>52.40118733</v>
      </c>
      <c r="W74" s="4">
        <f t="shared" si="5"/>
        <v>5.097774039</v>
      </c>
      <c r="X74" s="4">
        <f t="shared" si="6"/>
        <v>77.67060575</v>
      </c>
    </row>
    <row r="75">
      <c r="A75" s="3">
        <v>40665.0</v>
      </c>
      <c r="B75" s="2">
        <v>171.0</v>
      </c>
      <c r="C75" s="2">
        <v>154.0</v>
      </c>
      <c r="D75" s="2">
        <v>380.0</v>
      </c>
      <c r="E75" s="2">
        <v>984.0</v>
      </c>
      <c r="F75" s="2">
        <v>594.0</v>
      </c>
      <c r="G75" s="2">
        <v>4.0</v>
      </c>
      <c r="H75" s="2">
        <v>109.0</v>
      </c>
      <c r="I75" s="2">
        <v>372.0</v>
      </c>
      <c r="J75" s="2">
        <v>154.0</v>
      </c>
      <c r="K75" s="2">
        <v>289.0</v>
      </c>
      <c r="L75" s="4">
        <f t="shared" si="7"/>
        <v>185.3333333</v>
      </c>
      <c r="M75" s="4">
        <f t="shared" si="8"/>
        <v>-31.33333333</v>
      </c>
      <c r="N75" s="4">
        <f t="shared" si="9"/>
        <v>31.33333333</v>
      </c>
      <c r="O75" s="4">
        <f t="shared" si="1"/>
        <v>329.1610686</v>
      </c>
      <c r="P75" s="4">
        <f t="shared" si="2"/>
        <v>285.5684418</v>
      </c>
      <c r="Q75" s="4">
        <f t="shared" si="3"/>
        <v>243.1646971</v>
      </c>
      <c r="V75" s="4">
        <f t="shared" si="4"/>
        <v>175.1610686</v>
      </c>
      <c r="W75" s="4">
        <f t="shared" si="5"/>
        <v>131.5684418</v>
      </c>
      <c r="X75" s="4">
        <f t="shared" si="6"/>
        <v>89.16469712</v>
      </c>
    </row>
    <row r="76">
      <c r="A76" s="3">
        <v>40672.0</v>
      </c>
      <c r="B76" s="2">
        <v>366.0</v>
      </c>
      <c r="C76" s="2">
        <v>401.0</v>
      </c>
      <c r="D76" s="2">
        <v>1206.0</v>
      </c>
      <c r="E76" s="2">
        <v>752.0</v>
      </c>
      <c r="F76" s="2">
        <v>1201.0</v>
      </c>
      <c r="G76" s="2">
        <v>13.0</v>
      </c>
      <c r="H76" s="2">
        <v>187.0</v>
      </c>
      <c r="I76" s="2">
        <v>381.0</v>
      </c>
      <c r="J76" s="2">
        <v>401.0</v>
      </c>
      <c r="K76" s="2">
        <v>885.0</v>
      </c>
      <c r="L76" s="4">
        <f t="shared" si="7"/>
        <v>197</v>
      </c>
      <c r="M76" s="4">
        <f t="shared" si="8"/>
        <v>204</v>
      </c>
      <c r="N76" s="4">
        <f t="shared" si="9"/>
        <v>204</v>
      </c>
      <c r="O76" s="4">
        <f t="shared" si="1"/>
        <v>311.6449617</v>
      </c>
      <c r="P76" s="4">
        <f t="shared" si="2"/>
        <v>246.0979093</v>
      </c>
      <c r="Q76" s="4">
        <f t="shared" si="3"/>
        <v>198.5823486</v>
      </c>
      <c r="V76" s="4">
        <f t="shared" si="4"/>
        <v>89.35503827</v>
      </c>
      <c r="W76" s="4">
        <f t="shared" si="5"/>
        <v>154.9020907</v>
      </c>
      <c r="X76" s="4">
        <f t="shared" si="6"/>
        <v>202.4176514</v>
      </c>
    </row>
    <row r="77">
      <c r="A77" s="3">
        <v>40679.0</v>
      </c>
      <c r="B77" s="2">
        <v>305.0</v>
      </c>
      <c r="C77" s="2">
        <v>169.0</v>
      </c>
      <c r="D77" s="2">
        <v>978.0</v>
      </c>
      <c r="E77" s="2">
        <v>754.0</v>
      </c>
      <c r="F77" s="2">
        <v>595.0</v>
      </c>
      <c r="G77" s="2">
        <v>0.0</v>
      </c>
      <c r="H77" s="2">
        <v>44.0</v>
      </c>
      <c r="I77" s="2">
        <v>1300.0</v>
      </c>
      <c r="J77" s="2">
        <v>169.0</v>
      </c>
      <c r="K77" s="2">
        <v>445.0</v>
      </c>
      <c r="L77" s="4">
        <f t="shared" si="7"/>
        <v>279</v>
      </c>
      <c r="M77" s="4">
        <f t="shared" si="8"/>
        <v>-110</v>
      </c>
      <c r="N77" s="4">
        <f t="shared" si="9"/>
        <v>110</v>
      </c>
      <c r="O77" s="4">
        <f t="shared" si="1"/>
        <v>320.5804656</v>
      </c>
      <c r="P77" s="4">
        <f t="shared" si="2"/>
        <v>292.5685365</v>
      </c>
      <c r="Q77" s="4">
        <f t="shared" si="3"/>
        <v>299.7911743</v>
      </c>
      <c r="V77" s="4">
        <f t="shared" si="4"/>
        <v>151.5804656</v>
      </c>
      <c r="W77" s="4">
        <f t="shared" si="5"/>
        <v>123.5685365</v>
      </c>
      <c r="X77" s="4">
        <f t="shared" si="6"/>
        <v>130.7911743</v>
      </c>
    </row>
    <row r="78">
      <c r="A78" s="3">
        <v>40686.0</v>
      </c>
      <c r="B78" s="2">
        <v>169.0</v>
      </c>
      <c r="C78" s="2">
        <v>558.0</v>
      </c>
      <c r="D78" s="2">
        <v>933.0</v>
      </c>
      <c r="E78" s="2">
        <v>839.0</v>
      </c>
      <c r="F78" s="2">
        <v>565.0</v>
      </c>
      <c r="G78" s="2">
        <v>0.0</v>
      </c>
      <c r="H78" s="2">
        <v>72.0</v>
      </c>
      <c r="I78" s="2">
        <v>4562.0</v>
      </c>
      <c r="J78" s="2">
        <v>558.0</v>
      </c>
      <c r="K78" s="2">
        <v>684.0</v>
      </c>
      <c r="L78" s="4">
        <f t="shared" si="7"/>
        <v>241.3333333</v>
      </c>
      <c r="M78" s="4">
        <f t="shared" si="8"/>
        <v>316.6666667</v>
      </c>
      <c r="N78" s="4">
        <f t="shared" si="9"/>
        <v>316.6666667</v>
      </c>
      <c r="O78" s="4">
        <f t="shared" si="1"/>
        <v>305.422419</v>
      </c>
      <c r="P78" s="4">
        <f t="shared" si="2"/>
        <v>255.4979755</v>
      </c>
      <c r="Q78" s="4">
        <f t="shared" si="3"/>
        <v>234.3955871</v>
      </c>
      <c r="V78" s="4">
        <f t="shared" si="4"/>
        <v>252.577581</v>
      </c>
      <c r="W78" s="4">
        <f t="shared" si="5"/>
        <v>302.5020245</v>
      </c>
      <c r="X78" s="4">
        <f t="shared" si="6"/>
        <v>323.6044129</v>
      </c>
    </row>
    <row r="79">
      <c r="A79" s="3">
        <v>40693.0</v>
      </c>
      <c r="B79" s="2">
        <v>263.0</v>
      </c>
      <c r="C79" s="2">
        <v>410.0</v>
      </c>
      <c r="D79" s="2">
        <v>273.0</v>
      </c>
      <c r="E79" s="2">
        <v>434.0</v>
      </c>
      <c r="F79" s="2">
        <v>384.0</v>
      </c>
      <c r="G79" s="2">
        <v>0.0</v>
      </c>
      <c r="H79" s="2">
        <v>27.0</v>
      </c>
      <c r="I79" s="2">
        <v>533.0</v>
      </c>
      <c r="J79" s="2">
        <v>410.0</v>
      </c>
      <c r="K79" s="2">
        <v>184.0</v>
      </c>
      <c r="L79" s="4">
        <f t="shared" si="7"/>
        <v>376</v>
      </c>
      <c r="M79" s="4">
        <f t="shared" si="8"/>
        <v>34</v>
      </c>
      <c r="N79" s="4">
        <f t="shared" si="9"/>
        <v>34</v>
      </c>
      <c r="O79" s="4">
        <f t="shared" si="1"/>
        <v>330.6801771</v>
      </c>
      <c r="P79" s="4">
        <f t="shared" si="2"/>
        <v>346.2485829</v>
      </c>
      <c r="Q79" s="4">
        <f t="shared" si="3"/>
        <v>396.1977936</v>
      </c>
      <c r="V79" s="4">
        <f t="shared" si="4"/>
        <v>79.3198229</v>
      </c>
      <c r="W79" s="4">
        <f t="shared" si="5"/>
        <v>63.75141712</v>
      </c>
      <c r="X79" s="4">
        <f t="shared" si="6"/>
        <v>13.80220643</v>
      </c>
    </row>
    <row r="80">
      <c r="A80" s="3">
        <v>40700.0</v>
      </c>
      <c r="B80" s="2">
        <v>207.0</v>
      </c>
      <c r="C80" s="2">
        <v>478.0</v>
      </c>
      <c r="D80" s="2">
        <v>883.0</v>
      </c>
      <c r="E80" s="2">
        <v>651.0</v>
      </c>
      <c r="F80" s="2">
        <v>292.0</v>
      </c>
      <c r="G80" s="2">
        <v>2.0</v>
      </c>
      <c r="H80" s="2">
        <v>91.0</v>
      </c>
      <c r="I80" s="2">
        <v>410.0</v>
      </c>
      <c r="J80" s="2">
        <v>478.0</v>
      </c>
      <c r="K80" s="2">
        <v>585.0</v>
      </c>
      <c r="L80" s="4">
        <f t="shared" si="7"/>
        <v>379</v>
      </c>
      <c r="M80" s="4">
        <f t="shared" si="8"/>
        <v>99</v>
      </c>
      <c r="N80" s="4">
        <f t="shared" si="9"/>
        <v>99</v>
      </c>
      <c r="O80" s="4">
        <f t="shared" si="1"/>
        <v>338.6121594</v>
      </c>
      <c r="P80" s="4">
        <f t="shared" si="2"/>
        <v>365.374008</v>
      </c>
      <c r="Q80" s="4">
        <f t="shared" si="3"/>
        <v>403.0988968</v>
      </c>
      <c r="V80" s="4">
        <f t="shared" si="4"/>
        <v>139.3878406</v>
      </c>
      <c r="W80" s="4">
        <f t="shared" si="5"/>
        <v>112.625992</v>
      </c>
      <c r="X80" s="4">
        <f t="shared" si="6"/>
        <v>74.90110321</v>
      </c>
    </row>
    <row r="81">
      <c r="A81" s="3">
        <v>40707.0</v>
      </c>
      <c r="B81" s="2">
        <v>173.0</v>
      </c>
      <c r="C81" s="2">
        <v>243.0</v>
      </c>
      <c r="D81" s="2">
        <v>959.0</v>
      </c>
      <c r="E81" s="2">
        <v>507.0</v>
      </c>
      <c r="F81" s="2">
        <v>446.0</v>
      </c>
      <c r="G81" s="2">
        <v>1.0</v>
      </c>
      <c r="H81" s="2">
        <v>113.0</v>
      </c>
      <c r="I81" s="2">
        <v>437.0</v>
      </c>
      <c r="J81" s="2">
        <v>243.0</v>
      </c>
      <c r="K81" s="2">
        <v>448.0</v>
      </c>
      <c r="L81" s="4">
        <f t="shared" si="7"/>
        <v>482</v>
      </c>
      <c r="M81" s="4">
        <f t="shared" si="8"/>
        <v>-239</v>
      </c>
      <c r="N81" s="4">
        <f t="shared" si="9"/>
        <v>239</v>
      </c>
      <c r="O81" s="4">
        <f t="shared" si="1"/>
        <v>352.5509435</v>
      </c>
      <c r="P81" s="4">
        <f t="shared" si="2"/>
        <v>399.1618056</v>
      </c>
      <c r="Q81" s="4">
        <f t="shared" si="3"/>
        <v>440.5494484</v>
      </c>
      <c r="V81" s="4">
        <f t="shared" si="4"/>
        <v>109.5509435</v>
      </c>
      <c r="W81" s="4">
        <f t="shared" si="5"/>
        <v>156.1618056</v>
      </c>
      <c r="X81" s="4">
        <f t="shared" si="6"/>
        <v>197.5494484</v>
      </c>
    </row>
    <row r="82">
      <c r="A82" s="3">
        <v>40714.0</v>
      </c>
      <c r="B82" s="2">
        <v>143.0</v>
      </c>
      <c r="C82" s="2">
        <v>611.0</v>
      </c>
      <c r="D82" s="2">
        <v>841.0</v>
      </c>
      <c r="E82" s="2">
        <v>598.0</v>
      </c>
      <c r="F82" s="2">
        <v>270.0</v>
      </c>
      <c r="G82" s="2">
        <v>6.0</v>
      </c>
      <c r="H82" s="2">
        <v>60.0</v>
      </c>
      <c r="I82" s="2">
        <v>345.0</v>
      </c>
      <c r="J82" s="2">
        <v>611.0</v>
      </c>
      <c r="K82" s="2">
        <v>238.0</v>
      </c>
      <c r="L82" s="4">
        <f t="shared" si="7"/>
        <v>377</v>
      </c>
      <c r="M82" s="4">
        <f t="shared" si="8"/>
        <v>234</v>
      </c>
      <c r="N82" s="4">
        <f t="shared" si="9"/>
        <v>234</v>
      </c>
      <c r="O82" s="4">
        <f t="shared" si="1"/>
        <v>341.5958491</v>
      </c>
      <c r="P82" s="4">
        <f t="shared" si="2"/>
        <v>352.3132639</v>
      </c>
      <c r="Q82" s="4">
        <f t="shared" si="3"/>
        <v>341.7747242</v>
      </c>
      <c r="V82" s="4">
        <f t="shared" si="4"/>
        <v>269.4041509</v>
      </c>
      <c r="W82" s="4">
        <f t="shared" si="5"/>
        <v>258.6867361</v>
      </c>
      <c r="X82" s="4">
        <f t="shared" si="6"/>
        <v>269.2252758</v>
      </c>
    </row>
    <row r="83">
      <c r="A83" s="3">
        <v>40721.0</v>
      </c>
      <c r="B83" s="2">
        <v>79.0</v>
      </c>
      <c r="C83" s="2">
        <v>456.0</v>
      </c>
      <c r="D83" s="2">
        <v>815.0</v>
      </c>
      <c r="E83" s="2">
        <v>276.0</v>
      </c>
      <c r="F83" s="2">
        <v>292.0</v>
      </c>
      <c r="G83" s="2">
        <v>365.0</v>
      </c>
      <c r="H83" s="2">
        <v>113.0</v>
      </c>
      <c r="I83" s="2">
        <v>430.0</v>
      </c>
      <c r="J83" s="2">
        <v>456.0</v>
      </c>
      <c r="K83" s="2">
        <v>303.0</v>
      </c>
      <c r="L83" s="4">
        <f t="shared" si="7"/>
        <v>444</v>
      </c>
      <c r="M83" s="4">
        <f t="shared" si="8"/>
        <v>12</v>
      </c>
      <c r="N83" s="4">
        <f t="shared" si="9"/>
        <v>12</v>
      </c>
      <c r="O83" s="4">
        <f t="shared" si="1"/>
        <v>368.5362642</v>
      </c>
      <c r="P83" s="4">
        <f t="shared" si="2"/>
        <v>429.9192848</v>
      </c>
      <c r="Q83" s="4">
        <f t="shared" si="3"/>
        <v>476.3873621</v>
      </c>
      <c r="V83" s="4">
        <f t="shared" si="4"/>
        <v>87.4637358</v>
      </c>
      <c r="W83" s="4">
        <f t="shared" si="5"/>
        <v>26.08071525</v>
      </c>
      <c r="X83" s="4">
        <f t="shared" si="6"/>
        <v>20.3873621</v>
      </c>
    </row>
    <row r="84">
      <c r="A84" s="3">
        <v>40728.0</v>
      </c>
      <c r="B84" s="2">
        <v>131.0</v>
      </c>
      <c r="C84" s="2">
        <v>452.0</v>
      </c>
      <c r="D84" s="2">
        <v>1364.0</v>
      </c>
      <c r="E84" s="2">
        <v>901.0</v>
      </c>
      <c r="F84" s="2">
        <v>460.0</v>
      </c>
      <c r="G84" s="2">
        <v>18.0</v>
      </c>
      <c r="H84" s="2">
        <v>23.0</v>
      </c>
      <c r="I84" s="2">
        <v>636.0</v>
      </c>
      <c r="J84" s="2">
        <v>452.0</v>
      </c>
      <c r="K84" s="2">
        <v>440.0</v>
      </c>
      <c r="L84" s="4">
        <f t="shared" si="7"/>
        <v>436.6666667</v>
      </c>
      <c r="M84" s="4">
        <f t="shared" si="8"/>
        <v>15.33333333</v>
      </c>
      <c r="N84" s="4">
        <f t="shared" si="9"/>
        <v>15.33333333</v>
      </c>
      <c r="O84" s="4">
        <f t="shared" si="1"/>
        <v>377.2826378</v>
      </c>
      <c r="P84" s="4">
        <f t="shared" si="2"/>
        <v>437.7434993</v>
      </c>
      <c r="Q84" s="4">
        <f t="shared" si="3"/>
        <v>466.193681</v>
      </c>
      <c r="V84" s="4">
        <f t="shared" si="4"/>
        <v>74.71736222</v>
      </c>
      <c r="W84" s="4">
        <f t="shared" si="5"/>
        <v>14.25650067</v>
      </c>
      <c r="X84" s="4">
        <f t="shared" si="6"/>
        <v>14.19368105</v>
      </c>
    </row>
    <row r="85">
      <c r="A85" s="3">
        <v>40735.0</v>
      </c>
      <c r="B85" s="2">
        <v>292.0</v>
      </c>
      <c r="C85" s="2">
        <v>315.0</v>
      </c>
      <c r="D85" s="2">
        <v>421.0</v>
      </c>
      <c r="E85" s="2">
        <v>354.0</v>
      </c>
      <c r="F85" s="2">
        <v>372.0</v>
      </c>
      <c r="G85" s="2">
        <v>10.0</v>
      </c>
      <c r="H85" s="2">
        <v>33.0</v>
      </c>
      <c r="I85" s="2">
        <v>157.0</v>
      </c>
      <c r="J85" s="2">
        <v>315.0</v>
      </c>
      <c r="K85" s="2">
        <v>231.0</v>
      </c>
      <c r="L85" s="4">
        <f t="shared" si="7"/>
        <v>506.3333333</v>
      </c>
      <c r="M85" s="4">
        <f t="shared" si="8"/>
        <v>-191.3333333</v>
      </c>
      <c r="N85" s="4">
        <f t="shared" si="9"/>
        <v>191.3333333</v>
      </c>
      <c r="O85" s="4">
        <f t="shared" si="1"/>
        <v>384.754374</v>
      </c>
      <c r="P85" s="4">
        <f t="shared" si="2"/>
        <v>442.0204495</v>
      </c>
      <c r="Q85" s="4">
        <f t="shared" si="3"/>
        <v>459.0968405</v>
      </c>
      <c r="V85" s="4">
        <f t="shared" si="4"/>
        <v>69.754374</v>
      </c>
      <c r="W85" s="4">
        <f t="shared" si="5"/>
        <v>127.0204495</v>
      </c>
      <c r="X85" s="4">
        <f t="shared" si="6"/>
        <v>144.0968405</v>
      </c>
    </row>
    <row r="86">
      <c r="A86" s="3">
        <v>40742.0</v>
      </c>
      <c r="B86" s="2">
        <v>340.0</v>
      </c>
      <c r="C86" s="2">
        <v>307.0</v>
      </c>
      <c r="D86" s="2">
        <v>732.0</v>
      </c>
      <c r="E86" s="2">
        <v>927.0</v>
      </c>
      <c r="F86" s="2">
        <v>519.0</v>
      </c>
      <c r="G86" s="2">
        <v>32.0</v>
      </c>
      <c r="H86" s="2">
        <v>133.0</v>
      </c>
      <c r="I86" s="2">
        <v>621.0</v>
      </c>
      <c r="J86" s="2">
        <v>307.0</v>
      </c>
      <c r="K86" s="2">
        <v>495.0</v>
      </c>
      <c r="L86" s="4">
        <f t="shared" si="7"/>
        <v>407.6666667</v>
      </c>
      <c r="M86" s="4">
        <f t="shared" si="8"/>
        <v>-100.6666667</v>
      </c>
      <c r="N86" s="4">
        <f t="shared" si="9"/>
        <v>100.6666667</v>
      </c>
      <c r="O86" s="4">
        <f t="shared" si="1"/>
        <v>377.7789366</v>
      </c>
      <c r="P86" s="4">
        <f t="shared" si="2"/>
        <v>403.9143147</v>
      </c>
      <c r="Q86" s="4">
        <f t="shared" si="3"/>
        <v>387.0484203</v>
      </c>
      <c r="V86" s="4">
        <f t="shared" si="4"/>
        <v>70.7789366</v>
      </c>
      <c r="W86" s="4">
        <f t="shared" si="5"/>
        <v>96.91431467</v>
      </c>
      <c r="X86" s="4">
        <f t="shared" si="6"/>
        <v>80.04842026</v>
      </c>
    </row>
    <row r="87">
      <c r="A87" s="3">
        <v>40749.0</v>
      </c>
      <c r="B87" s="2">
        <v>341.0</v>
      </c>
      <c r="C87" s="2">
        <v>403.0</v>
      </c>
      <c r="D87" s="2">
        <v>440.0</v>
      </c>
      <c r="E87" s="2">
        <v>520.0</v>
      </c>
      <c r="F87" s="2">
        <v>478.0</v>
      </c>
      <c r="G87" s="2">
        <v>287.0</v>
      </c>
      <c r="H87" s="2">
        <v>651.0</v>
      </c>
      <c r="I87" s="2">
        <v>436.0</v>
      </c>
      <c r="J87" s="2">
        <v>403.0</v>
      </c>
      <c r="K87" s="2">
        <v>385.0</v>
      </c>
      <c r="L87" s="4">
        <f t="shared" si="7"/>
        <v>358</v>
      </c>
      <c r="M87" s="4">
        <f t="shared" si="8"/>
        <v>45</v>
      </c>
      <c r="N87" s="4">
        <f t="shared" si="9"/>
        <v>45</v>
      </c>
      <c r="O87" s="4">
        <f t="shared" si="1"/>
        <v>370.7010429</v>
      </c>
      <c r="P87" s="4">
        <f t="shared" si="2"/>
        <v>374.8400203</v>
      </c>
      <c r="Q87" s="4">
        <f t="shared" si="3"/>
        <v>347.0242101</v>
      </c>
      <c r="V87" s="4">
        <f t="shared" si="4"/>
        <v>32.29895706</v>
      </c>
      <c r="W87" s="4">
        <f t="shared" si="5"/>
        <v>28.15997973</v>
      </c>
      <c r="X87" s="4">
        <f t="shared" si="6"/>
        <v>55.97578987</v>
      </c>
    </row>
    <row r="88">
      <c r="A88" s="3">
        <v>40756.0</v>
      </c>
      <c r="B88" s="2">
        <v>148.0</v>
      </c>
      <c r="C88" s="2">
        <v>382.0</v>
      </c>
      <c r="D88" s="2">
        <v>1040.0</v>
      </c>
      <c r="E88" s="2">
        <v>423.0</v>
      </c>
      <c r="F88" s="2">
        <v>3800.0</v>
      </c>
      <c r="G88" s="2">
        <v>161.0</v>
      </c>
      <c r="H88" s="2">
        <v>87.0</v>
      </c>
      <c r="I88" s="2">
        <v>2178.0</v>
      </c>
      <c r="J88" s="2">
        <v>382.0</v>
      </c>
      <c r="K88" s="2">
        <v>603.0</v>
      </c>
      <c r="L88" s="4">
        <f t="shared" si="7"/>
        <v>341.6666667</v>
      </c>
      <c r="M88" s="4">
        <f t="shared" si="8"/>
        <v>40.33333333</v>
      </c>
      <c r="N88" s="4">
        <f t="shared" si="9"/>
        <v>40.33333333</v>
      </c>
      <c r="O88" s="4">
        <f t="shared" si="1"/>
        <v>373.9309386</v>
      </c>
      <c r="P88" s="4">
        <f t="shared" si="2"/>
        <v>383.2880142</v>
      </c>
      <c r="Q88" s="4">
        <f t="shared" si="3"/>
        <v>375.0121051</v>
      </c>
      <c r="V88" s="4">
        <f t="shared" si="4"/>
        <v>8.069061354</v>
      </c>
      <c r="W88" s="4">
        <f t="shared" si="5"/>
        <v>1.288014188</v>
      </c>
      <c r="X88" s="4">
        <f t="shared" si="6"/>
        <v>6.987894934</v>
      </c>
    </row>
    <row r="89">
      <c r="A89" s="3">
        <v>40763.0</v>
      </c>
      <c r="B89" s="2">
        <v>177.0</v>
      </c>
      <c r="C89" s="2">
        <v>551.0</v>
      </c>
      <c r="D89" s="2">
        <v>1373.0</v>
      </c>
      <c r="E89" s="2">
        <v>280.0</v>
      </c>
      <c r="F89" s="2">
        <v>1323.0</v>
      </c>
      <c r="G89" s="2">
        <v>22.0</v>
      </c>
      <c r="H89" s="2">
        <v>135.0</v>
      </c>
      <c r="I89" s="2">
        <v>1735.0</v>
      </c>
      <c r="J89" s="2">
        <v>551.0</v>
      </c>
      <c r="K89" s="2">
        <v>725.0</v>
      </c>
      <c r="L89" s="4">
        <f t="shared" si="7"/>
        <v>364</v>
      </c>
      <c r="M89" s="4">
        <f t="shared" si="8"/>
        <v>187</v>
      </c>
      <c r="N89" s="4">
        <f t="shared" si="9"/>
        <v>187</v>
      </c>
      <c r="O89" s="4">
        <f t="shared" si="1"/>
        <v>374.7378448</v>
      </c>
      <c r="P89" s="4">
        <f t="shared" si="2"/>
        <v>382.9016099</v>
      </c>
      <c r="Q89" s="4">
        <f t="shared" si="3"/>
        <v>378.5060525</v>
      </c>
      <c r="V89" s="4">
        <f t="shared" si="4"/>
        <v>176.2621552</v>
      </c>
      <c r="W89" s="4">
        <f t="shared" si="5"/>
        <v>168.0983901</v>
      </c>
      <c r="X89" s="4">
        <f t="shared" si="6"/>
        <v>172.4939475</v>
      </c>
    </row>
    <row r="90">
      <c r="A90" s="3">
        <v>40770.0</v>
      </c>
      <c r="B90" s="2">
        <v>210.0</v>
      </c>
      <c r="C90" s="2">
        <v>586.0</v>
      </c>
      <c r="D90" s="2">
        <v>1356.0</v>
      </c>
      <c r="E90" s="2">
        <v>402.0</v>
      </c>
      <c r="F90" s="2">
        <v>556.0</v>
      </c>
      <c r="G90" s="2">
        <v>36.0</v>
      </c>
      <c r="H90" s="2">
        <v>62.0</v>
      </c>
      <c r="I90" s="2">
        <v>518.0</v>
      </c>
      <c r="J90" s="2">
        <v>586.0</v>
      </c>
      <c r="K90" s="2">
        <v>423.0</v>
      </c>
      <c r="L90" s="4">
        <f t="shared" si="7"/>
        <v>445.3333333</v>
      </c>
      <c r="M90" s="4">
        <f t="shared" si="8"/>
        <v>140.6666667</v>
      </c>
      <c r="N90" s="4">
        <f t="shared" si="9"/>
        <v>140.6666667</v>
      </c>
      <c r="O90" s="4">
        <f t="shared" si="1"/>
        <v>392.3640603</v>
      </c>
      <c r="P90" s="4">
        <f t="shared" si="2"/>
        <v>433.331127</v>
      </c>
      <c r="Q90" s="4">
        <f t="shared" si="3"/>
        <v>464.7530263</v>
      </c>
      <c r="V90" s="4">
        <f t="shared" si="4"/>
        <v>193.6359397</v>
      </c>
      <c r="W90" s="4">
        <f t="shared" si="5"/>
        <v>152.668873</v>
      </c>
      <c r="X90" s="4">
        <f t="shared" si="6"/>
        <v>121.2469737</v>
      </c>
    </row>
    <row r="91">
      <c r="A91" s="3">
        <v>40777.0</v>
      </c>
      <c r="B91" s="2">
        <v>241.0</v>
      </c>
      <c r="C91" s="2">
        <v>619.0</v>
      </c>
      <c r="D91" s="2">
        <v>1518.0</v>
      </c>
      <c r="E91" s="2">
        <v>470.0</v>
      </c>
      <c r="F91" s="2">
        <v>850.0</v>
      </c>
      <c r="G91" s="2">
        <v>28.0</v>
      </c>
      <c r="H91" s="2">
        <v>110.0</v>
      </c>
      <c r="I91" s="2">
        <v>826.0</v>
      </c>
      <c r="J91" s="2">
        <v>619.0</v>
      </c>
      <c r="K91" s="2">
        <v>340.0</v>
      </c>
      <c r="L91" s="4">
        <f t="shared" si="7"/>
        <v>506.3333333</v>
      </c>
      <c r="M91" s="4">
        <f t="shared" si="8"/>
        <v>112.6666667</v>
      </c>
      <c r="N91" s="4">
        <f t="shared" si="9"/>
        <v>112.6666667</v>
      </c>
      <c r="O91" s="4">
        <f t="shared" si="1"/>
        <v>411.7276543</v>
      </c>
      <c r="P91" s="4">
        <f t="shared" si="2"/>
        <v>479.1317889</v>
      </c>
      <c r="Q91" s="4">
        <f t="shared" si="3"/>
        <v>525.3765131</v>
      </c>
      <c r="V91" s="4">
        <f t="shared" si="4"/>
        <v>207.2723457</v>
      </c>
      <c r="W91" s="4">
        <f t="shared" si="5"/>
        <v>139.8682111</v>
      </c>
      <c r="X91" s="4">
        <f t="shared" si="6"/>
        <v>93.62348687</v>
      </c>
    </row>
    <row r="92">
      <c r="A92" s="3">
        <v>40784.0</v>
      </c>
      <c r="B92" s="2">
        <v>146.0</v>
      </c>
      <c r="C92" s="2">
        <v>248.0</v>
      </c>
      <c r="D92" s="2">
        <v>717.0</v>
      </c>
      <c r="E92" s="2">
        <v>207.0</v>
      </c>
      <c r="F92" s="2">
        <v>216.0</v>
      </c>
      <c r="G92" s="2">
        <v>192.0</v>
      </c>
      <c r="H92" s="2">
        <v>210.0</v>
      </c>
      <c r="I92" s="2">
        <v>956.0</v>
      </c>
      <c r="J92" s="2">
        <v>248.0</v>
      </c>
      <c r="K92" s="2">
        <v>202.0</v>
      </c>
      <c r="L92" s="4">
        <f t="shared" si="7"/>
        <v>585.3333333</v>
      </c>
      <c r="M92" s="4">
        <f t="shared" si="8"/>
        <v>-337.3333333</v>
      </c>
      <c r="N92" s="4">
        <f t="shared" si="9"/>
        <v>337.3333333</v>
      </c>
      <c r="O92" s="4">
        <f t="shared" si="1"/>
        <v>432.4548888</v>
      </c>
      <c r="P92" s="4">
        <f t="shared" si="2"/>
        <v>521.0922522</v>
      </c>
      <c r="Q92" s="4">
        <f t="shared" si="3"/>
        <v>572.1882566</v>
      </c>
      <c r="V92" s="4">
        <f t="shared" si="4"/>
        <v>184.4548888</v>
      </c>
      <c r="W92" s="4">
        <f t="shared" si="5"/>
        <v>273.0922522</v>
      </c>
      <c r="X92" s="4">
        <f t="shared" si="6"/>
        <v>324.1882566</v>
      </c>
    </row>
    <row r="93">
      <c r="A93" s="3">
        <v>40791.0</v>
      </c>
      <c r="B93" s="2">
        <v>149.0</v>
      </c>
      <c r="C93" s="2">
        <v>657.0</v>
      </c>
      <c r="D93" s="2">
        <v>556.0</v>
      </c>
      <c r="E93" s="2">
        <v>300.0</v>
      </c>
      <c r="F93" s="2">
        <v>488.0</v>
      </c>
      <c r="G93" s="2">
        <v>455.0</v>
      </c>
      <c r="H93" s="2">
        <v>70.0</v>
      </c>
      <c r="I93" s="2">
        <v>516.0</v>
      </c>
      <c r="J93" s="2">
        <v>657.0</v>
      </c>
      <c r="K93" s="2">
        <v>424.0</v>
      </c>
      <c r="L93" s="4">
        <f t="shared" si="7"/>
        <v>484.3333333</v>
      </c>
      <c r="M93" s="4">
        <f t="shared" si="8"/>
        <v>172.6666667</v>
      </c>
      <c r="N93" s="4">
        <f t="shared" si="9"/>
        <v>172.6666667</v>
      </c>
      <c r="O93" s="4">
        <f t="shared" si="1"/>
        <v>414.0094</v>
      </c>
      <c r="P93" s="4">
        <f t="shared" si="2"/>
        <v>439.1645765</v>
      </c>
      <c r="Q93" s="4">
        <f t="shared" si="3"/>
        <v>410.0941283</v>
      </c>
      <c r="V93" s="4">
        <f t="shared" si="4"/>
        <v>242.9906</v>
      </c>
      <c r="W93" s="4">
        <f t="shared" si="5"/>
        <v>217.8354235</v>
      </c>
      <c r="X93" s="4">
        <f t="shared" si="6"/>
        <v>246.9058717</v>
      </c>
    </row>
    <row r="94">
      <c r="A94" s="3">
        <v>40798.0</v>
      </c>
      <c r="B94" s="2">
        <v>218.0</v>
      </c>
      <c r="C94" s="2">
        <v>478.0</v>
      </c>
      <c r="D94" s="2">
        <v>743.0</v>
      </c>
      <c r="E94" s="2">
        <v>334.0</v>
      </c>
      <c r="F94" s="2">
        <v>908.0</v>
      </c>
      <c r="G94" s="2">
        <v>561.0</v>
      </c>
      <c r="H94" s="2">
        <v>262.0</v>
      </c>
      <c r="I94" s="2">
        <v>570.0</v>
      </c>
      <c r="J94" s="2">
        <v>478.0</v>
      </c>
      <c r="K94" s="2">
        <v>329.0</v>
      </c>
      <c r="L94" s="4">
        <f t="shared" si="7"/>
        <v>508</v>
      </c>
      <c r="M94" s="4">
        <f t="shared" si="8"/>
        <v>-30</v>
      </c>
      <c r="N94" s="4">
        <f t="shared" si="9"/>
        <v>30</v>
      </c>
      <c r="O94" s="4">
        <f t="shared" si="1"/>
        <v>438.30846</v>
      </c>
      <c r="P94" s="4">
        <f t="shared" si="2"/>
        <v>504.5152036</v>
      </c>
      <c r="Q94" s="4">
        <f t="shared" si="3"/>
        <v>533.5470641</v>
      </c>
      <c r="V94" s="4">
        <f t="shared" si="4"/>
        <v>39.69154003</v>
      </c>
      <c r="W94" s="4">
        <f t="shared" si="5"/>
        <v>26.51520358</v>
      </c>
      <c r="X94" s="4">
        <f t="shared" si="6"/>
        <v>55.54706414</v>
      </c>
    </row>
    <row r="95">
      <c r="A95" s="3">
        <v>40805.0</v>
      </c>
      <c r="B95" s="2">
        <v>147.0</v>
      </c>
      <c r="C95" s="2">
        <v>809.0</v>
      </c>
      <c r="D95" s="2">
        <v>1667.0</v>
      </c>
      <c r="E95" s="2">
        <v>158.0</v>
      </c>
      <c r="F95" s="2">
        <v>677.0</v>
      </c>
      <c r="G95" s="2">
        <v>602.0</v>
      </c>
      <c r="H95" s="2">
        <v>28.0</v>
      </c>
      <c r="I95" s="2">
        <v>682.0</v>
      </c>
      <c r="J95" s="2">
        <v>809.0</v>
      </c>
      <c r="K95" s="2">
        <v>482.0</v>
      </c>
      <c r="L95" s="4">
        <f t="shared" si="7"/>
        <v>461</v>
      </c>
      <c r="M95" s="4">
        <f t="shared" si="8"/>
        <v>348</v>
      </c>
      <c r="N95" s="4">
        <f t="shared" si="9"/>
        <v>348</v>
      </c>
      <c r="O95" s="4">
        <f t="shared" si="1"/>
        <v>442.277614</v>
      </c>
      <c r="P95" s="4">
        <f t="shared" si="2"/>
        <v>496.5606425</v>
      </c>
      <c r="Q95" s="4">
        <f t="shared" si="3"/>
        <v>505.7735321</v>
      </c>
      <c r="V95" s="4">
        <f t="shared" si="4"/>
        <v>366.722386</v>
      </c>
      <c r="W95" s="4">
        <f t="shared" si="5"/>
        <v>312.4393575</v>
      </c>
      <c r="X95" s="4">
        <f t="shared" si="6"/>
        <v>303.2264679</v>
      </c>
    </row>
    <row r="96">
      <c r="A96" s="3">
        <v>40812.0</v>
      </c>
      <c r="B96" s="2">
        <v>148.0</v>
      </c>
      <c r="C96" s="2">
        <v>665.0</v>
      </c>
      <c r="D96" s="2">
        <v>929.0</v>
      </c>
      <c r="E96" s="2">
        <v>209.0</v>
      </c>
      <c r="F96" s="2">
        <v>799.0</v>
      </c>
      <c r="G96" s="2">
        <v>359.0</v>
      </c>
      <c r="H96" s="2">
        <v>162.0</v>
      </c>
      <c r="I96" s="2">
        <v>1675.0</v>
      </c>
      <c r="J96" s="2">
        <v>665.0</v>
      </c>
      <c r="K96" s="2">
        <v>318.0</v>
      </c>
      <c r="L96" s="4">
        <f t="shared" si="7"/>
        <v>648</v>
      </c>
      <c r="M96" s="4">
        <f t="shared" si="8"/>
        <v>17</v>
      </c>
      <c r="N96" s="4">
        <f t="shared" si="9"/>
        <v>17</v>
      </c>
      <c r="O96" s="4">
        <f t="shared" si="1"/>
        <v>478.9498526</v>
      </c>
      <c r="P96" s="4">
        <f t="shared" si="2"/>
        <v>590.2924498</v>
      </c>
      <c r="Q96" s="4">
        <f t="shared" si="3"/>
        <v>657.386766</v>
      </c>
      <c r="V96" s="4">
        <f t="shared" si="4"/>
        <v>186.0501474</v>
      </c>
      <c r="W96" s="4">
        <f t="shared" si="5"/>
        <v>74.70755025</v>
      </c>
      <c r="X96" s="4">
        <f t="shared" si="6"/>
        <v>7.613233965</v>
      </c>
    </row>
    <row r="97">
      <c r="A97" s="3">
        <v>40819.0</v>
      </c>
      <c r="B97" s="2">
        <v>409.0</v>
      </c>
      <c r="C97" s="2">
        <v>1649.0</v>
      </c>
      <c r="D97" s="2">
        <v>2569.0</v>
      </c>
      <c r="E97" s="2">
        <v>183.0</v>
      </c>
      <c r="F97" s="2">
        <v>589.0</v>
      </c>
      <c r="G97" s="2">
        <v>977.0</v>
      </c>
      <c r="H97" s="2">
        <v>51.0</v>
      </c>
      <c r="I97" s="2">
        <v>835.0</v>
      </c>
      <c r="J97" s="2">
        <v>1649.0</v>
      </c>
      <c r="K97" s="2">
        <v>322.0</v>
      </c>
      <c r="L97" s="4">
        <f t="shared" si="7"/>
        <v>650.6666667</v>
      </c>
      <c r="M97" s="4">
        <f t="shared" si="8"/>
        <v>998.3333333</v>
      </c>
      <c r="N97" s="4">
        <f t="shared" si="9"/>
        <v>998.3333333</v>
      </c>
      <c r="O97" s="4">
        <f t="shared" si="1"/>
        <v>497.5548673</v>
      </c>
      <c r="P97" s="4">
        <f t="shared" si="2"/>
        <v>612.7047148</v>
      </c>
      <c r="Q97" s="4">
        <f t="shared" si="3"/>
        <v>661.193383</v>
      </c>
      <c r="V97" s="4">
        <f t="shared" si="4"/>
        <v>1151.445133</v>
      </c>
      <c r="W97" s="4">
        <f t="shared" si="5"/>
        <v>1036.295285</v>
      </c>
      <c r="X97" s="4">
        <f t="shared" si="6"/>
        <v>987.806617</v>
      </c>
    </row>
    <row r="98">
      <c r="A98" s="3">
        <v>40826.0</v>
      </c>
      <c r="B98" s="2">
        <v>181.0</v>
      </c>
      <c r="C98" s="2">
        <v>237.0</v>
      </c>
      <c r="D98" s="2">
        <v>647.0</v>
      </c>
      <c r="E98" s="2">
        <v>106.0</v>
      </c>
      <c r="F98" s="2">
        <v>420.0</v>
      </c>
      <c r="G98" s="2">
        <v>739.0</v>
      </c>
      <c r="H98" s="2">
        <v>150.0</v>
      </c>
      <c r="I98" s="2">
        <v>884.0</v>
      </c>
      <c r="J98" s="2">
        <v>237.0</v>
      </c>
      <c r="K98" s="2">
        <v>443.0</v>
      </c>
      <c r="L98" s="4">
        <f t="shared" si="7"/>
        <v>1041</v>
      </c>
      <c r="M98" s="4">
        <f t="shared" si="8"/>
        <v>-804</v>
      </c>
      <c r="N98" s="4">
        <f t="shared" si="9"/>
        <v>804</v>
      </c>
      <c r="O98" s="4">
        <f t="shared" si="1"/>
        <v>612.6993806</v>
      </c>
      <c r="P98" s="4">
        <f t="shared" si="2"/>
        <v>923.5933004</v>
      </c>
      <c r="Q98" s="4">
        <f t="shared" si="3"/>
        <v>1155.096692</v>
      </c>
      <c r="V98" s="4">
        <f t="shared" si="4"/>
        <v>375.6993806</v>
      </c>
      <c r="W98" s="4">
        <f t="shared" si="5"/>
        <v>686.5933004</v>
      </c>
      <c r="X98" s="4">
        <f t="shared" si="6"/>
        <v>918.0966915</v>
      </c>
    </row>
    <row r="99">
      <c r="A99" s="3">
        <v>40833.0</v>
      </c>
      <c r="B99" s="2">
        <v>268.0</v>
      </c>
      <c r="C99" s="2">
        <v>334.0</v>
      </c>
      <c r="D99" s="2">
        <v>1045.0</v>
      </c>
      <c r="E99" s="2">
        <v>211.0</v>
      </c>
      <c r="F99" s="2">
        <v>829.0</v>
      </c>
      <c r="G99" s="2">
        <v>756.0</v>
      </c>
      <c r="H99" s="2">
        <v>109.0</v>
      </c>
      <c r="I99" s="2">
        <v>1164.0</v>
      </c>
      <c r="J99" s="2">
        <v>334.0</v>
      </c>
      <c r="K99" s="2">
        <v>276.0</v>
      </c>
      <c r="L99" s="4">
        <f t="shared" si="7"/>
        <v>850.3333333</v>
      </c>
      <c r="M99" s="4">
        <f t="shared" si="8"/>
        <v>-516.3333333</v>
      </c>
      <c r="N99" s="4">
        <f t="shared" si="9"/>
        <v>516.3333333</v>
      </c>
      <c r="O99" s="4">
        <f t="shared" si="1"/>
        <v>575.1294425</v>
      </c>
      <c r="P99" s="4">
        <f t="shared" si="2"/>
        <v>717.6153103</v>
      </c>
      <c r="Q99" s="4">
        <f t="shared" si="3"/>
        <v>696.0483458</v>
      </c>
      <c r="V99" s="4">
        <f t="shared" si="4"/>
        <v>241.1294425</v>
      </c>
      <c r="W99" s="4">
        <f t="shared" si="5"/>
        <v>383.6153103</v>
      </c>
      <c r="X99" s="4">
        <f t="shared" si="6"/>
        <v>362.0483458</v>
      </c>
    </row>
    <row r="100">
      <c r="A100" s="3">
        <v>40840.0</v>
      </c>
      <c r="B100" s="2">
        <v>135.0</v>
      </c>
      <c r="C100" s="2">
        <v>643.0</v>
      </c>
      <c r="D100" s="2">
        <v>500.0</v>
      </c>
      <c r="E100" s="2">
        <v>78.0</v>
      </c>
      <c r="F100" s="2">
        <v>778.0</v>
      </c>
      <c r="G100" s="2">
        <v>644.0</v>
      </c>
      <c r="H100" s="2">
        <v>431.0</v>
      </c>
      <c r="I100" s="2">
        <v>2775.0</v>
      </c>
      <c r="J100" s="2">
        <v>643.0</v>
      </c>
      <c r="K100" s="2">
        <v>314.0</v>
      </c>
      <c r="L100" s="4">
        <f t="shared" si="7"/>
        <v>740</v>
      </c>
      <c r="M100" s="4">
        <f t="shared" si="8"/>
        <v>-97</v>
      </c>
      <c r="N100" s="4">
        <f t="shared" si="9"/>
        <v>97</v>
      </c>
      <c r="O100" s="4">
        <f t="shared" si="1"/>
        <v>551.0164983</v>
      </c>
      <c r="P100" s="4">
        <f t="shared" si="2"/>
        <v>602.5307172</v>
      </c>
      <c r="Q100" s="4">
        <f t="shared" si="3"/>
        <v>515.0241729</v>
      </c>
      <c r="V100" s="4">
        <f t="shared" si="4"/>
        <v>91.98350173</v>
      </c>
      <c r="W100" s="4">
        <f t="shared" si="5"/>
        <v>40.46928281</v>
      </c>
      <c r="X100" s="4">
        <f t="shared" si="6"/>
        <v>127.9758271</v>
      </c>
    </row>
    <row r="101">
      <c r="A101" s="3">
        <v>40847.0</v>
      </c>
      <c r="B101" s="2">
        <v>279.0</v>
      </c>
      <c r="C101" s="2">
        <v>313.0</v>
      </c>
      <c r="D101" s="2">
        <v>1063.0</v>
      </c>
      <c r="E101" s="2">
        <v>102.0</v>
      </c>
      <c r="F101" s="2">
        <v>968.0</v>
      </c>
      <c r="G101" s="2">
        <v>1745.0</v>
      </c>
      <c r="H101" s="2">
        <v>166.0</v>
      </c>
      <c r="I101" s="2">
        <v>1156.0</v>
      </c>
      <c r="J101" s="2">
        <v>313.0</v>
      </c>
      <c r="K101" s="2">
        <v>223.0</v>
      </c>
      <c r="L101" s="4">
        <f t="shared" si="7"/>
        <v>404.6666667</v>
      </c>
      <c r="M101" s="4">
        <f t="shared" si="8"/>
        <v>-91.66666667</v>
      </c>
      <c r="N101" s="4">
        <f t="shared" si="9"/>
        <v>91.66666667</v>
      </c>
      <c r="O101" s="4">
        <f t="shared" si="1"/>
        <v>560.2148484</v>
      </c>
      <c r="P101" s="4">
        <f t="shared" si="2"/>
        <v>614.671502</v>
      </c>
      <c r="Q101" s="4">
        <f t="shared" si="3"/>
        <v>579.0120864</v>
      </c>
      <c r="V101" s="4">
        <f t="shared" si="4"/>
        <v>247.2148484</v>
      </c>
      <c r="W101" s="4">
        <f t="shared" si="5"/>
        <v>301.671502</v>
      </c>
      <c r="X101" s="4">
        <f t="shared" si="6"/>
        <v>266.0120864</v>
      </c>
    </row>
    <row r="102">
      <c r="A102" s="3">
        <v>40854.0</v>
      </c>
      <c r="B102" s="2">
        <v>167.0</v>
      </c>
      <c r="C102" s="2">
        <v>416.0</v>
      </c>
      <c r="D102" s="2">
        <v>2100.0</v>
      </c>
      <c r="E102" s="2">
        <v>135.0</v>
      </c>
      <c r="F102" s="2">
        <v>1748.0</v>
      </c>
      <c r="G102" s="2">
        <v>1436.0</v>
      </c>
      <c r="H102" s="2">
        <v>482.0</v>
      </c>
      <c r="I102" s="2">
        <v>3900.0</v>
      </c>
      <c r="J102" s="2">
        <v>416.0</v>
      </c>
      <c r="K102" s="2">
        <v>556.0</v>
      </c>
      <c r="L102" s="4">
        <f t="shared" si="7"/>
        <v>430</v>
      </c>
      <c r="M102" s="4">
        <f t="shared" si="8"/>
        <v>-14</v>
      </c>
      <c r="N102" s="4">
        <f t="shared" si="9"/>
        <v>14</v>
      </c>
      <c r="O102" s="4">
        <f t="shared" si="1"/>
        <v>535.4933636</v>
      </c>
      <c r="P102" s="4">
        <f t="shared" si="2"/>
        <v>524.1700514</v>
      </c>
      <c r="Q102" s="4">
        <f t="shared" si="3"/>
        <v>446.0060432</v>
      </c>
      <c r="V102" s="4">
        <f t="shared" si="4"/>
        <v>119.4933636</v>
      </c>
      <c r="W102" s="4">
        <f t="shared" si="5"/>
        <v>108.1700514</v>
      </c>
      <c r="X102" s="4">
        <f t="shared" si="6"/>
        <v>30.00604322</v>
      </c>
    </row>
    <row r="103">
      <c r="A103" s="3">
        <v>40861.0</v>
      </c>
      <c r="B103" s="2">
        <v>235.0</v>
      </c>
      <c r="C103" s="2">
        <v>522.0</v>
      </c>
      <c r="D103" s="2">
        <v>1602.0</v>
      </c>
      <c r="E103" s="2">
        <v>218.0</v>
      </c>
      <c r="F103" s="2">
        <v>1326.0</v>
      </c>
      <c r="G103" s="2">
        <v>2161.0</v>
      </c>
      <c r="H103" s="2">
        <v>389.0</v>
      </c>
      <c r="I103" s="2">
        <v>3145.0</v>
      </c>
      <c r="J103" s="2">
        <v>522.0</v>
      </c>
      <c r="K103" s="2">
        <v>650.0</v>
      </c>
      <c r="L103" s="4">
        <f t="shared" si="7"/>
        <v>457.3333333</v>
      </c>
      <c r="M103" s="4">
        <f t="shared" si="8"/>
        <v>64.66666667</v>
      </c>
      <c r="N103" s="4">
        <f t="shared" si="9"/>
        <v>64.66666667</v>
      </c>
      <c r="O103" s="4">
        <f t="shared" si="1"/>
        <v>523.5440272</v>
      </c>
      <c r="P103" s="4">
        <f t="shared" si="2"/>
        <v>491.719036</v>
      </c>
      <c r="Q103" s="4">
        <f t="shared" si="3"/>
        <v>431.0030216</v>
      </c>
      <c r="V103" s="4">
        <f t="shared" si="4"/>
        <v>1.544027241</v>
      </c>
      <c r="W103" s="4">
        <f t="shared" si="5"/>
        <v>30.28096401</v>
      </c>
      <c r="X103" s="4">
        <f t="shared" si="6"/>
        <v>90.99697839</v>
      </c>
    </row>
    <row r="104">
      <c r="A104" s="3">
        <v>40868.0</v>
      </c>
      <c r="B104" s="2">
        <v>249.0</v>
      </c>
      <c r="C104" s="2">
        <v>253.0</v>
      </c>
      <c r="D104" s="2">
        <v>753.0</v>
      </c>
      <c r="E104" s="2">
        <v>455.0</v>
      </c>
      <c r="F104" s="2">
        <v>1037.0</v>
      </c>
      <c r="G104" s="2">
        <v>1692.0</v>
      </c>
      <c r="H104" s="2">
        <v>959.0</v>
      </c>
      <c r="I104" s="2">
        <v>2755.0</v>
      </c>
      <c r="J104" s="2">
        <v>253.0</v>
      </c>
      <c r="K104" s="2">
        <v>276.0</v>
      </c>
      <c r="L104" s="4">
        <f t="shared" si="7"/>
        <v>417</v>
      </c>
      <c r="M104" s="4">
        <f t="shared" si="8"/>
        <v>-164</v>
      </c>
      <c r="N104" s="4">
        <f t="shared" si="9"/>
        <v>164</v>
      </c>
      <c r="O104" s="4">
        <f t="shared" si="1"/>
        <v>523.3896245</v>
      </c>
      <c r="P104" s="4">
        <f t="shared" si="2"/>
        <v>500.8033252</v>
      </c>
      <c r="Q104" s="4">
        <f t="shared" si="3"/>
        <v>476.5015108</v>
      </c>
      <c r="V104" s="4">
        <f t="shared" si="4"/>
        <v>270.3896245</v>
      </c>
      <c r="W104" s="4">
        <f t="shared" si="5"/>
        <v>247.8033252</v>
      </c>
      <c r="X104" s="4">
        <f t="shared" si="6"/>
        <v>223.5015108</v>
      </c>
    </row>
    <row r="105">
      <c r="A105" s="3">
        <v>40875.0</v>
      </c>
      <c r="B105" s="2">
        <v>226.0</v>
      </c>
      <c r="C105" s="2">
        <v>436.0</v>
      </c>
      <c r="D105" s="2">
        <v>1040.0</v>
      </c>
      <c r="E105" s="2">
        <v>105.0</v>
      </c>
      <c r="F105" s="2">
        <v>953.0</v>
      </c>
      <c r="G105" s="2">
        <v>1564.0</v>
      </c>
      <c r="H105" s="2">
        <v>314.0</v>
      </c>
      <c r="I105" s="2">
        <v>3275.0</v>
      </c>
      <c r="J105" s="2">
        <v>436.0</v>
      </c>
      <c r="K105" s="2">
        <v>331.0</v>
      </c>
      <c r="L105" s="4">
        <f t="shared" si="7"/>
        <v>397</v>
      </c>
      <c r="M105" s="4">
        <f t="shared" si="8"/>
        <v>39</v>
      </c>
      <c r="N105" s="4">
        <f t="shared" si="9"/>
        <v>39</v>
      </c>
      <c r="O105" s="4">
        <f t="shared" si="1"/>
        <v>496.3506621</v>
      </c>
      <c r="P105" s="4">
        <f t="shared" si="2"/>
        <v>426.4623276</v>
      </c>
      <c r="Q105" s="4">
        <f t="shared" si="3"/>
        <v>364.7507554</v>
      </c>
      <c r="V105" s="4">
        <f t="shared" si="4"/>
        <v>60.35066206</v>
      </c>
      <c r="W105" s="4">
        <f t="shared" si="5"/>
        <v>9.537672363</v>
      </c>
      <c r="X105" s="4">
        <f t="shared" si="6"/>
        <v>71.2492446</v>
      </c>
    </row>
    <row r="106">
      <c r="T106" s="1" t="s">
        <v>21</v>
      </c>
      <c r="U106" s="5">
        <f>AVERAGE(N94:N105)</f>
        <v>265.3333333</v>
      </c>
    </row>
    <row r="107">
      <c r="T107" s="1" t="s">
        <v>22</v>
      </c>
      <c r="U107" s="5">
        <f>AVERAGE(V94:V105)</f>
        <v>262.6428381</v>
      </c>
    </row>
    <row r="108">
      <c r="T108" s="1" t="s">
        <v>23</v>
      </c>
      <c r="U108" s="5">
        <f>AVERAGE(W94:W105)</f>
        <v>271.5082337</v>
      </c>
    </row>
    <row r="109">
      <c r="T109" s="1" t="s">
        <v>24</v>
      </c>
      <c r="U109" s="5">
        <f>AVERAGE(X94:X105)</f>
        <v>287.0066759</v>
      </c>
    </row>
    <row r="111">
      <c r="V111" s="1" t="s">
        <v>25</v>
      </c>
      <c r="W111" s="1" t="s">
        <v>26</v>
      </c>
    </row>
    <row r="112">
      <c r="V112" s="4">
        <f>AVERAGE(C2:C105)</f>
        <v>374.125</v>
      </c>
      <c r="W112" s="4">
        <f>STDEV(C2:C105)</f>
        <v>254.299521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0.1</v>
      </c>
      <c r="V1" s="1" t="s">
        <v>18</v>
      </c>
      <c r="W1" s="1" t="s">
        <v>19</v>
      </c>
      <c r="X1" s="1" t="s">
        <v>20</v>
      </c>
    </row>
    <row r="2">
      <c r="A2" s="3">
        <v>40154.0</v>
      </c>
      <c r="B2" s="2">
        <v>0.0</v>
      </c>
      <c r="C2" s="2">
        <v>324.0</v>
      </c>
      <c r="D2" s="2">
        <v>1233.0</v>
      </c>
      <c r="E2" s="2">
        <v>19.0</v>
      </c>
      <c r="F2" s="2">
        <v>1213.0</v>
      </c>
      <c r="G2" s="2">
        <v>663.0</v>
      </c>
      <c r="H2" s="2">
        <v>175.0</v>
      </c>
      <c r="I2" s="2">
        <v>153.0</v>
      </c>
      <c r="J2" s="2">
        <v>0.0</v>
      </c>
      <c r="K2" s="2">
        <v>324.0</v>
      </c>
      <c r="O2" s="4">
        <f>(C2)</f>
        <v>324</v>
      </c>
      <c r="P2" s="4">
        <f>(C2)</f>
        <v>324</v>
      </c>
      <c r="Q2" s="4">
        <f>(C2)</f>
        <v>324</v>
      </c>
      <c r="S2" s="2">
        <v>0.3</v>
      </c>
    </row>
    <row r="3">
      <c r="A3" s="3">
        <v>40161.0</v>
      </c>
      <c r="B3" s="2">
        <v>0.0</v>
      </c>
      <c r="C3" s="2">
        <v>236.0</v>
      </c>
      <c r="D3" s="2">
        <v>1304.0</v>
      </c>
      <c r="E3" s="2">
        <v>52.0</v>
      </c>
      <c r="F3" s="2">
        <v>1324.0</v>
      </c>
      <c r="G3" s="2">
        <v>572.0</v>
      </c>
      <c r="H3" s="2">
        <v>173.0</v>
      </c>
      <c r="I3" s="2">
        <v>644.0</v>
      </c>
      <c r="J3" s="2">
        <v>0.0</v>
      </c>
      <c r="K3" s="2">
        <v>236.0</v>
      </c>
      <c r="O3" s="4">
        <f t="shared" ref="O3:O105" si="1">($S$1*C2+(1-$S$1)*O2)</f>
        <v>324</v>
      </c>
      <c r="P3" s="4">
        <f t="shared" ref="P3:P105" si="2">($S$2*C2+(1-$S$2)*P2)</f>
        <v>324</v>
      </c>
      <c r="Q3" s="4">
        <f t="shared" ref="Q3:Q105" si="3">($S$3*C2+(1-$S$3)*Q2)</f>
        <v>324</v>
      </c>
      <c r="S3" s="2">
        <v>0.5</v>
      </c>
      <c r="V3" s="4">
        <f t="shared" ref="V3:V105" si="4">ABS(C3-O3)</f>
        <v>88</v>
      </c>
      <c r="W3" s="4">
        <f t="shared" ref="W3:W105" si="5">ABS(C3-P3)</f>
        <v>88</v>
      </c>
      <c r="X3" s="4">
        <f t="shared" ref="X3:X105" si="6">ABS(C3-Q3)</f>
        <v>88</v>
      </c>
    </row>
    <row r="4">
      <c r="A4" s="3">
        <v>40168.0</v>
      </c>
      <c r="B4" s="2">
        <v>0.0</v>
      </c>
      <c r="C4" s="2">
        <v>111.0</v>
      </c>
      <c r="D4" s="2">
        <v>36.0</v>
      </c>
      <c r="E4" s="2">
        <v>1.0</v>
      </c>
      <c r="F4" s="2">
        <v>82.0</v>
      </c>
      <c r="G4" s="2">
        <v>69.0</v>
      </c>
      <c r="H4" s="2">
        <v>19.0</v>
      </c>
      <c r="I4" s="2">
        <v>2.0</v>
      </c>
      <c r="J4" s="2">
        <v>0.0</v>
      </c>
      <c r="K4" s="2">
        <v>111.0</v>
      </c>
      <c r="O4" s="4">
        <f t="shared" si="1"/>
        <v>315.2</v>
      </c>
      <c r="P4" s="4">
        <f t="shared" si="2"/>
        <v>297.6</v>
      </c>
      <c r="Q4" s="4">
        <f t="shared" si="3"/>
        <v>280</v>
      </c>
      <c r="V4" s="4">
        <f t="shared" si="4"/>
        <v>204.2</v>
      </c>
      <c r="W4" s="4">
        <f t="shared" si="5"/>
        <v>186.6</v>
      </c>
      <c r="X4" s="4">
        <f t="shared" si="6"/>
        <v>169</v>
      </c>
    </row>
    <row r="5">
      <c r="A5" s="3">
        <v>40175.0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f t="shared" ref="L5:L105" si="7">AVERAGE(C2:C4)</f>
        <v>223.6666667</v>
      </c>
      <c r="M5" s="4">
        <f t="shared" ref="M5:M105" si="8">(C5-L5)</f>
        <v>-223.6666667</v>
      </c>
      <c r="N5" s="4">
        <f t="shared" ref="N5:N105" si="9">ABS(M5)</f>
        <v>223.6666667</v>
      </c>
      <c r="O5" s="4">
        <f t="shared" si="1"/>
        <v>294.78</v>
      </c>
      <c r="P5" s="4">
        <f t="shared" si="2"/>
        <v>241.62</v>
      </c>
      <c r="Q5" s="4">
        <f t="shared" si="3"/>
        <v>195.5</v>
      </c>
      <c r="V5" s="4">
        <f t="shared" si="4"/>
        <v>294.78</v>
      </c>
      <c r="W5" s="4">
        <f t="shared" si="5"/>
        <v>241.62</v>
      </c>
      <c r="X5" s="4">
        <f t="shared" si="6"/>
        <v>195.5</v>
      </c>
    </row>
    <row r="6">
      <c r="A6" s="3">
        <v>40182.0</v>
      </c>
      <c r="B6" s="2">
        <v>0.0</v>
      </c>
      <c r="C6" s="2">
        <v>324.0</v>
      </c>
      <c r="D6" s="2">
        <v>1152.0</v>
      </c>
      <c r="E6" s="2">
        <v>47.0</v>
      </c>
      <c r="F6" s="2">
        <v>168.0</v>
      </c>
      <c r="G6" s="2">
        <v>0.0</v>
      </c>
      <c r="H6" s="2">
        <v>17.0</v>
      </c>
      <c r="I6" s="2">
        <v>21.0</v>
      </c>
      <c r="J6" s="2">
        <v>0.0</v>
      </c>
      <c r="K6" s="2">
        <v>324.0</v>
      </c>
      <c r="L6" s="4">
        <f t="shared" si="7"/>
        <v>115.6666667</v>
      </c>
      <c r="M6" s="4">
        <f t="shared" si="8"/>
        <v>208.3333333</v>
      </c>
      <c r="N6" s="4">
        <f t="shared" si="9"/>
        <v>208.3333333</v>
      </c>
      <c r="O6" s="4">
        <f t="shared" si="1"/>
        <v>265.302</v>
      </c>
      <c r="P6" s="4">
        <f t="shared" si="2"/>
        <v>169.134</v>
      </c>
      <c r="Q6" s="4">
        <f t="shared" si="3"/>
        <v>97.75</v>
      </c>
      <c r="V6" s="4">
        <f t="shared" si="4"/>
        <v>58.698</v>
      </c>
      <c r="W6" s="4">
        <f t="shared" si="5"/>
        <v>154.866</v>
      </c>
      <c r="X6" s="4">
        <f t="shared" si="6"/>
        <v>226.25</v>
      </c>
    </row>
    <row r="7">
      <c r="A7" s="3">
        <v>40189.0</v>
      </c>
      <c r="B7" s="2">
        <v>0.0</v>
      </c>
      <c r="C7" s="2">
        <v>190.0</v>
      </c>
      <c r="D7" s="2">
        <v>928.0</v>
      </c>
      <c r="E7" s="2">
        <v>64.0</v>
      </c>
      <c r="F7" s="2">
        <v>233.0</v>
      </c>
      <c r="G7" s="2">
        <v>20.0</v>
      </c>
      <c r="H7" s="2">
        <v>23.0</v>
      </c>
      <c r="I7" s="2">
        <v>72.0</v>
      </c>
      <c r="J7" s="2">
        <v>0.0</v>
      </c>
      <c r="K7" s="2">
        <v>190.0</v>
      </c>
      <c r="L7" s="4">
        <f t="shared" si="7"/>
        <v>145</v>
      </c>
      <c r="M7" s="4">
        <f t="shared" si="8"/>
        <v>45</v>
      </c>
      <c r="N7" s="4">
        <f t="shared" si="9"/>
        <v>45</v>
      </c>
      <c r="O7" s="4">
        <f t="shared" si="1"/>
        <v>271.1718</v>
      </c>
      <c r="P7" s="4">
        <f t="shared" si="2"/>
        <v>215.5938</v>
      </c>
      <c r="Q7" s="4">
        <f t="shared" si="3"/>
        <v>210.875</v>
      </c>
      <c r="V7" s="4">
        <f t="shared" si="4"/>
        <v>81.1718</v>
      </c>
      <c r="W7" s="4">
        <f t="shared" si="5"/>
        <v>25.5938</v>
      </c>
      <c r="X7" s="4">
        <f t="shared" si="6"/>
        <v>20.875</v>
      </c>
    </row>
    <row r="8">
      <c r="A8" s="3">
        <v>40196.0</v>
      </c>
      <c r="B8" s="2">
        <v>0.0</v>
      </c>
      <c r="C8" s="2">
        <v>479.0</v>
      </c>
      <c r="D8" s="2">
        <v>627.0</v>
      </c>
      <c r="E8" s="2">
        <v>49.0</v>
      </c>
      <c r="F8" s="2">
        <v>897.0</v>
      </c>
      <c r="G8" s="2">
        <v>3.0</v>
      </c>
      <c r="H8" s="2">
        <v>0.0</v>
      </c>
      <c r="I8" s="2">
        <v>23.0</v>
      </c>
      <c r="J8" s="2">
        <v>0.0</v>
      </c>
      <c r="K8" s="2">
        <v>479.0</v>
      </c>
      <c r="L8" s="4">
        <f t="shared" si="7"/>
        <v>171.3333333</v>
      </c>
      <c r="M8" s="4">
        <f t="shared" si="8"/>
        <v>307.6666667</v>
      </c>
      <c r="N8" s="4">
        <f t="shared" si="9"/>
        <v>307.6666667</v>
      </c>
      <c r="O8" s="4">
        <f t="shared" si="1"/>
        <v>263.05462</v>
      </c>
      <c r="P8" s="4">
        <f t="shared" si="2"/>
        <v>207.91566</v>
      </c>
      <c r="Q8" s="4">
        <f t="shared" si="3"/>
        <v>200.4375</v>
      </c>
      <c r="V8" s="4">
        <f t="shared" si="4"/>
        <v>215.94538</v>
      </c>
      <c r="W8" s="4">
        <f t="shared" si="5"/>
        <v>271.08434</v>
      </c>
      <c r="X8" s="4">
        <f t="shared" si="6"/>
        <v>278.5625</v>
      </c>
    </row>
    <row r="9">
      <c r="A9" s="3">
        <v>40203.0</v>
      </c>
      <c r="B9" s="2">
        <v>0.0</v>
      </c>
      <c r="C9" s="2">
        <v>504.0</v>
      </c>
      <c r="D9" s="2">
        <v>864.0</v>
      </c>
      <c r="E9" s="2">
        <v>186.0</v>
      </c>
      <c r="F9" s="2">
        <v>211.0</v>
      </c>
      <c r="G9" s="2">
        <v>0.0</v>
      </c>
      <c r="H9" s="2">
        <v>0.0</v>
      </c>
      <c r="I9" s="2">
        <v>621.0</v>
      </c>
      <c r="J9" s="2">
        <v>114.0</v>
      </c>
      <c r="K9" s="2">
        <v>504.0</v>
      </c>
      <c r="L9" s="4">
        <f t="shared" si="7"/>
        <v>331</v>
      </c>
      <c r="M9" s="4">
        <f t="shared" si="8"/>
        <v>173</v>
      </c>
      <c r="N9" s="4">
        <f t="shared" si="9"/>
        <v>173</v>
      </c>
      <c r="O9" s="4">
        <f t="shared" si="1"/>
        <v>284.649158</v>
      </c>
      <c r="P9" s="4">
        <f t="shared" si="2"/>
        <v>289.240962</v>
      </c>
      <c r="Q9" s="4">
        <f t="shared" si="3"/>
        <v>339.71875</v>
      </c>
      <c r="V9" s="4">
        <f t="shared" si="4"/>
        <v>219.350842</v>
      </c>
      <c r="W9" s="4">
        <f t="shared" si="5"/>
        <v>214.759038</v>
      </c>
      <c r="X9" s="4">
        <f t="shared" si="6"/>
        <v>164.28125</v>
      </c>
    </row>
    <row r="10">
      <c r="A10" s="3">
        <v>40210.0</v>
      </c>
      <c r="B10" s="2">
        <v>0.0</v>
      </c>
      <c r="C10" s="2">
        <v>326.0</v>
      </c>
      <c r="D10" s="2">
        <v>488.0</v>
      </c>
      <c r="E10" s="2">
        <v>53.0</v>
      </c>
      <c r="F10" s="2">
        <v>274.0</v>
      </c>
      <c r="G10" s="2">
        <v>0.0</v>
      </c>
      <c r="H10" s="2">
        <v>24.0</v>
      </c>
      <c r="I10" s="2">
        <v>81.0</v>
      </c>
      <c r="J10" s="2">
        <v>338.0</v>
      </c>
      <c r="K10" s="2">
        <v>326.0</v>
      </c>
      <c r="L10" s="4">
        <f t="shared" si="7"/>
        <v>391</v>
      </c>
      <c r="M10" s="4">
        <f t="shared" si="8"/>
        <v>-65</v>
      </c>
      <c r="N10" s="4">
        <f t="shared" si="9"/>
        <v>65</v>
      </c>
      <c r="O10" s="4">
        <f t="shared" si="1"/>
        <v>306.5842422</v>
      </c>
      <c r="P10" s="4">
        <f t="shared" si="2"/>
        <v>353.6686734</v>
      </c>
      <c r="Q10" s="4">
        <f t="shared" si="3"/>
        <v>421.859375</v>
      </c>
      <c r="V10" s="4">
        <f t="shared" si="4"/>
        <v>19.4157578</v>
      </c>
      <c r="W10" s="4">
        <f t="shared" si="5"/>
        <v>27.6686734</v>
      </c>
      <c r="X10" s="4">
        <f t="shared" si="6"/>
        <v>95.859375</v>
      </c>
    </row>
    <row r="11">
      <c r="A11" s="3">
        <v>40217.0</v>
      </c>
      <c r="B11" s="2">
        <v>0.0</v>
      </c>
      <c r="C11" s="2">
        <v>213.0</v>
      </c>
      <c r="D11" s="2">
        <v>547.0</v>
      </c>
      <c r="E11" s="2">
        <v>51.0</v>
      </c>
      <c r="F11" s="2">
        <v>512.0</v>
      </c>
      <c r="G11" s="2">
        <v>0.0</v>
      </c>
      <c r="H11" s="2">
        <v>0.0</v>
      </c>
      <c r="I11" s="2">
        <v>68.0</v>
      </c>
      <c r="J11" s="2">
        <v>314.0</v>
      </c>
      <c r="K11" s="2">
        <v>213.0</v>
      </c>
      <c r="L11" s="4">
        <f t="shared" si="7"/>
        <v>436.3333333</v>
      </c>
      <c r="M11" s="4">
        <f t="shared" si="8"/>
        <v>-223.3333333</v>
      </c>
      <c r="N11" s="4">
        <f t="shared" si="9"/>
        <v>223.3333333</v>
      </c>
      <c r="O11" s="4">
        <f t="shared" si="1"/>
        <v>308.525818</v>
      </c>
      <c r="P11" s="4">
        <f t="shared" si="2"/>
        <v>345.3680714</v>
      </c>
      <c r="Q11" s="4">
        <f t="shared" si="3"/>
        <v>373.9296875</v>
      </c>
      <c r="V11" s="4">
        <f t="shared" si="4"/>
        <v>95.52581798</v>
      </c>
      <c r="W11" s="4">
        <f t="shared" si="5"/>
        <v>132.3680714</v>
      </c>
      <c r="X11" s="4">
        <f t="shared" si="6"/>
        <v>160.9296875</v>
      </c>
    </row>
    <row r="12">
      <c r="A12" s="3">
        <v>40224.0</v>
      </c>
      <c r="B12" s="2">
        <v>0.0</v>
      </c>
      <c r="C12" s="2">
        <v>442.0</v>
      </c>
      <c r="D12" s="2">
        <v>1014.0</v>
      </c>
      <c r="E12" s="2">
        <v>159.0</v>
      </c>
      <c r="F12" s="2">
        <v>587.0</v>
      </c>
      <c r="G12" s="2">
        <v>0.0</v>
      </c>
      <c r="H12" s="2">
        <v>1.0</v>
      </c>
      <c r="I12" s="2">
        <v>19.0</v>
      </c>
      <c r="J12" s="2">
        <v>720.0</v>
      </c>
      <c r="K12" s="2">
        <v>442.0</v>
      </c>
      <c r="L12" s="4">
        <f t="shared" si="7"/>
        <v>347.6666667</v>
      </c>
      <c r="M12" s="4">
        <f t="shared" si="8"/>
        <v>94.33333333</v>
      </c>
      <c r="N12" s="4">
        <f t="shared" si="9"/>
        <v>94.33333333</v>
      </c>
      <c r="O12" s="4">
        <f t="shared" si="1"/>
        <v>298.9732362</v>
      </c>
      <c r="P12" s="4">
        <f t="shared" si="2"/>
        <v>305.65765</v>
      </c>
      <c r="Q12" s="4">
        <f t="shared" si="3"/>
        <v>293.4648438</v>
      </c>
      <c r="V12" s="4">
        <f t="shared" si="4"/>
        <v>143.0267638</v>
      </c>
      <c r="W12" s="4">
        <f t="shared" si="5"/>
        <v>136.34235</v>
      </c>
      <c r="X12" s="4">
        <f t="shared" si="6"/>
        <v>148.5351563</v>
      </c>
    </row>
    <row r="13">
      <c r="A13" s="3">
        <v>40231.0</v>
      </c>
      <c r="B13" s="2">
        <v>0.0</v>
      </c>
      <c r="C13" s="2">
        <v>272.0</v>
      </c>
      <c r="D13" s="2">
        <v>613.0</v>
      </c>
      <c r="E13" s="2">
        <v>79.0</v>
      </c>
      <c r="F13" s="2">
        <v>294.0</v>
      </c>
      <c r="G13" s="2">
        <v>0.0</v>
      </c>
      <c r="H13" s="2">
        <v>0.0</v>
      </c>
      <c r="I13" s="2">
        <v>1407.0</v>
      </c>
      <c r="J13" s="2">
        <v>551.0</v>
      </c>
      <c r="K13" s="2">
        <v>272.0</v>
      </c>
      <c r="L13" s="4">
        <f t="shared" si="7"/>
        <v>327</v>
      </c>
      <c r="M13" s="4">
        <f t="shared" si="8"/>
        <v>-55</v>
      </c>
      <c r="N13" s="4">
        <f t="shared" si="9"/>
        <v>55</v>
      </c>
      <c r="O13" s="4">
        <f t="shared" si="1"/>
        <v>313.2759126</v>
      </c>
      <c r="P13" s="4">
        <f t="shared" si="2"/>
        <v>346.560355</v>
      </c>
      <c r="Q13" s="4">
        <f t="shared" si="3"/>
        <v>367.7324219</v>
      </c>
      <c r="V13" s="4">
        <f t="shared" si="4"/>
        <v>41.27591256</v>
      </c>
      <c r="W13" s="4">
        <f t="shared" si="5"/>
        <v>74.56035498</v>
      </c>
      <c r="X13" s="4">
        <f t="shared" si="6"/>
        <v>95.73242188</v>
      </c>
    </row>
    <row r="14">
      <c r="A14" s="3">
        <v>40238.0</v>
      </c>
      <c r="B14" s="2">
        <v>0.0</v>
      </c>
      <c r="C14" s="2">
        <v>409.0</v>
      </c>
      <c r="D14" s="2">
        <v>754.0</v>
      </c>
      <c r="E14" s="2">
        <v>78.0</v>
      </c>
      <c r="F14" s="2">
        <v>735.0</v>
      </c>
      <c r="G14" s="2">
        <v>3.0</v>
      </c>
      <c r="H14" s="2">
        <v>2.0</v>
      </c>
      <c r="I14" s="2">
        <v>133.0</v>
      </c>
      <c r="J14" s="2">
        <v>306.0</v>
      </c>
      <c r="K14" s="2">
        <v>409.0</v>
      </c>
      <c r="L14" s="4">
        <f t="shared" si="7"/>
        <v>309</v>
      </c>
      <c r="M14" s="4">
        <f t="shared" si="8"/>
        <v>100</v>
      </c>
      <c r="N14" s="4">
        <f t="shared" si="9"/>
        <v>100</v>
      </c>
      <c r="O14" s="4">
        <f t="shared" si="1"/>
        <v>309.1483213</v>
      </c>
      <c r="P14" s="4">
        <f t="shared" si="2"/>
        <v>324.1922485</v>
      </c>
      <c r="Q14" s="4">
        <f t="shared" si="3"/>
        <v>319.8662109</v>
      </c>
      <c r="V14" s="4">
        <f t="shared" si="4"/>
        <v>99.85167869</v>
      </c>
      <c r="W14" s="4">
        <f t="shared" si="5"/>
        <v>84.80775152</v>
      </c>
      <c r="X14" s="4">
        <f t="shared" si="6"/>
        <v>89.13378906</v>
      </c>
    </row>
    <row r="15">
      <c r="A15" s="3">
        <v>40245.0</v>
      </c>
      <c r="B15" s="2">
        <v>0.0</v>
      </c>
      <c r="C15" s="2">
        <v>337.0</v>
      </c>
      <c r="D15" s="2">
        <v>800.0</v>
      </c>
      <c r="E15" s="2">
        <v>262.0</v>
      </c>
      <c r="F15" s="2">
        <v>917.0</v>
      </c>
      <c r="G15" s="2">
        <v>0.0</v>
      </c>
      <c r="H15" s="2">
        <v>0.0</v>
      </c>
      <c r="I15" s="2">
        <v>47.0</v>
      </c>
      <c r="J15" s="2">
        <v>405.0</v>
      </c>
      <c r="K15" s="2">
        <v>337.0</v>
      </c>
      <c r="L15" s="4">
        <f t="shared" si="7"/>
        <v>374.3333333</v>
      </c>
      <c r="M15" s="4">
        <f t="shared" si="8"/>
        <v>-37.33333333</v>
      </c>
      <c r="N15" s="4">
        <f t="shared" si="9"/>
        <v>37.33333333</v>
      </c>
      <c r="O15" s="4">
        <f t="shared" si="1"/>
        <v>319.1334892</v>
      </c>
      <c r="P15" s="4">
        <f t="shared" si="2"/>
        <v>349.6345739</v>
      </c>
      <c r="Q15" s="4">
        <f t="shared" si="3"/>
        <v>364.4331055</v>
      </c>
      <c r="V15" s="4">
        <f t="shared" si="4"/>
        <v>17.86651082</v>
      </c>
      <c r="W15" s="4">
        <f t="shared" si="5"/>
        <v>12.63457394</v>
      </c>
      <c r="X15" s="4">
        <f t="shared" si="6"/>
        <v>27.43310547</v>
      </c>
    </row>
    <row r="16">
      <c r="A16" s="3">
        <v>40252.0</v>
      </c>
      <c r="B16" s="2">
        <v>194.0</v>
      </c>
      <c r="C16" s="2">
        <v>375.0</v>
      </c>
      <c r="D16" s="2">
        <v>555.0</v>
      </c>
      <c r="E16" s="2">
        <v>224.0</v>
      </c>
      <c r="F16" s="2">
        <v>551.0</v>
      </c>
      <c r="G16" s="2">
        <v>12.0</v>
      </c>
      <c r="H16" s="2">
        <v>0.0</v>
      </c>
      <c r="I16" s="2">
        <v>826.0</v>
      </c>
      <c r="J16" s="2">
        <v>179.0</v>
      </c>
      <c r="K16" s="2">
        <v>375.0</v>
      </c>
      <c r="L16" s="4">
        <f t="shared" si="7"/>
        <v>339.3333333</v>
      </c>
      <c r="M16" s="4">
        <f t="shared" si="8"/>
        <v>35.66666667</v>
      </c>
      <c r="N16" s="4">
        <f t="shared" si="9"/>
        <v>35.66666667</v>
      </c>
      <c r="O16" s="4">
        <f t="shared" si="1"/>
        <v>320.9201403</v>
      </c>
      <c r="P16" s="4">
        <f t="shared" si="2"/>
        <v>345.8442018</v>
      </c>
      <c r="Q16" s="4">
        <f t="shared" si="3"/>
        <v>350.7165527</v>
      </c>
      <c r="V16" s="4">
        <f t="shared" si="4"/>
        <v>54.07985974</v>
      </c>
      <c r="W16" s="4">
        <f t="shared" si="5"/>
        <v>29.15579824</v>
      </c>
      <c r="X16" s="4">
        <f t="shared" si="6"/>
        <v>24.28344727</v>
      </c>
    </row>
    <row r="17">
      <c r="A17" s="3">
        <v>40259.0</v>
      </c>
      <c r="B17" s="2">
        <v>410.0</v>
      </c>
      <c r="C17" s="2">
        <v>177.0</v>
      </c>
      <c r="D17" s="2">
        <v>930.0</v>
      </c>
      <c r="E17" s="2">
        <v>212.0</v>
      </c>
      <c r="F17" s="2">
        <v>808.0</v>
      </c>
      <c r="G17" s="2">
        <v>0.0</v>
      </c>
      <c r="H17" s="2">
        <v>0.0</v>
      </c>
      <c r="I17" s="2">
        <v>103.0</v>
      </c>
      <c r="J17" s="2">
        <v>467.0</v>
      </c>
      <c r="K17" s="2">
        <v>177.0</v>
      </c>
      <c r="L17" s="4">
        <f t="shared" si="7"/>
        <v>373.6666667</v>
      </c>
      <c r="M17" s="4">
        <f t="shared" si="8"/>
        <v>-196.6666667</v>
      </c>
      <c r="N17" s="4">
        <f t="shared" si="9"/>
        <v>196.6666667</v>
      </c>
      <c r="O17" s="4">
        <f t="shared" si="1"/>
        <v>326.3281262</v>
      </c>
      <c r="P17" s="4">
        <f t="shared" si="2"/>
        <v>354.5909412</v>
      </c>
      <c r="Q17" s="4">
        <f t="shared" si="3"/>
        <v>362.8582764</v>
      </c>
      <c r="V17" s="4">
        <f t="shared" si="4"/>
        <v>149.3281262</v>
      </c>
      <c r="W17" s="4">
        <f t="shared" si="5"/>
        <v>177.5909412</v>
      </c>
      <c r="X17" s="4">
        <f t="shared" si="6"/>
        <v>185.8582764</v>
      </c>
    </row>
    <row r="18">
      <c r="A18" s="3">
        <v>40266.0</v>
      </c>
      <c r="B18" s="2">
        <v>186.0</v>
      </c>
      <c r="C18" s="2">
        <v>425.0</v>
      </c>
      <c r="D18" s="2">
        <v>588.0</v>
      </c>
      <c r="E18" s="2">
        <v>149.0</v>
      </c>
      <c r="F18" s="2">
        <v>331.0</v>
      </c>
      <c r="G18" s="2">
        <v>2.0</v>
      </c>
      <c r="H18" s="2">
        <v>450.0</v>
      </c>
      <c r="I18" s="2">
        <v>423.0</v>
      </c>
      <c r="J18" s="2">
        <v>331.0</v>
      </c>
      <c r="K18" s="2">
        <v>425.0</v>
      </c>
      <c r="L18" s="4">
        <f t="shared" si="7"/>
        <v>296.3333333</v>
      </c>
      <c r="M18" s="4">
        <f t="shared" si="8"/>
        <v>128.6666667</v>
      </c>
      <c r="N18" s="4">
        <f t="shared" si="9"/>
        <v>128.6666667</v>
      </c>
      <c r="O18" s="4">
        <f t="shared" si="1"/>
        <v>311.3953136</v>
      </c>
      <c r="P18" s="4">
        <f t="shared" si="2"/>
        <v>301.3136589</v>
      </c>
      <c r="Q18" s="4">
        <f t="shared" si="3"/>
        <v>269.9291382</v>
      </c>
      <c r="V18" s="4">
        <f t="shared" si="4"/>
        <v>113.6046864</v>
      </c>
      <c r="W18" s="4">
        <f t="shared" si="5"/>
        <v>123.6863411</v>
      </c>
      <c r="X18" s="4">
        <f t="shared" si="6"/>
        <v>155.0708618</v>
      </c>
    </row>
    <row r="19">
      <c r="A19" s="3">
        <v>40273.0</v>
      </c>
      <c r="B19" s="2">
        <v>230.0</v>
      </c>
      <c r="C19" s="2">
        <v>298.0</v>
      </c>
      <c r="D19" s="2">
        <v>416.0</v>
      </c>
      <c r="E19" s="2">
        <v>179.0</v>
      </c>
      <c r="F19" s="2">
        <v>736.0</v>
      </c>
      <c r="G19" s="2">
        <v>0.0</v>
      </c>
      <c r="H19" s="2">
        <v>216.0</v>
      </c>
      <c r="I19" s="2">
        <v>716.0</v>
      </c>
      <c r="J19" s="2">
        <v>164.0</v>
      </c>
      <c r="K19" s="2">
        <v>298.0</v>
      </c>
      <c r="L19" s="4">
        <f t="shared" si="7"/>
        <v>325.6666667</v>
      </c>
      <c r="M19" s="4">
        <f t="shared" si="8"/>
        <v>-27.66666667</v>
      </c>
      <c r="N19" s="4">
        <f t="shared" si="9"/>
        <v>27.66666667</v>
      </c>
      <c r="O19" s="4">
        <f t="shared" si="1"/>
        <v>322.7557822</v>
      </c>
      <c r="P19" s="4">
        <f t="shared" si="2"/>
        <v>338.4195612</v>
      </c>
      <c r="Q19" s="4">
        <f t="shared" si="3"/>
        <v>347.4645691</v>
      </c>
      <c r="V19" s="4">
        <f t="shared" si="4"/>
        <v>24.75578225</v>
      </c>
      <c r="W19" s="4">
        <f t="shared" si="5"/>
        <v>40.4195612</v>
      </c>
      <c r="X19" s="4">
        <f t="shared" si="6"/>
        <v>49.46456909</v>
      </c>
    </row>
    <row r="20">
      <c r="A20" s="3">
        <v>40280.0</v>
      </c>
      <c r="B20" s="2">
        <v>293.0</v>
      </c>
      <c r="C20" s="2">
        <v>477.0</v>
      </c>
      <c r="D20" s="2">
        <v>1007.0</v>
      </c>
      <c r="E20" s="2">
        <v>386.0</v>
      </c>
      <c r="F20" s="2">
        <v>653.0</v>
      </c>
      <c r="G20" s="2">
        <v>0.0</v>
      </c>
      <c r="H20" s="2">
        <v>91.0</v>
      </c>
      <c r="I20" s="2">
        <v>224.0</v>
      </c>
      <c r="J20" s="2">
        <v>218.0</v>
      </c>
      <c r="K20" s="2">
        <v>477.0</v>
      </c>
      <c r="L20" s="4">
        <f t="shared" si="7"/>
        <v>300</v>
      </c>
      <c r="M20" s="4">
        <f t="shared" si="8"/>
        <v>177</v>
      </c>
      <c r="N20" s="4">
        <f t="shared" si="9"/>
        <v>177</v>
      </c>
      <c r="O20" s="4">
        <f t="shared" si="1"/>
        <v>320.280204</v>
      </c>
      <c r="P20" s="4">
        <f t="shared" si="2"/>
        <v>326.2936928</v>
      </c>
      <c r="Q20" s="4">
        <f t="shared" si="3"/>
        <v>322.7322845</v>
      </c>
      <c r="V20" s="4">
        <f t="shared" si="4"/>
        <v>156.719796</v>
      </c>
      <c r="W20" s="4">
        <f t="shared" si="5"/>
        <v>150.7063072</v>
      </c>
      <c r="X20" s="4">
        <f t="shared" si="6"/>
        <v>154.2677155</v>
      </c>
    </row>
    <row r="21">
      <c r="A21" s="3">
        <v>40287.0</v>
      </c>
      <c r="B21" s="2">
        <v>349.0</v>
      </c>
      <c r="C21" s="2">
        <v>297.0</v>
      </c>
      <c r="D21" s="2">
        <v>645.0</v>
      </c>
      <c r="E21" s="2">
        <v>525.0</v>
      </c>
      <c r="F21" s="2">
        <v>504.0</v>
      </c>
      <c r="G21" s="2">
        <v>1.0</v>
      </c>
      <c r="H21" s="2">
        <v>116.0</v>
      </c>
      <c r="I21" s="2">
        <v>378.0</v>
      </c>
      <c r="J21" s="2">
        <v>248.0</v>
      </c>
      <c r="K21" s="2">
        <v>297.0</v>
      </c>
      <c r="L21" s="4">
        <f t="shared" si="7"/>
        <v>400</v>
      </c>
      <c r="M21" s="4">
        <f t="shared" si="8"/>
        <v>-103</v>
      </c>
      <c r="N21" s="4">
        <f t="shared" si="9"/>
        <v>103</v>
      </c>
      <c r="O21" s="4">
        <f t="shared" si="1"/>
        <v>335.9521836</v>
      </c>
      <c r="P21" s="4">
        <f t="shared" si="2"/>
        <v>371.505585</v>
      </c>
      <c r="Q21" s="4">
        <f t="shared" si="3"/>
        <v>399.8661423</v>
      </c>
      <c r="V21" s="4">
        <f t="shared" si="4"/>
        <v>38.95218362</v>
      </c>
      <c r="W21" s="4">
        <f t="shared" si="5"/>
        <v>74.50558499</v>
      </c>
      <c r="X21" s="4">
        <f t="shared" si="6"/>
        <v>102.8661423</v>
      </c>
    </row>
    <row r="22">
      <c r="A22" s="3">
        <v>40294.0</v>
      </c>
      <c r="B22" s="2">
        <v>276.0</v>
      </c>
      <c r="C22" s="2">
        <v>304.0</v>
      </c>
      <c r="D22" s="2">
        <v>1539.0</v>
      </c>
      <c r="E22" s="2">
        <v>418.0</v>
      </c>
      <c r="F22" s="2">
        <v>919.0</v>
      </c>
      <c r="G22" s="2">
        <v>18.0</v>
      </c>
      <c r="H22" s="2">
        <v>55.0</v>
      </c>
      <c r="I22" s="2">
        <v>500.0</v>
      </c>
      <c r="J22" s="2">
        <v>386.0</v>
      </c>
      <c r="K22" s="2">
        <v>304.0</v>
      </c>
      <c r="L22" s="4">
        <f t="shared" si="7"/>
        <v>357.3333333</v>
      </c>
      <c r="M22" s="4">
        <f t="shared" si="8"/>
        <v>-53.33333333</v>
      </c>
      <c r="N22" s="4">
        <f t="shared" si="9"/>
        <v>53.33333333</v>
      </c>
      <c r="O22" s="4">
        <f t="shared" si="1"/>
        <v>332.0569653</v>
      </c>
      <c r="P22" s="4">
        <f t="shared" si="2"/>
        <v>349.1539095</v>
      </c>
      <c r="Q22" s="4">
        <f t="shared" si="3"/>
        <v>348.4330711</v>
      </c>
      <c r="V22" s="4">
        <f t="shared" si="4"/>
        <v>28.05696526</v>
      </c>
      <c r="W22" s="4">
        <f t="shared" si="5"/>
        <v>45.15390949</v>
      </c>
      <c r="X22" s="4">
        <f t="shared" si="6"/>
        <v>44.43307114</v>
      </c>
    </row>
    <row r="23">
      <c r="A23" s="3">
        <v>40301.0</v>
      </c>
      <c r="B23" s="2">
        <v>306.0</v>
      </c>
      <c r="C23" s="2">
        <v>711.0</v>
      </c>
      <c r="D23" s="2">
        <v>1207.0</v>
      </c>
      <c r="E23" s="2">
        <v>565.0</v>
      </c>
      <c r="F23" s="2">
        <v>342.0</v>
      </c>
      <c r="G23" s="2">
        <v>46.0</v>
      </c>
      <c r="H23" s="2">
        <v>62.0</v>
      </c>
      <c r="I23" s="2">
        <v>203.0</v>
      </c>
      <c r="J23" s="2">
        <v>751.0</v>
      </c>
      <c r="K23" s="2">
        <v>711.0</v>
      </c>
      <c r="L23" s="4">
        <f t="shared" si="7"/>
        <v>359.3333333</v>
      </c>
      <c r="M23" s="4">
        <f t="shared" si="8"/>
        <v>351.6666667</v>
      </c>
      <c r="N23" s="4">
        <f t="shared" si="9"/>
        <v>351.6666667</v>
      </c>
      <c r="O23" s="4">
        <f t="shared" si="1"/>
        <v>329.2512687</v>
      </c>
      <c r="P23" s="4">
        <f t="shared" si="2"/>
        <v>335.6077366</v>
      </c>
      <c r="Q23" s="4">
        <f t="shared" si="3"/>
        <v>326.2165356</v>
      </c>
      <c r="V23" s="4">
        <f t="shared" si="4"/>
        <v>381.7487313</v>
      </c>
      <c r="W23" s="4">
        <f t="shared" si="5"/>
        <v>375.3922634</v>
      </c>
      <c r="X23" s="4">
        <f t="shared" si="6"/>
        <v>384.7834644</v>
      </c>
    </row>
    <row r="24">
      <c r="A24" s="3">
        <v>40308.0</v>
      </c>
      <c r="B24" s="2">
        <v>130.0</v>
      </c>
      <c r="C24" s="2">
        <v>517.0</v>
      </c>
      <c r="D24" s="2">
        <v>987.0</v>
      </c>
      <c r="E24" s="2">
        <v>436.0</v>
      </c>
      <c r="F24" s="2">
        <v>907.0</v>
      </c>
      <c r="G24" s="2">
        <v>6.0</v>
      </c>
      <c r="H24" s="2">
        <v>16.0</v>
      </c>
      <c r="I24" s="2">
        <v>180.0</v>
      </c>
      <c r="J24" s="2">
        <v>290.0</v>
      </c>
      <c r="K24" s="2">
        <v>517.0</v>
      </c>
      <c r="L24" s="4">
        <f t="shared" si="7"/>
        <v>437.3333333</v>
      </c>
      <c r="M24" s="4">
        <f t="shared" si="8"/>
        <v>79.66666667</v>
      </c>
      <c r="N24" s="4">
        <f t="shared" si="9"/>
        <v>79.66666667</v>
      </c>
      <c r="O24" s="4">
        <f t="shared" si="1"/>
        <v>367.4261419</v>
      </c>
      <c r="P24" s="4">
        <f t="shared" si="2"/>
        <v>448.2254157</v>
      </c>
      <c r="Q24" s="4">
        <f t="shared" si="3"/>
        <v>518.6082678</v>
      </c>
      <c r="V24" s="4">
        <f t="shared" si="4"/>
        <v>149.5738581</v>
      </c>
      <c r="W24" s="4">
        <f t="shared" si="5"/>
        <v>68.77458435</v>
      </c>
      <c r="X24" s="4">
        <f t="shared" si="6"/>
        <v>1.608267784</v>
      </c>
    </row>
    <row r="25">
      <c r="A25" s="3">
        <v>40315.0</v>
      </c>
      <c r="B25" s="2">
        <v>28.0</v>
      </c>
      <c r="C25" s="2">
        <v>265.0</v>
      </c>
      <c r="D25" s="2">
        <v>621.0</v>
      </c>
      <c r="E25" s="2">
        <v>450.0</v>
      </c>
      <c r="F25" s="2">
        <v>283.0</v>
      </c>
      <c r="G25" s="2">
        <v>6.0</v>
      </c>
      <c r="H25" s="2">
        <v>87.0</v>
      </c>
      <c r="I25" s="2">
        <v>192.0</v>
      </c>
      <c r="J25" s="2">
        <v>512.0</v>
      </c>
      <c r="K25" s="2">
        <v>265.0</v>
      </c>
      <c r="L25" s="4">
        <f t="shared" si="7"/>
        <v>510.6666667</v>
      </c>
      <c r="M25" s="4">
        <f t="shared" si="8"/>
        <v>-245.6666667</v>
      </c>
      <c r="N25" s="4">
        <f t="shared" si="9"/>
        <v>245.6666667</v>
      </c>
      <c r="O25" s="4">
        <f t="shared" si="1"/>
        <v>382.3835277</v>
      </c>
      <c r="P25" s="4">
        <f t="shared" si="2"/>
        <v>468.857791</v>
      </c>
      <c r="Q25" s="4">
        <f t="shared" si="3"/>
        <v>517.8041339</v>
      </c>
      <c r="V25" s="4">
        <f t="shared" si="4"/>
        <v>117.3835277</v>
      </c>
      <c r="W25" s="4">
        <f t="shared" si="5"/>
        <v>203.857791</v>
      </c>
      <c r="X25" s="4">
        <f t="shared" si="6"/>
        <v>252.8041339</v>
      </c>
    </row>
    <row r="26">
      <c r="A26" s="3">
        <v>40322.0</v>
      </c>
      <c r="B26" s="2">
        <v>15.0</v>
      </c>
      <c r="C26" s="2">
        <v>674.0</v>
      </c>
      <c r="D26" s="2">
        <v>760.0</v>
      </c>
      <c r="E26" s="2">
        <v>671.0</v>
      </c>
      <c r="F26" s="2">
        <v>560.0</v>
      </c>
      <c r="G26" s="2">
        <v>0.0</v>
      </c>
      <c r="H26" s="2">
        <v>69.0</v>
      </c>
      <c r="I26" s="2">
        <v>218.0</v>
      </c>
      <c r="J26" s="2">
        <v>279.0</v>
      </c>
      <c r="K26" s="2">
        <v>674.0</v>
      </c>
      <c r="L26" s="4">
        <f t="shared" si="7"/>
        <v>497.6666667</v>
      </c>
      <c r="M26" s="4">
        <f t="shared" si="8"/>
        <v>176.3333333</v>
      </c>
      <c r="N26" s="4">
        <f t="shared" si="9"/>
        <v>176.3333333</v>
      </c>
      <c r="O26" s="4">
        <f t="shared" si="1"/>
        <v>370.6451749</v>
      </c>
      <c r="P26" s="4">
        <f t="shared" si="2"/>
        <v>407.7004537</v>
      </c>
      <c r="Q26" s="4">
        <f t="shared" si="3"/>
        <v>391.4020669</v>
      </c>
      <c r="V26" s="4">
        <f t="shared" si="4"/>
        <v>303.3548251</v>
      </c>
      <c r="W26" s="4">
        <f t="shared" si="5"/>
        <v>266.2995463</v>
      </c>
      <c r="X26" s="4">
        <f t="shared" si="6"/>
        <v>282.5979331</v>
      </c>
    </row>
    <row r="27">
      <c r="A27" s="3">
        <v>40329.0</v>
      </c>
      <c r="B27" s="2">
        <v>93.0</v>
      </c>
      <c r="C27" s="2">
        <v>300.0</v>
      </c>
      <c r="D27" s="2">
        <v>727.0</v>
      </c>
      <c r="E27" s="2">
        <v>301.0</v>
      </c>
      <c r="F27" s="2">
        <v>309.0</v>
      </c>
      <c r="G27" s="2">
        <v>4.0</v>
      </c>
      <c r="H27" s="2">
        <v>29.0</v>
      </c>
      <c r="I27" s="2">
        <v>145.0</v>
      </c>
      <c r="J27" s="2">
        <v>236.0</v>
      </c>
      <c r="K27" s="2">
        <v>300.0</v>
      </c>
      <c r="L27" s="4">
        <f t="shared" si="7"/>
        <v>485.3333333</v>
      </c>
      <c r="M27" s="4">
        <f t="shared" si="8"/>
        <v>-185.3333333</v>
      </c>
      <c r="N27" s="4">
        <f t="shared" si="9"/>
        <v>185.3333333</v>
      </c>
      <c r="O27" s="4">
        <f t="shared" si="1"/>
        <v>400.9806574</v>
      </c>
      <c r="P27" s="4">
        <f t="shared" si="2"/>
        <v>487.5903176</v>
      </c>
      <c r="Q27" s="4">
        <f t="shared" si="3"/>
        <v>532.7010335</v>
      </c>
      <c r="V27" s="4">
        <f t="shared" si="4"/>
        <v>100.9806574</v>
      </c>
      <c r="W27" s="4">
        <f t="shared" si="5"/>
        <v>187.5903176</v>
      </c>
      <c r="X27" s="4">
        <f t="shared" si="6"/>
        <v>232.7010335</v>
      </c>
    </row>
    <row r="28">
      <c r="A28" s="3">
        <v>40336.0</v>
      </c>
      <c r="B28" s="2">
        <v>454.0</v>
      </c>
      <c r="C28" s="2">
        <v>408.0</v>
      </c>
      <c r="D28" s="2">
        <v>973.0</v>
      </c>
      <c r="E28" s="2">
        <v>716.0</v>
      </c>
      <c r="F28" s="2">
        <v>264.0</v>
      </c>
      <c r="G28" s="2">
        <v>3.0</v>
      </c>
      <c r="H28" s="2">
        <v>220.0</v>
      </c>
      <c r="I28" s="2">
        <v>617.0</v>
      </c>
      <c r="J28" s="2">
        <v>429.0</v>
      </c>
      <c r="K28" s="2">
        <v>408.0</v>
      </c>
      <c r="L28" s="4">
        <f t="shared" si="7"/>
        <v>413</v>
      </c>
      <c r="M28" s="4">
        <f t="shared" si="8"/>
        <v>-5</v>
      </c>
      <c r="N28" s="4">
        <f t="shared" si="9"/>
        <v>5</v>
      </c>
      <c r="O28" s="4">
        <f t="shared" si="1"/>
        <v>390.8825917</v>
      </c>
      <c r="P28" s="4">
        <f t="shared" si="2"/>
        <v>431.3132223</v>
      </c>
      <c r="Q28" s="4">
        <f t="shared" si="3"/>
        <v>416.3505167</v>
      </c>
      <c r="V28" s="4">
        <f t="shared" si="4"/>
        <v>17.11740833</v>
      </c>
      <c r="W28" s="4">
        <f t="shared" si="5"/>
        <v>23.3132223</v>
      </c>
      <c r="X28" s="4">
        <f t="shared" si="6"/>
        <v>8.350516737</v>
      </c>
    </row>
    <row r="29">
      <c r="A29" s="3">
        <v>40343.0</v>
      </c>
      <c r="B29" s="2">
        <v>432.0</v>
      </c>
      <c r="C29" s="2">
        <v>458.0</v>
      </c>
      <c r="D29" s="2">
        <v>696.0</v>
      </c>
      <c r="E29" s="2">
        <v>142.0</v>
      </c>
      <c r="F29" s="2">
        <v>569.0</v>
      </c>
      <c r="G29" s="2">
        <v>28.0</v>
      </c>
      <c r="H29" s="2">
        <v>25.0</v>
      </c>
      <c r="I29" s="2">
        <v>625.0</v>
      </c>
      <c r="J29" s="2">
        <v>362.0</v>
      </c>
      <c r="K29" s="2">
        <v>458.0</v>
      </c>
      <c r="L29" s="4">
        <f t="shared" si="7"/>
        <v>460.6666667</v>
      </c>
      <c r="M29" s="4">
        <f t="shared" si="8"/>
        <v>-2.666666667</v>
      </c>
      <c r="N29" s="4">
        <f t="shared" si="9"/>
        <v>2.666666667</v>
      </c>
      <c r="O29" s="4">
        <f t="shared" si="1"/>
        <v>392.5943325</v>
      </c>
      <c r="P29" s="4">
        <f t="shared" si="2"/>
        <v>424.3192556</v>
      </c>
      <c r="Q29" s="4">
        <f t="shared" si="3"/>
        <v>412.1752584</v>
      </c>
      <c r="V29" s="4">
        <f t="shared" si="4"/>
        <v>65.40566749</v>
      </c>
      <c r="W29" s="4">
        <f t="shared" si="5"/>
        <v>33.68074439</v>
      </c>
      <c r="X29" s="4">
        <f t="shared" si="6"/>
        <v>45.82474163</v>
      </c>
    </row>
    <row r="30">
      <c r="A30" s="3">
        <v>40350.0</v>
      </c>
      <c r="B30" s="2">
        <v>151.0</v>
      </c>
      <c r="C30" s="2">
        <v>511.0</v>
      </c>
      <c r="D30" s="2">
        <v>750.0</v>
      </c>
      <c r="E30" s="2">
        <v>52.0</v>
      </c>
      <c r="F30" s="2">
        <v>252.0</v>
      </c>
      <c r="G30" s="2">
        <v>305.0</v>
      </c>
      <c r="H30" s="2">
        <v>35.0</v>
      </c>
      <c r="I30" s="2">
        <v>168.0</v>
      </c>
      <c r="J30" s="2">
        <v>460.0</v>
      </c>
      <c r="K30" s="2">
        <v>511.0</v>
      </c>
      <c r="L30" s="4">
        <f t="shared" si="7"/>
        <v>388.6666667</v>
      </c>
      <c r="M30" s="4">
        <f t="shared" si="8"/>
        <v>122.3333333</v>
      </c>
      <c r="N30" s="4">
        <f t="shared" si="9"/>
        <v>122.3333333</v>
      </c>
      <c r="O30" s="4">
        <f t="shared" si="1"/>
        <v>399.1348993</v>
      </c>
      <c r="P30" s="4">
        <f t="shared" si="2"/>
        <v>434.4234789</v>
      </c>
      <c r="Q30" s="4">
        <f t="shared" si="3"/>
        <v>435.0876292</v>
      </c>
      <c r="V30" s="4">
        <f t="shared" si="4"/>
        <v>111.8651007</v>
      </c>
      <c r="W30" s="4">
        <f t="shared" si="5"/>
        <v>76.57652107</v>
      </c>
      <c r="X30" s="4">
        <f t="shared" si="6"/>
        <v>75.91237082</v>
      </c>
    </row>
    <row r="31">
      <c r="A31" s="3">
        <v>40357.0</v>
      </c>
      <c r="B31" s="2">
        <v>387.0</v>
      </c>
      <c r="C31" s="2">
        <v>534.0</v>
      </c>
      <c r="D31" s="2">
        <v>1415.0</v>
      </c>
      <c r="E31" s="2">
        <v>51.0</v>
      </c>
      <c r="F31" s="2">
        <v>692.0</v>
      </c>
      <c r="G31" s="2">
        <v>44.0</v>
      </c>
      <c r="H31" s="2">
        <v>22.0</v>
      </c>
      <c r="I31" s="2">
        <v>365.0</v>
      </c>
      <c r="J31" s="2">
        <v>598.0</v>
      </c>
      <c r="K31" s="2">
        <v>534.0</v>
      </c>
      <c r="L31" s="4">
        <f t="shared" si="7"/>
        <v>459</v>
      </c>
      <c r="M31" s="4">
        <f t="shared" si="8"/>
        <v>75</v>
      </c>
      <c r="N31" s="4">
        <f t="shared" si="9"/>
        <v>75</v>
      </c>
      <c r="O31" s="4">
        <f t="shared" si="1"/>
        <v>410.3214093</v>
      </c>
      <c r="P31" s="4">
        <f t="shared" si="2"/>
        <v>457.3964352</v>
      </c>
      <c r="Q31" s="4">
        <f t="shared" si="3"/>
        <v>473.0438146</v>
      </c>
      <c r="V31" s="4">
        <f t="shared" si="4"/>
        <v>123.6785907</v>
      </c>
      <c r="W31" s="4">
        <f t="shared" si="5"/>
        <v>76.60356475</v>
      </c>
      <c r="X31" s="4">
        <f t="shared" si="6"/>
        <v>60.95618541</v>
      </c>
    </row>
    <row r="32">
      <c r="A32" s="3">
        <v>40364.0</v>
      </c>
      <c r="B32" s="2">
        <v>150.0</v>
      </c>
      <c r="C32" s="2">
        <v>211.0</v>
      </c>
      <c r="D32" s="2">
        <v>654.0</v>
      </c>
      <c r="E32" s="2">
        <v>52.0</v>
      </c>
      <c r="F32" s="2">
        <v>874.0</v>
      </c>
      <c r="G32" s="2">
        <v>14.0</v>
      </c>
      <c r="H32" s="2">
        <v>88.0</v>
      </c>
      <c r="I32" s="2">
        <v>278.0</v>
      </c>
      <c r="J32" s="2">
        <v>331.0</v>
      </c>
      <c r="K32" s="2">
        <v>211.0</v>
      </c>
      <c r="L32" s="4">
        <f t="shared" si="7"/>
        <v>501</v>
      </c>
      <c r="M32" s="4">
        <f t="shared" si="8"/>
        <v>-290</v>
      </c>
      <c r="N32" s="4">
        <f t="shared" si="9"/>
        <v>290</v>
      </c>
      <c r="O32" s="4">
        <f t="shared" si="1"/>
        <v>422.6892684</v>
      </c>
      <c r="P32" s="4">
        <f t="shared" si="2"/>
        <v>480.3775047</v>
      </c>
      <c r="Q32" s="4">
        <f t="shared" si="3"/>
        <v>503.5219073</v>
      </c>
      <c r="V32" s="4">
        <f t="shared" si="4"/>
        <v>211.6892684</v>
      </c>
      <c r="W32" s="4">
        <f t="shared" si="5"/>
        <v>269.3775047</v>
      </c>
      <c r="X32" s="4">
        <f t="shared" si="6"/>
        <v>292.5219073</v>
      </c>
    </row>
    <row r="33">
      <c r="A33" s="3">
        <v>40371.0</v>
      </c>
      <c r="B33" s="2">
        <v>160.0</v>
      </c>
      <c r="C33" s="2">
        <v>575.0</v>
      </c>
      <c r="D33" s="2">
        <v>865.0</v>
      </c>
      <c r="E33" s="2">
        <v>44.0</v>
      </c>
      <c r="F33" s="2">
        <v>400.0</v>
      </c>
      <c r="G33" s="2">
        <v>3.0</v>
      </c>
      <c r="H33" s="2">
        <v>6.0</v>
      </c>
      <c r="I33" s="2">
        <v>766.0</v>
      </c>
      <c r="J33" s="2">
        <v>240.0</v>
      </c>
      <c r="K33" s="2">
        <v>575.0</v>
      </c>
      <c r="L33" s="4">
        <f t="shared" si="7"/>
        <v>418.6666667</v>
      </c>
      <c r="M33" s="4">
        <f t="shared" si="8"/>
        <v>156.3333333</v>
      </c>
      <c r="N33" s="4">
        <f t="shared" si="9"/>
        <v>156.3333333</v>
      </c>
      <c r="O33" s="4">
        <f t="shared" si="1"/>
        <v>401.5203416</v>
      </c>
      <c r="P33" s="4">
        <f t="shared" si="2"/>
        <v>399.5642533</v>
      </c>
      <c r="Q33" s="4">
        <f t="shared" si="3"/>
        <v>357.2609536</v>
      </c>
      <c r="V33" s="4">
        <f t="shared" si="4"/>
        <v>173.4796584</v>
      </c>
      <c r="W33" s="4">
        <f t="shared" si="5"/>
        <v>175.4357467</v>
      </c>
      <c r="X33" s="4">
        <f t="shared" si="6"/>
        <v>217.7390464</v>
      </c>
    </row>
    <row r="34">
      <c r="A34" s="3">
        <v>40378.0</v>
      </c>
      <c r="B34" s="2">
        <v>453.0</v>
      </c>
      <c r="C34" s="2">
        <v>487.0</v>
      </c>
      <c r="D34" s="2">
        <v>1268.0</v>
      </c>
      <c r="E34" s="2">
        <v>52.0</v>
      </c>
      <c r="F34" s="2">
        <v>1043.0</v>
      </c>
      <c r="G34" s="2">
        <v>50.0</v>
      </c>
      <c r="H34" s="2">
        <v>8.0</v>
      </c>
      <c r="I34" s="2">
        <v>691.0</v>
      </c>
      <c r="J34" s="2">
        <v>729.0</v>
      </c>
      <c r="K34" s="2">
        <v>487.0</v>
      </c>
      <c r="L34" s="4">
        <f t="shared" si="7"/>
        <v>440</v>
      </c>
      <c r="M34" s="4">
        <f t="shared" si="8"/>
        <v>47</v>
      </c>
      <c r="N34" s="4">
        <f t="shared" si="9"/>
        <v>47</v>
      </c>
      <c r="O34" s="4">
        <f t="shared" si="1"/>
        <v>418.8683074</v>
      </c>
      <c r="P34" s="4">
        <f t="shared" si="2"/>
        <v>452.1949773</v>
      </c>
      <c r="Q34" s="4">
        <f t="shared" si="3"/>
        <v>466.1304768</v>
      </c>
      <c r="V34" s="4">
        <f t="shared" si="4"/>
        <v>68.1316926</v>
      </c>
      <c r="W34" s="4">
        <f t="shared" si="5"/>
        <v>34.80502271</v>
      </c>
      <c r="X34" s="4">
        <f t="shared" si="6"/>
        <v>20.86952318</v>
      </c>
    </row>
    <row r="35">
      <c r="A35" s="3">
        <v>40385.0</v>
      </c>
      <c r="B35" s="2">
        <v>577.0</v>
      </c>
      <c r="C35" s="2">
        <v>454.0</v>
      </c>
      <c r="D35" s="2">
        <v>618.0</v>
      </c>
      <c r="E35" s="2">
        <v>34.0</v>
      </c>
      <c r="F35" s="2">
        <v>621.0</v>
      </c>
      <c r="G35" s="2">
        <v>128.0</v>
      </c>
      <c r="H35" s="2">
        <v>5.0</v>
      </c>
      <c r="I35" s="2">
        <v>265.0</v>
      </c>
      <c r="J35" s="2">
        <v>171.0</v>
      </c>
      <c r="K35" s="2">
        <v>454.0</v>
      </c>
      <c r="L35" s="4">
        <f t="shared" si="7"/>
        <v>424.3333333</v>
      </c>
      <c r="M35" s="4">
        <f t="shared" si="8"/>
        <v>29.66666667</v>
      </c>
      <c r="N35" s="4">
        <f t="shared" si="9"/>
        <v>29.66666667</v>
      </c>
      <c r="O35" s="4">
        <f t="shared" si="1"/>
        <v>425.6814767</v>
      </c>
      <c r="P35" s="4">
        <f t="shared" si="2"/>
        <v>462.6364841</v>
      </c>
      <c r="Q35" s="4">
        <f t="shared" si="3"/>
        <v>476.5652384</v>
      </c>
      <c r="V35" s="4">
        <f t="shared" si="4"/>
        <v>28.31852334</v>
      </c>
      <c r="W35" s="4">
        <f t="shared" si="5"/>
        <v>8.636484103</v>
      </c>
      <c r="X35" s="4">
        <f t="shared" si="6"/>
        <v>22.56523841</v>
      </c>
    </row>
    <row r="36">
      <c r="A36" s="3">
        <v>40392.0</v>
      </c>
      <c r="B36" s="2">
        <v>294.0</v>
      </c>
      <c r="C36" s="2">
        <v>694.0</v>
      </c>
      <c r="D36" s="2">
        <v>726.0</v>
      </c>
      <c r="E36" s="2">
        <v>57.0</v>
      </c>
      <c r="F36" s="2">
        <v>648.0</v>
      </c>
      <c r="G36" s="2">
        <v>142.0</v>
      </c>
      <c r="H36" s="2">
        <v>17.0</v>
      </c>
      <c r="I36" s="2">
        <v>95.0</v>
      </c>
      <c r="J36" s="2">
        <v>354.0</v>
      </c>
      <c r="K36" s="2">
        <v>694.0</v>
      </c>
      <c r="L36" s="4">
        <f t="shared" si="7"/>
        <v>505.3333333</v>
      </c>
      <c r="M36" s="4">
        <f t="shared" si="8"/>
        <v>188.6666667</v>
      </c>
      <c r="N36" s="4">
        <f t="shared" si="9"/>
        <v>188.6666667</v>
      </c>
      <c r="O36" s="4">
        <f t="shared" si="1"/>
        <v>428.513329</v>
      </c>
      <c r="P36" s="4">
        <f t="shared" si="2"/>
        <v>460.0455389</v>
      </c>
      <c r="Q36" s="4">
        <f t="shared" si="3"/>
        <v>465.2826192</v>
      </c>
      <c r="V36" s="4">
        <f t="shared" si="4"/>
        <v>265.486671</v>
      </c>
      <c r="W36" s="4">
        <f t="shared" si="5"/>
        <v>233.9544611</v>
      </c>
      <c r="X36" s="4">
        <f t="shared" si="6"/>
        <v>228.7173808</v>
      </c>
    </row>
    <row r="37">
      <c r="A37" s="3">
        <v>40399.0</v>
      </c>
      <c r="B37" s="2">
        <v>224.0</v>
      </c>
      <c r="C37" s="2">
        <v>608.0</v>
      </c>
      <c r="D37" s="2">
        <v>893.0</v>
      </c>
      <c r="E37" s="2">
        <v>188.0</v>
      </c>
      <c r="F37" s="2">
        <v>758.0</v>
      </c>
      <c r="G37" s="2">
        <v>74.0</v>
      </c>
      <c r="H37" s="2">
        <v>45.0</v>
      </c>
      <c r="I37" s="2">
        <v>552.0</v>
      </c>
      <c r="J37" s="2">
        <v>460.0</v>
      </c>
      <c r="K37" s="2">
        <v>608.0</v>
      </c>
      <c r="L37" s="4">
        <f t="shared" si="7"/>
        <v>545</v>
      </c>
      <c r="M37" s="4">
        <f t="shared" si="8"/>
        <v>63</v>
      </c>
      <c r="N37" s="4">
        <f t="shared" si="9"/>
        <v>63</v>
      </c>
      <c r="O37" s="4">
        <f t="shared" si="1"/>
        <v>455.0619961</v>
      </c>
      <c r="P37" s="4">
        <f t="shared" si="2"/>
        <v>530.2318772</v>
      </c>
      <c r="Q37" s="4">
        <f t="shared" si="3"/>
        <v>579.6413096</v>
      </c>
      <c r="V37" s="4">
        <f t="shared" si="4"/>
        <v>152.9380039</v>
      </c>
      <c r="W37" s="4">
        <f t="shared" si="5"/>
        <v>77.76812279</v>
      </c>
      <c r="X37" s="4">
        <f t="shared" si="6"/>
        <v>28.3586904</v>
      </c>
    </row>
    <row r="38">
      <c r="A38" s="3">
        <v>40406.0</v>
      </c>
      <c r="B38" s="2">
        <v>177.0</v>
      </c>
      <c r="C38" s="2">
        <v>940.0</v>
      </c>
      <c r="D38" s="2">
        <v>189.0</v>
      </c>
      <c r="E38" s="2">
        <v>351.0</v>
      </c>
      <c r="F38" s="2">
        <v>664.0</v>
      </c>
      <c r="G38" s="2">
        <v>19.0</v>
      </c>
      <c r="H38" s="2">
        <v>37.0</v>
      </c>
      <c r="I38" s="2">
        <v>1025.0</v>
      </c>
      <c r="J38" s="2">
        <v>677.0</v>
      </c>
      <c r="K38" s="2">
        <v>940.0</v>
      </c>
      <c r="L38" s="4">
        <f t="shared" si="7"/>
        <v>585.3333333</v>
      </c>
      <c r="M38" s="4">
        <f t="shared" si="8"/>
        <v>354.6666667</v>
      </c>
      <c r="N38" s="4">
        <f t="shared" si="9"/>
        <v>354.6666667</v>
      </c>
      <c r="O38" s="4">
        <f t="shared" si="1"/>
        <v>470.3557965</v>
      </c>
      <c r="P38" s="4">
        <f t="shared" si="2"/>
        <v>553.562314</v>
      </c>
      <c r="Q38" s="4">
        <f t="shared" si="3"/>
        <v>593.8206548</v>
      </c>
      <c r="V38" s="4">
        <f t="shared" si="4"/>
        <v>469.6442035</v>
      </c>
      <c r="W38" s="4">
        <f t="shared" si="5"/>
        <v>386.437686</v>
      </c>
      <c r="X38" s="4">
        <f t="shared" si="6"/>
        <v>346.1793452</v>
      </c>
    </row>
    <row r="39">
      <c r="A39" s="3">
        <v>40413.0</v>
      </c>
      <c r="B39" s="2">
        <v>254.0</v>
      </c>
      <c r="C39" s="2">
        <v>450.0</v>
      </c>
      <c r="D39" s="2">
        <v>1.0</v>
      </c>
      <c r="E39" s="2">
        <v>9.0</v>
      </c>
      <c r="F39" s="2">
        <v>1000.0</v>
      </c>
      <c r="G39" s="2">
        <v>27.0</v>
      </c>
      <c r="H39" s="2">
        <v>70.0</v>
      </c>
      <c r="I39" s="2">
        <v>880.0</v>
      </c>
      <c r="J39" s="2">
        <v>338.0</v>
      </c>
      <c r="K39" s="2">
        <v>450.0</v>
      </c>
      <c r="L39" s="4">
        <f t="shared" si="7"/>
        <v>747.3333333</v>
      </c>
      <c r="M39" s="4">
        <f t="shared" si="8"/>
        <v>-297.3333333</v>
      </c>
      <c r="N39" s="4">
        <f t="shared" si="9"/>
        <v>297.3333333</v>
      </c>
      <c r="O39" s="4">
        <f t="shared" si="1"/>
        <v>517.3202168</v>
      </c>
      <c r="P39" s="4">
        <f t="shared" si="2"/>
        <v>669.4936198</v>
      </c>
      <c r="Q39" s="4">
        <f t="shared" si="3"/>
        <v>766.9103274</v>
      </c>
      <c r="V39" s="4">
        <f t="shared" si="4"/>
        <v>67.32021684</v>
      </c>
      <c r="W39" s="4">
        <f t="shared" si="5"/>
        <v>219.4936198</v>
      </c>
      <c r="X39" s="4">
        <f t="shared" si="6"/>
        <v>316.9103274</v>
      </c>
    </row>
    <row r="40">
      <c r="A40" s="3">
        <v>40420.0</v>
      </c>
      <c r="B40" s="2">
        <v>445.0</v>
      </c>
      <c r="C40" s="2">
        <v>375.0</v>
      </c>
      <c r="D40" s="2">
        <v>1889.0</v>
      </c>
      <c r="E40" s="2">
        <v>8.0</v>
      </c>
      <c r="F40" s="2">
        <v>963.0</v>
      </c>
      <c r="G40" s="2">
        <v>3.0</v>
      </c>
      <c r="H40" s="2">
        <v>110.0</v>
      </c>
      <c r="I40" s="2">
        <v>135.0</v>
      </c>
      <c r="J40" s="2">
        <v>652.0</v>
      </c>
      <c r="K40" s="2">
        <v>375.0</v>
      </c>
      <c r="L40" s="4">
        <f t="shared" si="7"/>
        <v>666</v>
      </c>
      <c r="M40" s="4">
        <f t="shared" si="8"/>
        <v>-291</v>
      </c>
      <c r="N40" s="4">
        <f t="shared" si="9"/>
        <v>291</v>
      </c>
      <c r="O40" s="4">
        <f t="shared" si="1"/>
        <v>510.5881952</v>
      </c>
      <c r="P40" s="4">
        <f t="shared" si="2"/>
        <v>603.6455339</v>
      </c>
      <c r="Q40" s="4">
        <f t="shared" si="3"/>
        <v>608.4551637</v>
      </c>
      <c r="V40" s="4">
        <f t="shared" si="4"/>
        <v>135.5881952</v>
      </c>
      <c r="W40" s="4">
        <f t="shared" si="5"/>
        <v>228.6455339</v>
      </c>
      <c r="X40" s="4">
        <f t="shared" si="6"/>
        <v>233.4551637</v>
      </c>
    </row>
    <row r="41">
      <c r="A41" s="3">
        <v>40427.0</v>
      </c>
      <c r="B41" s="2">
        <v>299.0</v>
      </c>
      <c r="C41" s="2">
        <v>483.0</v>
      </c>
      <c r="D41" s="2">
        <v>1313.0</v>
      </c>
      <c r="E41" s="2">
        <v>6.0</v>
      </c>
      <c r="F41" s="2">
        <v>387.0</v>
      </c>
      <c r="G41" s="2">
        <v>6.0</v>
      </c>
      <c r="H41" s="2">
        <v>68.0</v>
      </c>
      <c r="I41" s="2">
        <v>270.0</v>
      </c>
      <c r="J41" s="2">
        <v>617.0</v>
      </c>
      <c r="K41" s="2">
        <v>483.0</v>
      </c>
      <c r="L41" s="4">
        <f t="shared" si="7"/>
        <v>588.3333333</v>
      </c>
      <c r="M41" s="4">
        <f t="shared" si="8"/>
        <v>-105.3333333</v>
      </c>
      <c r="N41" s="4">
        <f t="shared" si="9"/>
        <v>105.3333333</v>
      </c>
      <c r="O41" s="4">
        <f t="shared" si="1"/>
        <v>497.0293756</v>
      </c>
      <c r="P41" s="4">
        <f t="shared" si="2"/>
        <v>535.0518737</v>
      </c>
      <c r="Q41" s="4">
        <f t="shared" si="3"/>
        <v>491.7275819</v>
      </c>
      <c r="V41" s="4">
        <f t="shared" si="4"/>
        <v>14.02937564</v>
      </c>
      <c r="W41" s="4">
        <f t="shared" si="5"/>
        <v>52.05187372</v>
      </c>
      <c r="X41" s="4">
        <f t="shared" si="6"/>
        <v>8.72758185</v>
      </c>
    </row>
    <row r="42">
      <c r="A42" s="3">
        <v>40434.0</v>
      </c>
      <c r="B42" s="2">
        <v>370.0</v>
      </c>
      <c r="C42" s="2">
        <v>304.0</v>
      </c>
      <c r="D42" s="2">
        <v>1118.0</v>
      </c>
      <c r="E42" s="2">
        <v>0.0</v>
      </c>
      <c r="F42" s="2">
        <v>619.0</v>
      </c>
      <c r="G42" s="2">
        <v>344.0</v>
      </c>
      <c r="H42" s="2">
        <v>38.0</v>
      </c>
      <c r="I42" s="2">
        <v>534.0</v>
      </c>
      <c r="J42" s="2">
        <v>305.0</v>
      </c>
      <c r="K42" s="2">
        <v>304.0</v>
      </c>
      <c r="L42" s="4">
        <f t="shared" si="7"/>
        <v>436</v>
      </c>
      <c r="M42" s="4">
        <f t="shared" si="8"/>
        <v>-132</v>
      </c>
      <c r="N42" s="4">
        <f t="shared" si="9"/>
        <v>132</v>
      </c>
      <c r="O42" s="4">
        <f t="shared" si="1"/>
        <v>495.6264381</v>
      </c>
      <c r="P42" s="4">
        <f t="shared" si="2"/>
        <v>519.4363116</v>
      </c>
      <c r="Q42" s="4">
        <f t="shared" si="3"/>
        <v>487.3637909</v>
      </c>
      <c r="V42" s="4">
        <f t="shared" si="4"/>
        <v>191.6264381</v>
      </c>
      <c r="W42" s="4">
        <f t="shared" si="5"/>
        <v>215.4363116</v>
      </c>
      <c r="X42" s="4">
        <f t="shared" si="6"/>
        <v>183.3637909</v>
      </c>
    </row>
    <row r="43">
      <c r="A43" s="3">
        <v>40441.0</v>
      </c>
      <c r="B43" s="2">
        <v>624.0</v>
      </c>
      <c r="C43" s="2">
        <v>605.0</v>
      </c>
      <c r="D43" s="2">
        <v>1381.0</v>
      </c>
      <c r="E43" s="2">
        <v>99.0</v>
      </c>
      <c r="F43" s="2">
        <v>1792.0</v>
      </c>
      <c r="G43" s="2">
        <v>425.0</v>
      </c>
      <c r="H43" s="2">
        <v>180.0</v>
      </c>
      <c r="I43" s="2">
        <v>1709.0</v>
      </c>
      <c r="J43" s="2">
        <v>352.0</v>
      </c>
      <c r="K43" s="2">
        <v>605.0</v>
      </c>
      <c r="L43" s="4">
        <f t="shared" si="7"/>
        <v>387.3333333</v>
      </c>
      <c r="M43" s="4">
        <f t="shared" si="8"/>
        <v>217.6666667</v>
      </c>
      <c r="N43" s="4">
        <f t="shared" si="9"/>
        <v>217.6666667</v>
      </c>
      <c r="O43" s="4">
        <f t="shared" si="1"/>
        <v>476.4637943</v>
      </c>
      <c r="P43" s="4">
        <f t="shared" si="2"/>
        <v>454.8054181</v>
      </c>
      <c r="Q43" s="4">
        <f t="shared" si="3"/>
        <v>395.6818955</v>
      </c>
      <c r="V43" s="4">
        <f t="shared" si="4"/>
        <v>128.5362057</v>
      </c>
      <c r="W43" s="4">
        <f t="shared" si="5"/>
        <v>150.1945819</v>
      </c>
      <c r="X43" s="4">
        <f t="shared" si="6"/>
        <v>209.3181045</v>
      </c>
    </row>
    <row r="44">
      <c r="A44" s="3">
        <v>40448.0</v>
      </c>
      <c r="B44" s="2">
        <v>385.0</v>
      </c>
      <c r="C44" s="2">
        <v>358.0</v>
      </c>
      <c r="D44" s="2">
        <v>1597.0</v>
      </c>
      <c r="E44" s="2">
        <v>916.0</v>
      </c>
      <c r="F44" s="2">
        <v>773.0</v>
      </c>
      <c r="G44" s="2">
        <v>495.0</v>
      </c>
      <c r="H44" s="2">
        <v>239.0</v>
      </c>
      <c r="I44" s="2">
        <v>284.0</v>
      </c>
      <c r="J44" s="2">
        <v>518.0</v>
      </c>
      <c r="K44" s="2">
        <v>358.0</v>
      </c>
      <c r="L44" s="4">
        <f t="shared" si="7"/>
        <v>464</v>
      </c>
      <c r="M44" s="4">
        <f t="shared" si="8"/>
        <v>-106</v>
      </c>
      <c r="N44" s="4">
        <f t="shared" si="9"/>
        <v>106</v>
      </c>
      <c r="O44" s="4">
        <f t="shared" si="1"/>
        <v>489.3174148</v>
      </c>
      <c r="P44" s="4">
        <f t="shared" si="2"/>
        <v>499.8637927</v>
      </c>
      <c r="Q44" s="4">
        <f t="shared" si="3"/>
        <v>500.3409477</v>
      </c>
      <c r="V44" s="4">
        <f t="shared" si="4"/>
        <v>131.3174148</v>
      </c>
      <c r="W44" s="4">
        <f t="shared" si="5"/>
        <v>141.8637927</v>
      </c>
      <c r="X44" s="4">
        <f t="shared" si="6"/>
        <v>142.3409477</v>
      </c>
    </row>
    <row r="45">
      <c r="A45" s="3">
        <v>40455.0</v>
      </c>
      <c r="B45" s="2">
        <v>507.0</v>
      </c>
      <c r="C45" s="2">
        <v>250.0</v>
      </c>
      <c r="D45" s="2">
        <v>956.0</v>
      </c>
      <c r="E45" s="2">
        <v>262.0</v>
      </c>
      <c r="F45" s="2">
        <v>753.0</v>
      </c>
      <c r="G45" s="2">
        <v>1516.0</v>
      </c>
      <c r="H45" s="2">
        <v>542.0</v>
      </c>
      <c r="I45" s="2">
        <v>919.0</v>
      </c>
      <c r="J45" s="2">
        <v>258.0</v>
      </c>
      <c r="K45" s="2">
        <v>250.0</v>
      </c>
      <c r="L45" s="4">
        <f t="shared" si="7"/>
        <v>422.3333333</v>
      </c>
      <c r="M45" s="4">
        <f t="shared" si="8"/>
        <v>-172.3333333</v>
      </c>
      <c r="N45" s="4">
        <f t="shared" si="9"/>
        <v>172.3333333</v>
      </c>
      <c r="O45" s="4">
        <f t="shared" si="1"/>
        <v>476.1856734</v>
      </c>
      <c r="P45" s="4">
        <f t="shared" si="2"/>
        <v>457.3046549</v>
      </c>
      <c r="Q45" s="4">
        <f t="shared" si="3"/>
        <v>429.1704739</v>
      </c>
      <c r="V45" s="4">
        <f t="shared" si="4"/>
        <v>226.1856734</v>
      </c>
      <c r="W45" s="4">
        <f t="shared" si="5"/>
        <v>207.3046549</v>
      </c>
      <c r="X45" s="4">
        <f t="shared" si="6"/>
        <v>179.1704739</v>
      </c>
    </row>
    <row r="46">
      <c r="A46" s="3">
        <v>40462.0</v>
      </c>
      <c r="B46" s="2">
        <v>322.0</v>
      </c>
      <c r="C46" s="2">
        <v>524.0</v>
      </c>
      <c r="D46" s="2">
        <v>1857.0</v>
      </c>
      <c r="E46" s="2">
        <v>333.0</v>
      </c>
      <c r="F46" s="2">
        <v>2277.0</v>
      </c>
      <c r="G46" s="2">
        <v>530.0</v>
      </c>
      <c r="H46" s="2">
        <v>152.0</v>
      </c>
      <c r="I46" s="2">
        <v>345.0</v>
      </c>
      <c r="J46" s="2">
        <v>917.0</v>
      </c>
      <c r="K46" s="2">
        <v>524.0</v>
      </c>
      <c r="L46" s="4">
        <f t="shared" si="7"/>
        <v>404.3333333</v>
      </c>
      <c r="M46" s="4">
        <f t="shared" si="8"/>
        <v>119.6666667</v>
      </c>
      <c r="N46" s="4">
        <f t="shared" si="9"/>
        <v>119.6666667</v>
      </c>
      <c r="O46" s="4">
        <f t="shared" si="1"/>
        <v>453.567106</v>
      </c>
      <c r="P46" s="4">
        <f t="shared" si="2"/>
        <v>395.1132584</v>
      </c>
      <c r="Q46" s="4">
        <f t="shared" si="3"/>
        <v>339.5852369</v>
      </c>
      <c r="V46" s="4">
        <f t="shared" si="4"/>
        <v>70.43289398</v>
      </c>
      <c r="W46" s="4">
        <f t="shared" si="5"/>
        <v>128.8867416</v>
      </c>
      <c r="X46" s="4">
        <f t="shared" si="6"/>
        <v>184.4147631</v>
      </c>
    </row>
    <row r="47">
      <c r="A47" s="3">
        <v>40469.0</v>
      </c>
      <c r="B47" s="2">
        <v>386.0</v>
      </c>
      <c r="C47" s="2">
        <v>141.0</v>
      </c>
      <c r="D47" s="2">
        <v>783.0</v>
      </c>
      <c r="E47" s="2">
        <v>167.0</v>
      </c>
      <c r="F47" s="2">
        <v>1736.0</v>
      </c>
      <c r="G47" s="2">
        <v>406.0</v>
      </c>
      <c r="H47" s="2">
        <v>228.0</v>
      </c>
      <c r="I47" s="2">
        <v>1239.0</v>
      </c>
      <c r="J47" s="2">
        <v>144.0</v>
      </c>
      <c r="K47" s="2">
        <v>141.0</v>
      </c>
      <c r="L47" s="4">
        <f t="shared" si="7"/>
        <v>377.3333333</v>
      </c>
      <c r="M47" s="4">
        <f t="shared" si="8"/>
        <v>-236.3333333</v>
      </c>
      <c r="N47" s="4">
        <f t="shared" si="9"/>
        <v>236.3333333</v>
      </c>
      <c r="O47" s="4">
        <f t="shared" si="1"/>
        <v>460.6103954</v>
      </c>
      <c r="P47" s="4">
        <f t="shared" si="2"/>
        <v>433.7792809</v>
      </c>
      <c r="Q47" s="4">
        <f t="shared" si="3"/>
        <v>431.7926185</v>
      </c>
      <c r="V47" s="4">
        <f t="shared" si="4"/>
        <v>319.6103954</v>
      </c>
      <c r="W47" s="4">
        <f t="shared" si="5"/>
        <v>292.7792809</v>
      </c>
      <c r="X47" s="4">
        <f t="shared" si="6"/>
        <v>290.7926185</v>
      </c>
    </row>
    <row r="48">
      <c r="A48" s="3">
        <v>40476.0</v>
      </c>
      <c r="B48" s="2">
        <v>638.0</v>
      </c>
      <c r="C48" s="2">
        <v>276.0</v>
      </c>
      <c r="D48" s="2">
        <v>515.0</v>
      </c>
      <c r="E48" s="2">
        <v>155.0</v>
      </c>
      <c r="F48" s="2">
        <v>1039.0</v>
      </c>
      <c r="G48" s="2">
        <v>469.0</v>
      </c>
      <c r="H48" s="2">
        <v>175.0</v>
      </c>
      <c r="I48" s="2">
        <v>2582.0</v>
      </c>
      <c r="J48" s="2">
        <v>137.0</v>
      </c>
      <c r="K48" s="2">
        <v>276.0</v>
      </c>
      <c r="L48" s="4">
        <f t="shared" si="7"/>
        <v>305</v>
      </c>
      <c r="M48" s="4">
        <f t="shared" si="8"/>
        <v>-29</v>
      </c>
      <c r="N48" s="4">
        <f t="shared" si="9"/>
        <v>29</v>
      </c>
      <c r="O48" s="4">
        <f t="shared" si="1"/>
        <v>428.6493559</v>
      </c>
      <c r="P48" s="4">
        <f t="shared" si="2"/>
        <v>345.9454966</v>
      </c>
      <c r="Q48" s="4">
        <f t="shared" si="3"/>
        <v>286.3963092</v>
      </c>
      <c r="V48" s="4">
        <f t="shared" si="4"/>
        <v>152.6493559</v>
      </c>
      <c r="W48" s="4">
        <f t="shared" si="5"/>
        <v>69.94549662</v>
      </c>
      <c r="X48" s="4">
        <f t="shared" si="6"/>
        <v>10.39630923</v>
      </c>
    </row>
    <row r="49">
      <c r="A49" s="3">
        <v>40483.0</v>
      </c>
      <c r="B49" s="2">
        <v>227.0</v>
      </c>
      <c r="C49" s="2">
        <v>530.0</v>
      </c>
      <c r="D49" s="2">
        <v>793.0</v>
      </c>
      <c r="E49" s="2">
        <v>58.0</v>
      </c>
      <c r="F49" s="2">
        <v>992.0</v>
      </c>
      <c r="G49" s="2">
        <v>1549.0</v>
      </c>
      <c r="H49" s="2">
        <v>123.0</v>
      </c>
      <c r="I49" s="2">
        <v>926.0</v>
      </c>
      <c r="J49" s="2">
        <v>347.0</v>
      </c>
      <c r="K49" s="2">
        <v>530.0</v>
      </c>
      <c r="L49" s="4">
        <f t="shared" si="7"/>
        <v>313.6666667</v>
      </c>
      <c r="M49" s="4">
        <f t="shared" si="8"/>
        <v>216.3333333</v>
      </c>
      <c r="N49" s="4">
        <f t="shared" si="9"/>
        <v>216.3333333</v>
      </c>
      <c r="O49" s="4">
        <f t="shared" si="1"/>
        <v>413.3844203</v>
      </c>
      <c r="P49" s="4">
        <f t="shared" si="2"/>
        <v>324.9618476</v>
      </c>
      <c r="Q49" s="4">
        <f t="shared" si="3"/>
        <v>281.1981546</v>
      </c>
      <c r="V49" s="4">
        <f t="shared" si="4"/>
        <v>116.6155797</v>
      </c>
      <c r="W49" s="4">
        <f t="shared" si="5"/>
        <v>205.0381524</v>
      </c>
      <c r="X49" s="4">
        <f t="shared" si="6"/>
        <v>248.8018454</v>
      </c>
    </row>
    <row r="50">
      <c r="A50" s="3">
        <v>40490.0</v>
      </c>
      <c r="B50" s="2">
        <v>570.0</v>
      </c>
      <c r="C50" s="2">
        <v>264.0</v>
      </c>
      <c r="D50" s="2">
        <v>2127.0</v>
      </c>
      <c r="E50" s="2">
        <v>98.0</v>
      </c>
      <c r="F50" s="2">
        <v>5584.0</v>
      </c>
      <c r="G50" s="2">
        <v>1675.0</v>
      </c>
      <c r="H50" s="2">
        <v>517.0</v>
      </c>
      <c r="I50" s="2">
        <v>4115.0</v>
      </c>
      <c r="J50" s="2">
        <v>659.0</v>
      </c>
      <c r="K50" s="2">
        <v>264.0</v>
      </c>
      <c r="L50" s="4">
        <f t="shared" si="7"/>
        <v>315.6666667</v>
      </c>
      <c r="M50" s="4">
        <f t="shared" si="8"/>
        <v>-51.66666667</v>
      </c>
      <c r="N50" s="4">
        <f t="shared" si="9"/>
        <v>51.66666667</v>
      </c>
      <c r="O50" s="4">
        <f t="shared" si="1"/>
        <v>425.0459783</v>
      </c>
      <c r="P50" s="4">
        <f t="shared" si="2"/>
        <v>386.4732933</v>
      </c>
      <c r="Q50" s="4">
        <f t="shared" si="3"/>
        <v>405.5990773</v>
      </c>
      <c r="V50" s="4">
        <f t="shared" si="4"/>
        <v>161.0459783</v>
      </c>
      <c r="W50" s="4">
        <f t="shared" si="5"/>
        <v>122.4732933</v>
      </c>
      <c r="X50" s="4">
        <f t="shared" si="6"/>
        <v>141.5990773</v>
      </c>
    </row>
    <row r="51">
      <c r="A51" s="3">
        <v>40497.0</v>
      </c>
      <c r="B51" s="2">
        <v>461.0</v>
      </c>
      <c r="C51" s="2">
        <v>669.0</v>
      </c>
      <c r="D51" s="2">
        <v>1215.0</v>
      </c>
      <c r="E51" s="2">
        <v>286.0</v>
      </c>
      <c r="F51" s="2">
        <v>1263.0</v>
      </c>
      <c r="G51" s="2">
        <v>1791.0</v>
      </c>
      <c r="H51" s="2">
        <v>304.0</v>
      </c>
      <c r="I51" s="2">
        <v>1746.0</v>
      </c>
      <c r="J51" s="2">
        <v>699.0</v>
      </c>
      <c r="K51" s="2">
        <v>669.0</v>
      </c>
      <c r="L51" s="4">
        <f t="shared" si="7"/>
        <v>356.6666667</v>
      </c>
      <c r="M51" s="4">
        <f t="shared" si="8"/>
        <v>312.3333333</v>
      </c>
      <c r="N51" s="4">
        <f t="shared" si="9"/>
        <v>312.3333333</v>
      </c>
      <c r="O51" s="4">
        <f t="shared" si="1"/>
        <v>408.9413804</v>
      </c>
      <c r="P51" s="4">
        <f t="shared" si="2"/>
        <v>349.7313053</v>
      </c>
      <c r="Q51" s="4">
        <f t="shared" si="3"/>
        <v>334.7995387</v>
      </c>
      <c r="V51" s="4">
        <f t="shared" si="4"/>
        <v>260.0586196</v>
      </c>
      <c r="W51" s="4">
        <f t="shared" si="5"/>
        <v>319.2686947</v>
      </c>
      <c r="X51" s="4">
        <f t="shared" si="6"/>
        <v>334.2004613</v>
      </c>
    </row>
    <row r="52">
      <c r="A52" s="3">
        <v>40504.0</v>
      </c>
      <c r="B52" s="2">
        <v>493.0</v>
      </c>
      <c r="C52" s="2">
        <v>327.0</v>
      </c>
      <c r="D52" s="2">
        <v>1223.0</v>
      </c>
      <c r="E52" s="2">
        <v>67.0</v>
      </c>
      <c r="F52" s="2">
        <v>787.0</v>
      </c>
      <c r="G52" s="2">
        <v>1716.0</v>
      </c>
      <c r="H52" s="2">
        <v>343.0</v>
      </c>
      <c r="I52" s="2">
        <v>2207.0</v>
      </c>
      <c r="J52" s="2">
        <v>273.0</v>
      </c>
      <c r="K52" s="2">
        <v>327.0</v>
      </c>
      <c r="L52" s="4">
        <f t="shared" si="7"/>
        <v>487.6666667</v>
      </c>
      <c r="M52" s="4">
        <f t="shared" si="8"/>
        <v>-160.6666667</v>
      </c>
      <c r="N52" s="4">
        <f t="shared" si="9"/>
        <v>160.6666667</v>
      </c>
      <c r="O52" s="4">
        <f t="shared" si="1"/>
        <v>434.9472424</v>
      </c>
      <c r="P52" s="4">
        <f t="shared" si="2"/>
        <v>445.5119137</v>
      </c>
      <c r="Q52" s="4">
        <f t="shared" si="3"/>
        <v>501.8997693</v>
      </c>
      <c r="V52" s="4">
        <f t="shared" si="4"/>
        <v>107.9472424</v>
      </c>
      <c r="W52" s="4">
        <f t="shared" si="5"/>
        <v>118.5119137</v>
      </c>
      <c r="X52" s="4">
        <f t="shared" si="6"/>
        <v>174.8997693</v>
      </c>
    </row>
    <row r="53">
      <c r="A53" s="3">
        <v>40511.0</v>
      </c>
      <c r="B53" s="2">
        <v>928.0</v>
      </c>
      <c r="C53" s="2">
        <v>293.0</v>
      </c>
      <c r="D53" s="2">
        <v>1767.0</v>
      </c>
      <c r="E53" s="2">
        <v>69.0</v>
      </c>
      <c r="F53" s="2">
        <v>1192.0</v>
      </c>
      <c r="G53" s="2">
        <v>1149.0</v>
      </c>
      <c r="H53" s="2">
        <v>848.0</v>
      </c>
      <c r="I53" s="2">
        <v>683.0</v>
      </c>
      <c r="J53" s="2">
        <v>262.0</v>
      </c>
      <c r="K53" s="2">
        <v>293.0</v>
      </c>
      <c r="L53" s="4">
        <f t="shared" si="7"/>
        <v>420</v>
      </c>
      <c r="M53" s="4">
        <f t="shared" si="8"/>
        <v>-127</v>
      </c>
      <c r="N53" s="4">
        <f t="shared" si="9"/>
        <v>127</v>
      </c>
      <c r="O53" s="4">
        <f t="shared" si="1"/>
        <v>424.1525182</v>
      </c>
      <c r="P53" s="4">
        <f t="shared" si="2"/>
        <v>409.9583396</v>
      </c>
      <c r="Q53" s="4">
        <f t="shared" si="3"/>
        <v>414.4498847</v>
      </c>
      <c r="V53" s="4">
        <f t="shared" si="4"/>
        <v>131.1525182</v>
      </c>
      <c r="W53" s="4">
        <f t="shared" si="5"/>
        <v>116.9583396</v>
      </c>
      <c r="X53" s="4">
        <f t="shared" si="6"/>
        <v>121.4498847</v>
      </c>
    </row>
    <row r="54">
      <c r="A54" s="3">
        <v>40518.0</v>
      </c>
      <c r="B54" s="2">
        <v>850.0</v>
      </c>
      <c r="C54" s="2">
        <v>283.0</v>
      </c>
      <c r="D54" s="2">
        <v>852.0</v>
      </c>
      <c r="E54" s="2">
        <v>165.0</v>
      </c>
      <c r="F54" s="2">
        <v>789.0</v>
      </c>
      <c r="G54" s="2">
        <v>1054.0</v>
      </c>
      <c r="H54" s="2">
        <v>337.0</v>
      </c>
      <c r="I54" s="2">
        <v>1012.0</v>
      </c>
      <c r="J54" s="2">
        <v>270.0</v>
      </c>
      <c r="K54" s="2">
        <v>283.0</v>
      </c>
      <c r="L54" s="4">
        <f t="shared" si="7"/>
        <v>429.6666667</v>
      </c>
      <c r="M54" s="4">
        <f t="shared" si="8"/>
        <v>-146.6666667</v>
      </c>
      <c r="N54" s="4">
        <f t="shared" si="9"/>
        <v>146.6666667</v>
      </c>
      <c r="O54" s="4">
        <f t="shared" si="1"/>
        <v>411.0372663</v>
      </c>
      <c r="P54" s="4">
        <f t="shared" si="2"/>
        <v>374.8708377</v>
      </c>
      <c r="Q54" s="4">
        <f t="shared" si="3"/>
        <v>353.7249423</v>
      </c>
      <c r="V54" s="4">
        <f t="shared" si="4"/>
        <v>128.0372663</v>
      </c>
      <c r="W54" s="4">
        <f t="shared" si="5"/>
        <v>91.87083773</v>
      </c>
      <c r="X54" s="4">
        <f t="shared" si="6"/>
        <v>70.72494233</v>
      </c>
    </row>
    <row r="55">
      <c r="A55" s="3">
        <v>40525.0</v>
      </c>
      <c r="B55" s="2">
        <v>434.0</v>
      </c>
      <c r="C55" s="2">
        <v>187.0</v>
      </c>
      <c r="D55" s="2">
        <v>417.0</v>
      </c>
      <c r="E55" s="2">
        <v>29.0</v>
      </c>
      <c r="F55" s="2">
        <v>638.0</v>
      </c>
      <c r="G55" s="2">
        <v>597.0</v>
      </c>
      <c r="H55" s="2">
        <v>589.0</v>
      </c>
      <c r="I55" s="2">
        <v>981.0</v>
      </c>
      <c r="J55" s="2">
        <v>107.0</v>
      </c>
      <c r="K55" s="2">
        <v>187.0</v>
      </c>
      <c r="L55" s="4">
        <f t="shared" si="7"/>
        <v>301</v>
      </c>
      <c r="M55" s="4">
        <f t="shared" si="8"/>
        <v>-114</v>
      </c>
      <c r="N55" s="4">
        <f t="shared" si="9"/>
        <v>114</v>
      </c>
      <c r="O55" s="4">
        <f t="shared" si="1"/>
        <v>398.2335397</v>
      </c>
      <c r="P55" s="4">
        <f t="shared" si="2"/>
        <v>347.3095864</v>
      </c>
      <c r="Q55" s="4">
        <f t="shared" si="3"/>
        <v>318.3624712</v>
      </c>
      <c r="V55" s="4">
        <f t="shared" si="4"/>
        <v>211.2335397</v>
      </c>
      <c r="W55" s="4">
        <f t="shared" si="5"/>
        <v>160.3095864</v>
      </c>
      <c r="X55" s="4">
        <f t="shared" si="6"/>
        <v>131.3624712</v>
      </c>
    </row>
    <row r="56">
      <c r="A56" s="3">
        <v>40532.0</v>
      </c>
      <c r="B56" s="2">
        <v>177.0</v>
      </c>
      <c r="C56" s="2">
        <v>44.0</v>
      </c>
      <c r="D56" s="2">
        <v>180.0</v>
      </c>
      <c r="E56" s="2">
        <v>23.0</v>
      </c>
      <c r="F56" s="2">
        <v>40.0</v>
      </c>
      <c r="G56" s="2">
        <v>125.0</v>
      </c>
      <c r="H56" s="2">
        <v>60.0</v>
      </c>
      <c r="I56" s="2">
        <v>252.0</v>
      </c>
      <c r="J56" s="2">
        <v>9.0</v>
      </c>
      <c r="K56" s="2">
        <v>44.0</v>
      </c>
      <c r="L56" s="4">
        <f t="shared" si="7"/>
        <v>254.3333333</v>
      </c>
      <c r="M56" s="4">
        <f t="shared" si="8"/>
        <v>-210.3333333</v>
      </c>
      <c r="N56" s="4">
        <f t="shared" si="9"/>
        <v>210.3333333</v>
      </c>
      <c r="O56" s="4">
        <f t="shared" si="1"/>
        <v>377.1101857</v>
      </c>
      <c r="P56" s="4">
        <f t="shared" si="2"/>
        <v>299.2167105</v>
      </c>
      <c r="Q56" s="4">
        <f t="shared" si="3"/>
        <v>252.6812356</v>
      </c>
      <c r="V56" s="4">
        <f t="shared" si="4"/>
        <v>333.1101857</v>
      </c>
      <c r="W56" s="4">
        <f t="shared" si="5"/>
        <v>255.2167105</v>
      </c>
      <c r="X56" s="4">
        <f t="shared" si="6"/>
        <v>208.6812356</v>
      </c>
    </row>
    <row r="57">
      <c r="A57" s="3">
        <v>40539.0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f t="shared" si="7"/>
        <v>171.3333333</v>
      </c>
      <c r="M57" s="4">
        <f t="shared" si="8"/>
        <v>-171.3333333</v>
      </c>
      <c r="N57" s="4">
        <f t="shared" si="9"/>
        <v>171.3333333</v>
      </c>
      <c r="O57" s="4">
        <f t="shared" si="1"/>
        <v>343.7991672</v>
      </c>
      <c r="P57" s="4">
        <f t="shared" si="2"/>
        <v>222.6516973</v>
      </c>
      <c r="Q57" s="4">
        <f t="shared" si="3"/>
        <v>148.3406178</v>
      </c>
      <c r="V57" s="4">
        <f t="shared" si="4"/>
        <v>343.7991672</v>
      </c>
      <c r="W57" s="4">
        <f t="shared" si="5"/>
        <v>222.6516973</v>
      </c>
      <c r="X57" s="4">
        <f t="shared" si="6"/>
        <v>148.3406178</v>
      </c>
    </row>
    <row r="58">
      <c r="A58" s="3">
        <v>40546.0</v>
      </c>
      <c r="B58" s="2">
        <v>251.0</v>
      </c>
      <c r="C58" s="2">
        <v>362.0</v>
      </c>
      <c r="D58" s="2">
        <v>1274.0</v>
      </c>
      <c r="E58" s="2">
        <v>145.0</v>
      </c>
      <c r="F58" s="2">
        <v>480.0</v>
      </c>
      <c r="G58" s="2">
        <v>16.0</v>
      </c>
      <c r="H58" s="2">
        <v>861.0</v>
      </c>
      <c r="I58" s="2">
        <v>797.0</v>
      </c>
      <c r="J58" s="2">
        <v>523.0</v>
      </c>
      <c r="K58" s="2">
        <v>362.0</v>
      </c>
      <c r="L58" s="4">
        <f t="shared" si="7"/>
        <v>77</v>
      </c>
      <c r="M58" s="4">
        <f t="shared" si="8"/>
        <v>285</v>
      </c>
      <c r="N58" s="4">
        <f t="shared" si="9"/>
        <v>285</v>
      </c>
      <c r="O58" s="4">
        <f t="shared" si="1"/>
        <v>309.4192504</v>
      </c>
      <c r="P58" s="4">
        <f t="shared" si="2"/>
        <v>155.8561881</v>
      </c>
      <c r="Q58" s="4">
        <f t="shared" si="3"/>
        <v>74.1703089</v>
      </c>
      <c r="V58" s="4">
        <f t="shared" si="4"/>
        <v>52.58074956</v>
      </c>
      <c r="W58" s="4">
        <f t="shared" si="5"/>
        <v>206.1438119</v>
      </c>
      <c r="X58" s="4">
        <f t="shared" si="6"/>
        <v>287.8296911</v>
      </c>
    </row>
    <row r="59">
      <c r="A59" s="3">
        <v>40553.0</v>
      </c>
      <c r="B59" s="2">
        <v>404.0</v>
      </c>
      <c r="C59" s="2">
        <v>642.0</v>
      </c>
      <c r="D59" s="2">
        <v>225.0</v>
      </c>
      <c r="E59" s="2">
        <v>85.0</v>
      </c>
      <c r="F59" s="2">
        <v>442.0</v>
      </c>
      <c r="G59" s="2">
        <v>6.0</v>
      </c>
      <c r="H59" s="2">
        <v>175.0</v>
      </c>
      <c r="I59" s="2">
        <v>344.0</v>
      </c>
      <c r="J59" s="2">
        <v>323.0</v>
      </c>
      <c r="K59" s="2">
        <v>642.0</v>
      </c>
      <c r="L59" s="4">
        <f t="shared" si="7"/>
        <v>135.3333333</v>
      </c>
      <c r="M59" s="4">
        <f t="shared" si="8"/>
        <v>506.6666667</v>
      </c>
      <c r="N59" s="4">
        <f t="shared" si="9"/>
        <v>506.6666667</v>
      </c>
      <c r="O59" s="4">
        <f t="shared" si="1"/>
        <v>314.6773254</v>
      </c>
      <c r="P59" s="4">
        <f t="shared" si="2"/>
        <v>217.6993317</v>
      </c>
      <c r="Q59" s="4">
        <f t="shared" si="3"/>
        <v>218.0851544</v>
      </c>
      <c r="V59" s="4">
        <f t="shared" si="4"/>
        <v>327.3226746</v>
      </c>
      <c r="W59" s="4">
        <f t="shared" si="5"/>
        <v>424.3006683</v>
      </c>
      <c r="X59" s="4">
        <f t="shared" si="6"/>
        <v>423.9148456</v>
      </c>
    </row>
    <row r="60">
      <c r="A60" s="3">
        <v>40560.0</v>
      </c>
      <c r="B60" s="2">
        <v>138.0</v>
      </c>
      <c r="C60" s="2">
        <v>128.0</v>
      </c>
      <c r="D60" s="2">
        <v>594.0</v>
      </c>
      <c r="E60" s="2">
        <v>69.0</v>
      </c>
      <c r="F60" s="2">
        <v>139.0</v>
      </c>
      <c r="G60" s="2">
        <v>2.0</v>
      </c>
      <c r="H60" s="2">
        <v>165.0</v>
      </c>
      <c r="I60" s="2">
        <v>261.0</v>
      </c>
      <c r="J60" s="2">
        <v>73.0</v>
      </c>
      <c r="K60" s="2">
        <v>128.0</v>
      </c>
      <c r="L60" s="4">
        <f t="shared" si="7"/>
        <v>334.6666667</v>
      </c>
      <c r="M60" s="4">
        <f t="shared" si="8"/>
        <v>-206.6666667</v>
      </c>
      <c r="N60" s="4">
        <f t="shared" si="9"/>
        <v>206.6666667</v>
      </c>
      <c r="O60" s="4">
        <f t="shared" si="1"/>
        <v>347.4095929</v>
      </c>
      <c r="P60" s="4">
        <f t="shared" si="2"/>
        <v>344.9895322</v>
      </c>
      <c r="Q60" s="4">
        <f t="shared" si="3"/>
        <v>430.0425772</v>
      </c>
      <c r="V60" s="4">
        <f t="shared" si="4"/>
        <v>219.4095929</v>
      </c>
      <c r="W60" s="4">
        <f t="shared" si="5"/>
        <v>216.9895322</v>
      </c>
      <c r="X60" s="4">
        <f t="shared" si="6"/>
        <v>302.0425772</v>
      </c>
    </row>
    <row r="61">
      <c r="A61" s="3">
        <v>40567.0</v>
      </c>
      <c r="B61" s="2">
        <v>228.0</v>
      </c>
      <c r="C61" s="2">
        <v>171.0</v>
      </c>
      <c r="D61" s="2">
        <v>502.0</v>
      </c>
      <c r="E61" s="2">
        <v>171.0</v>
      </c>
      <c r="F61" s="2">
        <v>344.0</v>
      </c>
      <c r="G61" s="2">
        <v>0.0</v>
      </c>
      <c r="H61" s="2">
        <v>105.0</v>
      </c>
      <c r="I61" s="2">
        <v>351.0</v>
      </c>
      <c r="J61" s="2">
        <v>199.0</v>
      </c>
      <c r="K61" s="2">
        <v>171.0</v>
      </c>
      <c r="L61" s="4">
        <f t="shared" si="7"/>
        <v>377.3333333</v>
      </c>
      <c r="M61" s="4">
        <f t="shared" si="8"/>
        <v>-206.3333333</v>
      </c>
      <c r="N61" s="4">
        <f t="shared" si="9"/>
        <v>206.3333333</v>
      </c>
      <c r="O61" s="4">
        <f t="shared" si="1"/>
        <v>325.4686336</v>
      </c>
      <c r="P61" s="4">
        <f t="shared" si="2"/>
        <v>279.8926725</v>
      </c>
      <c r="Q61" s="4">
        <f t="shared" si="3"/>
        <v>279.0212886</v>
      </c>
      <c r="V61" s="4">
        <f t="shared" si="4"/>
        <v>154.4686336</v>
      </c>
      <c r="W61" s="4">
        <f t="shared" si="5"/>
        <v>108.8926725</v>
      </c>
      <c r="X61" s="4">
        <f t="shared" si="6"/>
        <v>108.0212886</v>
      </c>
    </row>
    <row r="62">
      <c r="A62" s="3">
        <v>40574.0</v>
      </c>
      <c r="B62" s="2">
        <v>149.0</v>
      </c>
      <c r="C62" s="2">
        <v>417.0</v>
      </c>
      <c r="D62" s="2">
        <v>965.0</v>
      </c>
      <c r="E62" s="2">
        <v>232.0</v>
      </c>
      <c r="F62" s="2">
        <v>937.0</v>
      </c>
      <c r="G62" s="2">
        <v>0.0</v>
      </c>
      <c r="H62" s="2">
        <v>99.0</v>
      </c>
      <c r="I62" s="2">
        <v>107.0</v>
      </c>
      <c r="J62" s="2">
        <v>225.0</v>
      </c>
      <c r="K62" s="2">
        <v>417.0</v>
      </c>
      <c r="L62" s="4">
        <f t="shared" si="7"/>
        <v>313.6666667</v>
      </c>
      <c r="M62" s="4">
        <f t="shared" si="8"/>
        <v>103.3333333</v>
      </c>
      <c r="N62" s="4">
        <f t="shared" si="9"/>
        <v>103.3333333</v>
      </c>
      <c r="O62" s="4">
        <f t="shared" si="1"/>
        <v>310.0217702</v>
      </c>
      <c r="P62" s="4">
        <f t="shared" si="2"/>
        <v>247.2248708</v>
      </c>
      <c r="Q62" s="4">
        <f t="shared" si="3"/>
        <v>225.0106443</v>
      </c>
      <c r="V62" s="4">
        <f t="shared" si="4"/>
        <v>106.9782298</v>
      </c>
      <c r="W62" s="4">
        <f t="shared" si="5"/>
        <v>169.7751292</v>
      </c>
      <c r="X62" s="4">
        <f t="shared" si="6"/>
        <v>191.9893557</v>
      </c>
    </row>
    <row r="63">
      <c r="A63" s="3">
        <v>40581.0</v>
      </c>
      <c r="B63" s="2">
        <v>137.0</v>
      </c>
      <c r="C63" s="2">
        <v>255.0</v>
      </c>
      <c r="D63" s="2">
        <v>288.0</v>
      </c>
      <c r="E63" s="2">
        <v>291.0</v>
      </c>
      <c r="F63" s="2">
        <v>160.0</v>
      </c>
      <c r="G63" s="2">
        <v>0.0</v>
      </c>
      <c r="H63" s="2">
        <v>192.0</v>
      </c>
      <c r="I63" s="2">
        <v>239.0</v>
      </c>
      <c r="J63" s="2">
        <v>95.0</v>
      </c>
      <c r="K63" s="2">
        <v>255.0</v>
      </c>
      <c r="L63" s="4">
        <f t="shared" si="7"/>
        <v>238.6666667</v>
      </c>
      <c r="M63" s="4">
        <f t="shared" si="8"/>
        <v>16.33333333</v>
      </c>
      <c r="N63" s="4">
        <f t="shared" si="9"/>
        <v>16.33333333</v>
      </c>
      <c r="O63" s="4">
        <f t="shared" si="1"/>
        <v>320.7195932</v>
      </c>
      <c r="P63" s="4">
        <f t="shared" si="2"/>
        <v>298.1574095</v>
      </c>
      <c r="Q63" s="4">
        <f t="shared" si="3"/>
        <v>321.0053222</v>
      </c>
      <c r="V63" s="4">
        <f t="shared" si="4"/>
        <v>65.71959319</v>
      </c>
      <c r="W63" s="4">
        <f t="shared" si="5"/>
        <v>43.15740954</v>
      </c>
      <c r="X63" s="4">
        <f t="shared" si="6"/>
        <v>66.00532215</v>
      </c>
    </row>
    <row r="64">
      <c r="A64" s="3">
        <v>40588.0</v>
      </c>
      <c r="B64" s="2">
        <v>399.0</v>
      </c>
      <c r="C64" s="2">
        <v>291.0</v>
      </c>
      <c r="D64" s="2">
        <v>985.0</v>
      </c>
      <c r="E64" s="2">
        <v>189.0</v>
      </c>
      <c r="F64" s="2">
        <v>588.0</v>
      </c>
      <c r="G64" s="2">
        <v>2.0</v>
      </c>
      <c r="H64" s="2">
        <v>305.0</v>
      </c>
      <c r="I64" s="2">
        <v>1040.0</v>
      </c>
      <c r="J64" s="2">
        <v>409.0</v>
      </c>
      <c r="K64" s="2">
        <v>291.0</v>
      </c>
      <c r="L64" s="4">
        <f t="shared" si="7"/>
        <v>281</v>
      </c>
      <c r="M64" s="4">
        <f t="shared" si="8"/>
        <v>10</v>
      </c>
      <c r="N64" s="4">
        <f t="shared" si="9"/>
        <v>10</v>
      </c>
      <c r="O64" s="4">
        <f t="shared" si="1"/>
        <v>314.1476339</v>
      </c>
      <c r="P64" s="4">
        <f t="shared" si="2"/>
        <v>285.2101867</v>
      </c>
      <c r="Q64" s="4">
        <f t="shared" si="3"/>
        <v>288.0026611</v>
      </c>
      <c r="V64" s="4">
        <f t="shared" si="4"/>
        <v>23.14763387</v>
      </c>
      <c r="W64" s="4">
        <f t="shared" si="5"/>
        <v>5.789813322</v>
      </c>
      <c r="X64" s="4">
        <f t="shared" si="6"/>
        <v>2.997338924</v>
      </c>
    </row>
    <row r="65">
      <c r="A65" s="3">
        <v>40595.0</v>
      </c>
      <c r="B65" s="2">
        <v>203.0</v>
      </c>
      <c r="C65" s="2">
        <v>369.0</v>
      </c>
      <c r="D65" s="2">
        <v>810.0</v>
      </c>
      <c r="E65" s="2">
        <v>157.0</v>
      </c>
      <c r="F65" s="2">
        <v>328.0</v>
      </c>
      <c r="G65" s="2">
        <v>2.0</v>
      </c>
      <c r="H65" s="2">
        <v>75.0</v>
      </c>
      <c r="I65" s="2">
        <v>1312.0</v>
      </c>
      <c r="J65" s="2">
        <v>260.0</v>
      </c>
      <c r="K65" s="2">
        <v>369.0</v>
      </c>
      <c r="L65" s="4">
        <f t="shared" si="7"/>
        <v>321</v>
      </c>
      <c r="M65" s="4">
        <f t="shared" si="8"/>
        <v>48</v>
      </c>
      <c r="N65" s="4">
        <f t="shared" si="9"/>
        <v>48</v>
      </c>
      <c r="O65" s="4">
        <f t="shared" si="1"/>
        <v>311.8328705</v>
      </c>
      <c r="P65" s="4">
        <f t="shared" si="2"/>
        <v>286.9471307</v>
      </c>
      <c r="Q65" s="4">
        <f t="shared" si="3"/>
        <v>289.5013305</v>
      </c>
      <c r="V65" s="4">
        <f t="shared" si="4"/>
        <v>57.16712951</v>
      </c>
      <c r="W65" s="4">
        <f t="shared" si="5"/>
        <v>82.05286933</v>
      </c>
      <c r="X65" s="4">
        <f t="shared" si="6"/>
        <v>79.49866946</v>
      </c>
    </row>
    <row r="66">
      <c r="A66" s="3">
        <v>40602.0</v>
      </c>
      <c r="B66" s="2">
        <v>348.0</v>
      </c>
      <c r="C66" s="2">
        <v>175.0</v>
      </c>
      <c r="D66" s="2">
        <v>624.0</v>
      </c>
      <c r="E66" s="2">
        <v>255.0</v>
      </c>
      <c r="F66" s="2">
        <v>213.0</v>
      </c>
      <c r="G66" s="2">
        <v>45.0</v>
      </c>
      <c r="H66" s="2">
        <v>39.0</v>
      </c>
      <c r="I66" s="2">
        <v>370.0</v>
      </c>
      <c r="J66" s="2">
        <v>174.0</v>
      </c>
      <c r="K66" s="2">
        <v>175.0</v>
      </c>
      <c r="L66" s="4">
        <f t="shared" si="7"/>
        <v>305</v>
      </c>
      <c r="M66" s="4">
        <f t="shared" si="8"/>
        <v>-130</v>
      </c>
      <c r="N66" s="4">
        <f t="shared" si="9"/>
        <v>130</v>
      </c>
      <c r="O66" s="4">
        <f t="shared" si="1"/>
        <v>317.5495834</v>
      </c>
      <c r="P66" s="4">
        <f t="shared" si="2"/>
        <v>311.5629915</v>
      </c>
      <c r="Q66" s="4">
        <f t="shared" si="3"/>
        <v>329.2506653</v>
      </c>
      <c r="V66" s="4">
        <f t="shared" si="4"/>
        <v>142.5495834</v>
      </c>
      <c r="W66" s="4">
        <f t="shared" si="5"/>
        <v>136.5629915</v>
      </c>
      <c r="X66" s="4">
        <f t="shared" si="6"/>
        <v>154.2506653</v>
      </c>
    </row>
    <row r="67">
      <c r="A67" s="3">
        <v>40609.0</v>
      </c>
      <c r="B67" s="2">
        <v>190.0</v>
      </c>
      <c r="C67" s="2">
        <v>148.0</v>
      </c>
      <c r="D67" s="2">
        <v>738.0</v>
      </c>
      <c r="E67" s="2">
        <v>205.0</v>
      </c>
      <c r="F67" s="2">
        <v>642.0</v>
      </c>
      <c r="G67" s="2">
        <v>1.0</v>
      </c>
      <c r="H67" s="2">
        <v>270.0</v>
      </c>
      <c r="I67" s="2">
        <v>779.0</v>
      </c>
      <c r="J67" s="2">
        <v>374.0</v>
      </c>
      <c r="K67" s="2">
        <v>148.0</v>
      </c>
      <c r="L67" s="4">
        <f t="shared" si="7"/>
        <v>278.3333333</v>
      </c>
      <c r="M67" s="4">
        <f t="shared" si="8"/>
        <v>-130.3333333</v>
      </c>
      <c r="N67" s="4">
        <f t="shared" si="9"/>
        <v>130.3333333</v>
      </c>
      <c r="O67" s="4">
        <f t="shared" si="1"/>
        <v>303.2946251</v>
      </c>
      <c r="P67" s="4">
        <f t="shared" si="2"/>
        <v>270.594094</v>
      </c>
      <c r="Q67" s="4">
        <f t="shared" si="3"/>
        <v>252.1253326</v>
      </c>
      <c r="V67" s="4">
        <f t="shared" si="4"/>
        <v>155.2946251</v>
      </c>
      <c r="W67" s="4">
        <f t="shared" si="5"/>
        <v>122.594094</v>
      </c>
      <c r="X67" s="4">
        <f t="shared" si="6"/>
        <v>104.1253326</v>
      </c>
    </row>
    <row r="68">
      <c r="A68" s="3">
        <v>40616.0</v>
      </c>
      <c r="B68" s="2">
        <v>308.0</v>
      </c>
      <c r="C68" s="2">
        <v>278.0</v>
      </c>
      <c r="D68" s="2">
        <v>1546.0</v>
      </c>
      <c r="E68" s="2">
        <v>606.0</v>
      </c>
      <c r="F68" s="2">
        <v>963.0</v>
      </c>
      <c r="G68" s="2">
        <v>0.0</v>
      </c>
      <c r="H68" s="2">
        <v>108.0</v>
      </c>
      <c r="I68" s="2">
        <v>583.0</v>
      </c>
      <c r="J68" s="2">
        <v>1083.0</v>
      </c>
      <c r="K68" s="2">
        <v>278.0</v>
      </c>
      <c r="L68" s="4">
        <f t="shared" si="7"/>
        <v>230.6666667</v>
      </c>
      <c r="M68" s="4">
        <f t="shared" si="8"/>
        <v>47.33333333</v>
      </c>
      <c r="N68" s="4">
        <f t="shared" si="9"/>
        <v>47.33333333</v>
      </c>
      <c r="O68" s="4">
        <f t="shared" si="1"/>
        <v>287.7651626</v>
      </c>
      <c r="P68" s="4">
        <f t="shared" si="2"/>
        <v>233.8158658</v>
      </c>
      <c r="Q68" s="4">
        <f t="shared" si="3"/>
        <v>200.0626663</v>
      </c>
      <c r="V68" s="4">
        <f t="shared" si="4"/>
        <v>9.765162585</v>
      </c>
      <c r="W68" s="4">
        <f t="shared" si="5"/>
        <v>44.18413418</v>
      </c>
      <c r="X68" s="4">
        <f t="shared" si="6"/>
        <v>77.93733368</v>
      </c>
    </row>
    <row r="69">
      <c r="A69" s="3">
        <v>40623.0</v>
      </c>
      <c r="B69" s="2">
        <v>327.0</v>
      </c>
      <c r="C69" s="2">
        <v>379.0</v>
      </c>
      <c r="D69" s="2">
        <v>1379.0</v>
      </c>
      <c r="E69" s="2">
        <v>325.0</v>
      </c>
      <c r="F69" s="2">
        <v>391.0</v>
      </c>
      <c r="G69" s="2">
        <v>42.0</v>
      </c>
      <c r="H69" s="2">
        <v>22.0</v>
      </c>
      <c r="I69" s="2">
        <v>237.0</v>
      </c>
      <c r="J69" s="2">
        <v>586.0</v>
      </c>
      <c r="K69" s="2">
        <v>379.0</v>
      </c>
      <c r="L69" s="4">
        <f t="shared" si="7"/>
        <v>200.3333333</v>
      </c>
      <c r="M69" s="4">
        <f t="shared" si="8"/>
        <v>178.6666667</v>
      </c>
      <c r="N69" s="4">
        <f t="shared" si="9"/>
        <v>178.6666667</v>
      </c>
      <c r="O69" s="4">
        <f t="shared" si="1"/>
        <v>286.7886463</v>
      </c>
      <c r="P69" s="4">
        <f t="shared" si="2"/>
        <v>247.0711061</v>
      </c>
      <c r="Q69" s="4">
        <f t="shared" si="3"/>
        <v>239.0313332</v>
      </c>
      <c r="V69" s="4">
        <f t="shared" si="4"/>
        <v>92.21135367</v>
      </c>
      <c r="W69" s="4">
        <f t="shared" si="5"/>
        <v>131.9288939</v>
      </c>
      <c r="X69" s="4">
        <f t="shared" si="6"/>
        <v>139.9686668</v>
      </c>
    </row>
    <row r="70">
      <c r="A70" s="3">
        <v>40630.0</v>
      </c>
      <c r="B70" s="2">
        <v>282.0</v>
      </c>
      <c r="C70" s="2">
        <v>587.0</v>
      </c>
      <c r="D70" s="2">
        <v>1103.0</v>
      </c>
      <c r="E70" s="2">
        <v>368.0</v>
      </c>
      <c r="F70" s="2">
        <v>585.0</v>
      </c>
      <c r="G70" s="2">
        <v>3.0</v>
      </c>
      <c r="H70" s="2">
        <v>85.0</v>
      </c>
      <c r="I70" s="2">
        <v>1030.0</v>
      </c>
      <c r="J70" s="2">
        <v>665.0</v>
      </c>
      <c r="K70" s="2">
        <v>587.0</v>
      </c>
      <c r="L70" s="4">
        <f t="shared" si="7"/>
        <v>268.3333333</v>
      </c>
      <c r="M70" s="4">
        <f t="shared" si="8"/>
        <v>318.6666667</v>
      </c>
      <c r="N70" s="4">
        <f t="shared" si="9"/>
        <v>318.6666667</v>
      </c>
      <c r="O70" s="4">
        <f t="shared" si="1"/>
        <v>296.0097817</v>
      </c>
      <c r="P70" s="4">
        <f t="shared" si="2"/>
        <v>286.6497743</v>
      </c>
      <c r="Q70" s="4">
        <f t="shared" si="3"/>
        <v>309.0156666</v>
      </c>
      <c r="V70" s="4">
        <f t="shared" si="4"/>
        <v>290.9902183</v>
      </c>
      <c r="W70" s="4">
        <f t="shared" si="5"/>
        <v>300.3502257</v>
      </c>
      <c r="X70" s="4">
        <f t="shared" si="6"/>
        <v>277.9843334</v>
      </c>
    </row>
    <row r="71">
      <c r="A71" s="3">
        <v>40637.0</v>
      </c>
      <c r="B71" s="2">
        <v>274.0</v>
      </c>
      <c r="C71" s="2">
        <v>247.0</v>
      </c>
      <c r="D71" s="2">
        <v>975.0</v>
      </c>
      <c r="E71" s="2">
        <v>460.0</v>
      </c>
      <c r="F71" s="2">
        <v>753.0</v>
      </c>
      <c r="G71" s="2">
        <v>9.0</v>
      </c>
      <c r="H71" s="2">
        <v>14.0</v>
      </c>
      <c r="I71" s="2">
        <v>564.0</v>
      </c>
      <c r="J71" s="2">
        <v>125.0</v>
      </c>
      <c r="K71" s="2">
        <v>247.0</v>
      </c>
      <c r="L71" s="4">
        <f t="shared" si="7"/>
        <v>414.6666667</v>
      </c>
      <c r="M71" s="4">
        <f t="shared" si="8"/>
        <v>-167.6666667</v>
      </c>
      <c r="N71" s="4">
        <f t="shared" si="9"/>
        <v>167.6666667</v>
      </c>
      <c r="O71" s="4">
        <f t="shared" si="1"/>
        <v>325.1088035</v>
      </c>
      <c r="P71" s="4">
        <f t="shared" si="2"/>
        <v>376.754842</v>
      </c>
      <c r="Q71" s="4">
        <f t="shared" si="3"/>
        <v>448.0078333</v>
      </c>
      <c r="V71" s="4">
        <f t="shared" si="4"/>
        <v>78.10880352</v>
      </c>
      <c r="W71" s="4">
        <f t="shared" si="5"/>
        <v>129.754842</v>
      </c>
      <c r="X71" s="4">
        <f t="shared" si="6"/>
        <v>201.0078333</v>
      </c>
    </row>
    <row r="72">
      <c r="A72" s="3">
        <v>40644.0</v>
      </c>
      <c r="B72" s="2">
        <v>362.0</v>
      </c>
      <c r="C72" s="2">
        <v>305.0</v>
      </c>
      <c r="D72" s="2">
        <v>616.0</v>
      </c>
      <c r="E72" s="2">
        <v>542.0</v>
      </c>
      <c r="F72" s="2">
        <v>815.0</v>
      </c>
      <c r="G72" s="2">
        <v>0.0</v>
      </c>
      <c r="H72" s="2">
        <v>5.0</v>
      </c>
      <c r="I72" s="2">
        <v>784.0</v>
      </c>
      <c r="J72" s="2">
        <v>119.0</v>
      </c>
      <c r="K72" s="2">
        <v>305.0</v>
      </c>
      <c r="L72" s="4">
        <f t="shared" si="7"/>
        <v>404.3333333</v>
      </c>
      <c r="M72" s="4">
        <f t="shared" si="8"/>
        <v>-99.33333333</v>
      </c>
      <c r="N72" s="4">
        <f t="shared" si="9"/>
        <v>99.33333333</v>
      </c>
      <c r="O72" s="4">
        <f t="shared" si="1"/>
        <v>317.2979232</v>
      </c>
      <c r="P72" s="4">
        <f t="shared" si="2"/>
        <v>337.8283894</v>
      </c>
      <c r="Q72" s="4">
        <f t="shared" si="3"/>
        <v>347.5039166</v>
      </c>
      <c r="V72" s="4">
        <f t="shared" si="4"/>
        <v>12.29792317</v>
      </c>
      <c r="W72" s="4">
        <f t="shared" si="5"/>
        <v>32.82838938</v>
      </c>
      <c r="X72" s="4">
        <f t="shared" si="6"/>
        <v>42.50391664</v>
      </c>
    </row>
    <row r="73">
      <c r="A73" s="3">
        <v>40651.0</v>
      </c>
      <c r="B73" s="2">
        <v>186.0</v>
      </c>
      <c r="C73" s="2">
        <v>368.0</v>
      </c>
      <c r="D73" s="2">
        <v>549.0</v>
      </c>
      <c r="E73" s="2">
        <v>548.0</v>
      </c>
      <c r="F73" s="2">
        <v>612.0</v>
      </c>
      <c r="G73" s="2">
        <v>1.0</v>
      </c>
      <c r="H73" s="2">
        <v>4.0</v>
      </c>
      <c r="I73" s="2">
        <v>232.0</v>
      </c>
      <c r="J73" s="2">
        <v>155.0</v>
      </c>
      <c r="K73" s="2">
        <v>368.0</v>
      </c>
      <c r="L73" s="4">
        <f t="shared" si="7"/>
        <v>379.6666667</v>
      </c>
      <c r="M73" s="4">
        <f t="shared" si="8"/>
        <v>-11.66666667</v>
      </c>
      <c r="N73" s="4">
        <f t="shared" si="9"/>
        <v>11.66666667</v>
      </c>
      <c r="O73" s="4">
        <f t="shared" si="1"/>
        <v>316.0681309</v>
      </c>
      <c r="P73" s="4">
        <f t="shared" si="2"/>
        <v>327.9798726</v>
      </c>
      <c r="Q73" s="4">
        <f t="shared" si="3"/>
        <v>326.2519583</v>
      </c>
      <c r="V73" s="4">
        <f t="shared" si="4"/>
        <v>51.93186914</v>
      </c>
      <c r="W73" s="4">
        <f t="shared" si="5"/>
        <v>40.02012743</v>
      </c>
      <c r="X73" s="4">
        <f t="shared" si="6"/>
        <v>41.74804168</v>
      </c>
    </row>
    <row r="74">
      <c r="A74" s="3">
        <v>40658.0</v>
      </c>
      <c r="B74" s="2">
        <v>175.0</v>
      </c>
      <c r="C74" s="2">
        <v>164.0</v>
      </c>
      <c r="D74" s="2">
        <v>385.0</v>
      </c>
      <c r="E74" s="2">
        <v>276.0</v>
      </c>
      <c r="F74" s="2">
        <v>264.0</v>
      </c>
      <c r="G74" s="2">
        <v>0.0</v>
      </c>
      <c r="H74" s="2">
        <v>5.0</v>
      </c>
      <c r="I74" s="2">
        <v>310.0</v>
      </c>
      <c r="J74" s="2">
        <v>282.0</v>
      </c>
      <c r="K74" s="2">
        <v>164.0</v>
      </c>
      <c r="L74" s="4">
        <f t="shared" si="7"/>
        <v>306.6666667</v>
      </c>
      <c r="M74" s="4">
        <f t="shared" si="8"/>
        <v>-142.6666667</v>
      </c>
      <c r="N74" s="4">
        <f t="shared" si="9"/>
        <v>142.6666667</v>
      </c>
      <c r="O74" s="4">
        <f t="shared" si="1"/>
        <v>321.2613178</v>
      </c>
      <c r="P74" s="4">
        <f t="shared" si="2"/>
        <v>339.9859108</v>
      </c>
      <c r="Q74" s="4">
        <f t="shared" si="3"/>
        <v>347.1259792</v>
      </c>
      <c r="V74" s="4">
        <f t="shared" si="4"/>
        <v>157.2613178</v>
      </c>
      <c r="W74" s="4">
        <f t="shared" si="5"/>
        <v>175.9859108</v>
      </c>
      <c r="X74" s="4">
        <f t="shared" si="6"/>
        <v>183.1259792</v>
      </c>
    </row>
    <row r="75">
      <c r="A75" s="3">
        <v>40665.0</v>
      </c>
      <c r="B75" s="2">
        <v>171.0</v>
      </c>
      <c r="C75" s="2">
        <v>289.0</v>
      </c>
      <c r="D75" s="2">
        <v>380.0</v>
      </c>
      <c r="E75" s="2">
        <v>984.0</v>
      </c>
      <c r="F75" s="2">
        <v>594.0</v>
      </c>
      <c r="G75" s="2">
        <v>4.0</v>
      </c>
      <c r="H75" s="2">
        <v>109.0</v>
      </c>
      <c r="I75" s="2">
        <v>372.0</v>
      </c>
      <c r="J75" s="2">
        <v>154.0</v>
      </c>
      <c r="K75" s="2">
        <v>289.0</v>
      </c>
      <c r="L75" s="4">
        <f t="shared" si="7"/>
        <v>279</v>
      </c>
      <c r="M75" s="4">
        <f t="shared" si="8"/>
        <v>10</v>
      </c>
      <c r="N75" s="4">
        <f t="shared" si="9"/>
        <v>10</v>
      </c>
      <c r="O75" s="4">
        <f t="shared" si="1"/>
        <v>305.535186</v>
      </c>
      <c r="P75" s="4">
        <f t="shared" si="2"/>
        <v>287.1901376</v>
      </c>
      <c r="Q75" s="4">
        <f t="shared" si="3"/>
        <v>255.5629896</v>
      </c>
      <c r="V75" s="4">
        <f t="shared" si="4"/>
        <v>16.53518599</v>
      </c>
      <c r="W75" s="4">
        <f t="shared" si="5"/>
        <v>1.809862441</v>
      </c>
      <c r="X75" s="4">
        <f t="shared" si="6"/>
        <v>33.43701042</v>
      </c>
    </row>
    <row r="76">
      <c r="A76" s="3">
        <v>40672.0</v>
      </c>
      <c r="B76" s="2">
        <v>366.0</v>
      </c>
      <c r="C76" s="2">
        <v>885.0</v>
      </c>
      <c r="D76" s="2">
        <v>1206.0</v>
      </c>
      <c r="E76" s="2">
        <v>752.0</v>
      </c>
      <c r="F76" s="2">
        <v>1201.0</v>
      </c>
      <c r="G76" s="2">
        <v>13.0</v>
      </c>
      <c r="H76" s="2">
        <v>187.0</v>
      </c>
      <c r="I76" s="2">
        <v>381.0</v>
      </c>
      <c r="J76" s="2">
        <v>401.0</v>
      </c>
      <c r="K76" s="2">
        <v>885.0</v>
      </c>
      <c r="L76" s="4">
        <f t="shared" si="7"/>
        <v>273.6666667</v>
      </c>
      <c r="M76" s="4">
        <f t="shared" si="8"/>
        <v>611.3333333</v>
      </c>
      <c r="N76" s="4">
        <f t="shared" si="9"/>
        <v>611.3333333</v>
      </c>
      <c r="O76" s="4">
        <f t="shared" si="1"/>
        <v>303.8816674</v>
      </c>
      <c r="P76" s="4">
        <f t="shared" si="2"/>
        <v>287.7330963</v>
      </c>
      <c r="Q76" s="4">
        <f t="shared" si="3"/>
        <v>272.2814948</v>
      </c>
      <c r="V76" s="4">
        <f t="shared" si="4"/>
        <v>581.1183326</v>
      </c>
      <c r="W76" s="4">
        <f t="shared" si="5"/>
        <v>597.2669037</v>
      </c>
      <c r="X76" s="4">
        <f t="shared" si="6"/>
        <v>612.7185052</v>
      </c>
    </row>
    <row r="77">
      <c r="A77" s="3">
        <v>40679.0</v>
      </c>
      <c r="B77" s="2">
        <v>305.0</v>
      </c>
      <c r="C77" s="2">
        <v>445.0</v>
      </c>
      <c r="D77" s="2">
        <v>978.0</v>
      </c>
      <c r="E77" s="2">
        <v>754.0</v>
      </c>
      <c r="F77" s="2">
        <v>595.0</v>
      </c>
      <c r="G77" s="2">
        <v>0.0</v>
      </c>
      <c r="H77" s="2">
        <v>44.0</v>
      </c>
      <c r="I77" s="2">
        <v>1300.0</v>
      </c>
      <c r="J77" s="2">
        <v>169.0</v>
      </c>
      <c r="K77" s="2">
        <v>445.0</v>
      </c>
      <c r="L77" s="4">
        <f t="shared" si="7"/>
        <v>446</v>
      </c>
      <c r="M77" s="4">
        <f t="shared" si="8"/>
        <v>-1</v>
      </c>
      <c r="N77" s="4">
        <f t="shared" si="9"/>
        <v>1</v>
      </c>
      <c r="O77" s="4">
        <f t="shared" si="1"/>
        <v>361.9935007</v>
      </c>
      <c r="P77" s="4">
        <f t="shared" si="2"/>
        <v>466.9131674</v>
      </c>
      <c r="Q77" s="4">
        <f t="shared" si="3"/>
        <v>578.6407474</v>
      </c>
      <c r="V77" s="4">
        <f t="shared" si="4"/>
        <v>83.00649935</v>
      </c>
      <c r="W77" s="4">
        <f t="shared" si="5"/>
        <v>21.9131674</v>
      </c>
      <c r="X77" s="4">
        <f t="shared" si="6"/>
        <v>133.6407474</v>
      </c>
    </row>
    <row r="78">
      <c r="A78" s="3">
        <v>40686.0</v>
      </c>
      <c r="B78" s="2">
        <v>169.0</v>
      </c>
      <c r="C78" s="2">
        <v>684.0</v>
      </c>
      <c r="D78" s="2">
        <v>933.0</v>
      </c>
      <c r="E78" s="2">
        <v>839.0</v>
      </c>
      <c r="F78" s="2">
        <v>565.0</v>
      </c>
      <c r="G78" s="2">
        <v>0.0</v>
      </c>
      <c r="H78" s="2">
        <v>72.0</v>
      </c>
      <c r="I78" s="2">
        <v>4562.0</v>
      </c>
      <c r="J78" s="2">
        <v>558.0</v>
      </c>
      <c r="K78" s="2">
        <v>684.0</v>
      </c>
      <c r="L78" s="4">
        <f t="shared" si="7"/>
        <v>539.6666667</v>
      </c>
      <c r="M78" s="4">
        <f t="shared" si="8"/>
        <v>144.3333333</v>
      </c>
      <c r="N78" s="4">
        <f t="shared" si="9"/>
        <v>144.3333333</v>
      </c>
      <c r="O78" s="4">
        <f t="shared" si="1"/>
        <v>370.2941506</v>
      </c>
      <c r="P78" s="4">
        <f t="shared" si="2"/>
        <v>460.3392172</v>
      </c>
      <c r="Q78" s="4">
        <f t="shared" si="3"/>
        <v>511.8203737</v>
      </c>
      <c r="V78" s="4">
        <f t="shared" si="4"/>
        <v>313.7058494</v>
      </c>
      <c r="W78" s="4">
        <f t="shared" si="5"/>
        <v>223.6607828</v>
      </c>
      <c r="X78" s="4">
        <f t="shared" si="6"/>
        <v>172.1796263</v>
      </c>
    </row>
    <row r="79">
      <c r="A79" s="3">
        <v>40693.0</v>
      </c>
      <c r="B79" s="2">
        <v>263.0</v>
      </c>
      <c r="C79" s="2">
        <v>184.0</v>
      </c>
      <c r="D79" s="2">
        <v>273.0</v>
      </c>
      <c r="E79" s="2">
        <v>434.0</v>
      </c>
      <c r="F79" s="2">
        <v>384.0</v>
      </c>
      <c r="G79" s="2">
        <v>0.0</v>
      </c>
      <c r="H79" s="2">
        <v>27.0</v>
      </c>
      <c r="I79" s="2">
        <v>533.0</v>
      </c>
      <c r="J79" s="2">
        <v>410.0</v>
      </c>
      <c r="K79" s="2">
        <v>184.0</v>
      </c>
      <c r="L79" s="4">
        <f t="shared" si="7"/>
        <v>671.3333333</v>
      </c>
      <c r="M79" s="4">
        <f t="shared" si="8"/>
        <v>-487.3333333</v>
      </c>
      <c r="N79" s="4">
        <f t="shared" si="9"/>
        <v>487.3333333</v>
      </c>
      <c r="O79" s="4">
        <f t="shared" si="1"/>
        <v>401.6647355</v>
      </c>
      <c r="P79" s="4">
        <f t="shared" si="2"/>
        <v>527.437452</v>
      </c>
      <c r="Q79" s="4">
        <f t="shared" si="3"/>
        <v>597.9101868</v>
      </c>
      <c r="V79" s="4">
        <f t="shared" si="4"/>
        <v>217.6647355</v>
      </c>
      <c r="W79" s="4">
        <f t="shared" si="5"/>
        <v>343.437452</v>
      </c>
      <c r="X79" s="4">
        <f t="shared" si="6"/>
        <v>413.9101868</v>
      </c>
    </row>
    <row r="80">
      <c r="A80" s="3">
        <v>40700.0</v>
      </c>
      <c r="B80" s="2">
        <v>207.0</v>
      </c>
      <c r="C80" s="2">
        <v>585.0</v>
      </c>
      <c r="D80" s="2">
        <v>883.0</v>
      </c>
      <c r="E80" s="2">
        <v>651.0</v>
      </c>
      <c r="F80" s="2">
        <v>292.0</v>
      </c>
      <c r="G80" s="2">
        <v>2.0</v>
      </c>
      <c r="H80" s="2">
        <v>91.0</v>
      </c>
      <c r="I80" s="2">
        <v>410.0</v>
      </c>
      <c r="J80" s="2">
        <v>478.0</v>
      </c>
      <c r="K80" s="2">
        <v>585.0</v>
      </c>
      <c r="L80" s="4">
        <f t="shared" si="7"/>
        <v>437.6666667</v>
      </c>
      <c r="M80" s="4">
        <f t="shared" si="8"/>
        <v>147.3333333</v>
      </c>
      <c r="N80" s="4">
        <f t="shared" si="9"/>
        <v>147.3333333</v>
      </c>
      <c r="O80" s="4">
        <f t="shared" si="1"/>
        <v>379.898262</v>
      </c>
      <c r="P80" s="4">
        <f t="shared" si="2"/>
        <v>424.4062164</v>
      </c>
      <c r="Q80" s="4">
        <f t="shared" si="3"/>
        <v>390.9550934</v>
      </c>
      <c r="V80" s="4">
        <f t="shared" si="4"/>
        <v>205.101738</v>
      </c>
      <c r="W80" s="4">
        <f t="shared" si="5"/>
        <v>160.5937836</v>
      </c>
      <c r="X80" s="4">
        <f t="shared" si="6"/>
        <v>194.0449066</v>
      </c>
    </row>
    <row r="81">
      <c r="A81" s="3">
        <v>40707.0</v>
      </c>
      <c r="B81" s="2">
        <v>173.0</v>
      </c>
      <c r="C81" s="2">
        <v>448.0</v>
      </c>
      <c r="D81" s="2">
        <v>959.0</v>
      </c>
      <c r="E81" s="2">
        <v>507.0</v>
      </c>
      <c r="F81" s="2">
        <v>446.0</v>
      </c>
      <c r="G81" s="2">
        <v>1.0</v>
      </c>
      <c r="H81" s="2">
        <v>113.0</v>
      </c>
      <c r="I81" s="2">
        <v>437.0</v>
      </c>
      <c r="J81" s="2">
        <v>243.0</v>
      </c>
      <c r="K81" s="2">
        <v>448.0</v>
      </c>
      <c r="L81" s="4">
        <f t="shared" si="7"/>
        <v>484.3333333</v>
      </c>
      <c r="M81" s="4">
        <f t="shared" si="8"/>
        <v>-36.33333333</v>
      </c>
      <c r="N81" s="4">
        <f t="shared" si="9"/>
        <v>36.33333333</v>
      </c>
      <c r="O81" s="4">
        <f t="shared" si="1"/>
        <v>400.4084358</v>
      </c>
      <c r="P81" s="4">
        <f t="shared" si="2"/>
        <v>472.5843515</v>
      </c>
      <c r="Q81" s="4">
        <f t="shared" si="3"/>
        <v>487.9775467</v>
      </c>
      <c r="V81" s="4">
        <f t="shared" si="4"/>
        <v>47.59156422</v>
      </c>
      <c r="W81" s="4">
        <f t="shared" si="5"/>
        <v>24.58435149</v>
      </c>
      <c r="X81" s="4">
        <f t="shared" si="6"/>
        <v>39.97754671</v>
      </c>
    </row>
    <row r="82">
      <c r="A82" s="3">
        <v>40714.0</v>
      </c>
      <c r="B82" s="2">
        <v>143.0</v>
      </c>
      <c r="C82" s="2">
        <v>238.0</v>
      </c>
      <c r="D82" s="2">
        <v>841.0</v>
      </c>
      <c r="E82" s="2">
        <v>598.0</v>
      </c>
      <c r="F82" s="2">
        <v>270.0</v>
      </c>
      <c r="G82" s="2">
        <v>6.0</v>
      </c>
      <c r="H82" s="2">
        <v>60.0</v>
      </c>
      <c r="I82" s="2">
        <v>345.0</v>
      </c>
      <c r="J82" s="2">
        <v>611.0</v>
      </c>
      <c r="K82" s="2">
        <v>238.0</v>
      </c>
      <c r="L82" s="4">
        <f t="shared" si="7"/>
        <v>405.6666667</v>
      </c>
      <c r="M82" s="4">
        <f t="shared" si="8"/>
        <v>-167.6666667</v>
      </c>
      <c r="N82" s="4">
        <f t="shared" si="9"/>
        <v>167.6666667</v>
      </c>
      <c r="O82" s="4">
        <f t="shared" si="1"/>
        <v>405.1675922</v>
      </c>
      <c r="P82" s="4">
        <f t="shared" si="2"/>
        <v>465.209046</v>
      </c>
      <c r="Q82" s="4">
        <f t="shared" si="3"/>
        <v>467.9887734</v>
      </c>
      <c r="V82" s="4">
        <f t="shared" si="4"/>
        <v>167.1675922</v>
      </c>
      <c r="W82" s="4">
        <f t="shared" si="5"/>
        <v>227.209046</v>
      </c>
      <c r="X82" s="4">
        <f t="shared" si="6"/>
        <v>229.9887734</v>
      </c>
    </row>
    <row r="83">
      <c r="A83" s="3">
        <v>40721.0</v>
      </c>
      <c r="B83" s="2">
        <v>79.0</v>
      </c>
      <c r="C83" s="2">
        <v>303.0</v>
      </c>
      <c r="D83" s="2">
        <v>815.0</v>
      </c>
      <c r="E83" s="2">
        <v>276.0</v>
      </c>
      <c r="F83" s="2">
        <v>292.0</v>
      </c>
      <c r="G83" s="2">
        <v>365.0</v>
      </c>
      <c r="H83" s="2">
        <v>113.0</v>
      </c>
      <c r="I83" s="2">
        <v>430.0</v>
      </c>
      <c r="J83" s="2">
        <v>456.0</v>
      </c>
      <c r="K83" s="2">
        <v>303.0</v>
      </c>
      <c r="L83" s="4">
        <f t="shared" si="7"/>
        <v>423.6666667</v>
      </c>
      <c r="M83" s="4">
        <f t="shared" si="8"/>
        <v>-120.6666667</v>
      </c>
      <c r="N83" s="4">
        <f t="shared" si="9"/>
        <v>120.6666667</v>
      </c>
      <c r="O83" s="4">
        <f t="shared" si="1"/>
        <v>388.450833</v>
      </c>
      <c r="P83" s="4">
        <f t="shared" si="2"/>
        <v>397.0463322</v>
      </c>
      <c r="Q83" s="4">
        <f t="shared" si="3"/>
        <v>352.9943867</v>
      </c>
      <c r="V83" s="4">
        <f t="shared" si="4"/>
        <v>85.45083298</v>
      </c>
      <c r="W83" s="4">
        <f t="shared" si="5"/>
        <v>94.04633223</v>
      </c>
      <c r="X83" s="4">
        <f t="shared" si="6"/>
        <v>49.99438668</v>
      </c>
    </row>
    <row r="84">
      <c r="A84" s="3">
        <v>40728.0</v>
      </c>
      <c r="B84" s="2">
        <v>131.0</v>
      </c>
      <c r="C84" s="2">
        <v>440.0</v>
      </c>
      <c r="D84" s="2">
        <v>1364.0</v>
      </c>
      <c r="E84" s="2">
        <v>901.0</v>
      </c>
      <c r="F84" s="2">
        <v>460.0</v>
      </c>
      <c r="G84" s="2">
        <v>18.0</v>
      </c>
      <c r="H84" s="2">
        <v>23.0</v>
      </c>
      <c r="I84" s="2">
        <v>636.0</v>
      </c>
      <c r="J84" s="2">
        <v>452.0</v>
      </c>
      <c r="K84" s="2">
        <v>440.0</v>
      </c>
      <c r="L84" s="4">
        <f t="shared" si="7"/>
        <v>329.6666667</v>
      </c>
      <c r="M84" s="4">
        <f t="shared" si="8"/>
        <v>110.3333333</v>
      </c>
      <c r="N84" s="4">
        <f t="shared" si="9"/>
        <v>110.3333333</v>
      </c>
      <c r="O84" s="4">
        <f t="shared" si="1"/>
        <v>379.9057497</v>
      </c>
      <c r="P84" s="4">
        <f t="shared" si="2"/>
        <v>368.8324326</v>
      </c>
      <c r="Q84" s="4">
        <f t="shared" si="3"/>
        <v>327.9971933</v>
      </c>
      <c r="V84" s="4">
        <f t="shared" si="4"/>
        <v>60.09425032</v>
      </c>
      <c r="W84" s="4">
        <f t="shared" si="5"/>
        <v>71.16756744</v>
      </c>
      <c r="X84" s="4">
        <f t="shared" si="6"/>
        <v>112.0028067</v>
      </c>
    </row>
    <row r="85">
      <c r="A85" s="3">
        <v>40735.0</v>
      </c>
      <c r="B85" s="2">
        <v>292.0</v>
      </c>
      <c r="C85" s="2">
        <v>231.0</v>
      </c>
      <c r="D85" s="2">
        <v>421.0</v>
      </c>
      <c r="E85" s="2">
        <v>354.0</v>
      </c>
      <c r="F85" s="2">
        <v>372.0</v>
      </c>
      <c r="G85" s="2">
        <v>10.0</v>
      </c>
      <c r="H85" s="2">
        <v>33.0</v>
      </c>
      <c r="I85" s="2">
        <v>157.0</v>
      </c>
      <c r="J85" s="2">
        <v>315.0</v>
      </c>
      <c r="K85" s="2">
        <v>231.0</v>
      </c>
      <c r="L85" s="4">
        <f t="shared" si="7"/>
        <v>327</v>
      </c>
      <c r="M85" s="4">
        <f t="shared" si="8"/>
        <v>-96</v>
      </c>
      <c r="N85" s="4">
        <f t="shared" si="9"/>
        <v>96</v>
      </c>
      <c r="O85" s="4">
        <f t="shared" si="1"/>
        <v>385.9151747</v>
      </c>
      <c r="P85" s="4">
        <f t="shared" si="2"/>
        <v>390.1827028</v>
      </c>
      <c r="Q85" s="4">
        <f t="shared" si="3"/>
        <v>383.9985967</v>
      </c>
      <c r="V85" s="4">
        <f t="shared" si="4"/>
        <v>154.9151747</v>
      </c>
      <c r="W85" s="4">
        <f t="shared" si="5"/>
        <v>159.1827028</v>
      </c>
      <c r="X85" s="4">
        <f t="shared" si="6"/>
        <v>152.9985967</v>
      </c>
    </row>
    <row r="86">
      <c r="A86" s="3">
        <v>40742.0</v>
      </c>
      <c r="B86" s="2">
        <v>340.0</v>
      </c>
      <c r="C86" s="2">
        <v>495.0</v>
      </c>
      <c r="D86" s="2">
        <v>732.0</v>
      </c>
      <c r="E86" s="2">
        <v>927.0</v>
      </c>
      <c r="F86" s="2">
        <v>519.0</v>
      </c>
      <c r="G86" s="2">
        <v>32.0</v>
      </c>
      <c r="H86" s="2">
        <v>133.0</v>
      </c>
      <c r="I86" s="2">
        <v>621.0</v>
      </c>
      <c r="J86" s="2">
        <v>307.0</v>
      </c>
      <c r="K86" s="2">
        <v>495.0</v>
      </c>
      <c r="L86" s="4">
        <f t="shared" si="7"/>
        <v>324.6666667</v>
      </c>
      <c r="M86" s="4">
        <f t="shared" si="8"/>
        <v>170.3333333</v>
      </c>
      <c r="N86" s="4">
        <f t="shared" si="9"/>
        <v>170.3333333</v>
      </c>
      <c r="O86" s="4">
        <f t="shared" si="1"/>
        <v>370.4236572</v>
      </c>
      <c r="P86" s="4">
        <f t="shared" si="2"/>
        <v>342.427892</v>
      </c>
      <c r="Q86" s="4">
        <f t="shared" si="3"/>
        <v>307.4992983</v>
      </c>
      <c r="V86" s="4">
        <f t="shared" si="4"/>
        <v>124.5763428</v>
      </c>
      <c r="W86" s="4">
        <f t="shared" si="5"/>
        <v>152.572108</v>
      </c>
      <c r="X86" s="4">
        <f t="shared" si="6"/>
        <v>187.5007017</v>
      </c>
    </row>
    <row r="87">
      <c r="A87" s="3">
        <v>40749.0</v>
      </c>
      <c r="B87" s="2">
        <v>341.0</v>
      </c>
      <c r="C87" s="2">
        <v>385.0</v>
      </c>
      <c r="D87" s="2">
        <v>440.0</v>
      </c>
      <c r="E87" s="2">
        <v>520.0</v>
      </c>
      <c r="F87" s="2">
        <v>478.0</v>
      </c>
      <c r="G87" s="2">
        <v>287.0</v>
      </c>
      <c r="H87" s="2">
        <v>651.0</v>
      </c>
      <c r="I87" s="2">
        <v>436.0</v>
      </c>
      <c r="J87" s="2">
        <v>403.0</v>
      </c>
      <c r="K87" s="2">
        <v>385.0</v>
      </c>
      <c r="L87" s="4">
        <f t="shared" si="7"/>
        <v>388.6666667</v>
      </c>
      <c r="M87" s="4">
        <f t="shared" si="8"/>
        <v>-3.666666667</v>
      </c>
      <c r="N87" s="4">
        <f t="shared" si="9"/>
        <v>3.666666667</v>
      </c>
      <c r="O87" s="4">
        <f t="shared" si="1"/>
        <v>382.8812915</v>
      </c>
      <c r="P87" s="4">
        <f t="shared" si="2"/>
        <v>388.1995244</v>
      </c>
      <c r="Q87" s="4">
        <f t="shared" si="3"/>
        <v>401.2496492</v>
      </c>
      <c r="V87" s="4">
        <f t="shared" si="4"/>
        <v>2.118708481</v>
      </c>
      <c r="W87" s="4">
        <f t="shared" si="5"/>
        <v>3.199524369</v>
      </c>
      <c r="X87" s="4">
        <f t="shared" si="6"/>
        <v>16.24964917</v>
      </c>
    </row>
    <row r="88">
      <c r="A88" s="3">
        <v>40756.0</v>
      </c>
      <c r="B88" s="2">
        <v>148.0</v>
      </c>
      <c r="C88" s="2">
        <v>603.0</v>
      </c>
      <c r="D88" s="2">
        <v>1040.0</v>
      </c>
      <c r="E88" s="2">
        <v>423.0</v>
      </c>
      <c r="F88" s="2">
        <v>3800.0</v>
      </c>
      <c r="G88" s="2">
        <v>161.0</v>
      </c>
      <c r="H88" s="2">
        <v>87.0</v>
      </c>
      <c r="I88" s="2">
        <v>2178.0</v>
      </c>
      <c r="J88" s="2">
        <v>382.0</v>
      </c>
      <c r="K88" s="2">
        <v>603.0</v>
      </c>
      <c r="L88" s="4">
        <f t="shared" si="7"/>
        <v>370.3333333</v>
      </c>
      <c r="M88" s="4">
        <f t="shared" si="8"/>
        <v>232.6666667</v>
      </c>
      <c r="N88" s="4">
        <f t="shared" si="9"/>
        <v>232.6666667</v>
      </c>
      <c r="O88" s="4">
        <f t="shared" si="1"/>
        <v>383.0931624</v>
      </c>
      <c r="P88" s="4">
        <f t="shared" si="2"/>
        <v>387.2396671</v>
      </c>
      <c r="Q88" s="4">
        <f t="shared" si="3"/>
        <v>393.1248246</v>
      </c>
      <c r="V88" s="4">
        <f t="shared" si="4"/>
        <v>219.9068376</v>
      </c>
      <c r="W88" s="4">
        <f t="shared" si="5"/>
        <v>215.7603329</v>
      </c>
      <c r="X88" s="4">
        <f t="shared" si="6"/>
        <v>209.8751754</v>
      </c>
    </row>
    <row r="89">
      <c r="A89" s="3">
        <v>40763.0</v>
      </c>
      <c r="B89" s="2">
        <v>177.0</v>
      </c>
      <c r="C89" s="2">
        <v>725.0</v>
      </c>
      <c r="D89" s="2">
        <v>1373.0</v>
      </c>
      <c r="E89" s="2">
        <v>280.0</v>
      </c>
      <c r="F89" s="2">
        <v>1323.0</v>
      </c>
      <c r="G89" s="2">
        <v>22.0</v>
      </c>
      <c r="H89" s="2">
        <v>135.0</v>
      </c>
      <c r="I89" s="2">
        <v>1735.0</v>
      </c>
      <c r="J89" s="2">
        <v>551.0</v>
      </c>
      <c r="K89" s="2">
        <v>725.0</v>
      </c>
      <c r="L89" s="4">
        <f t="shared" si="7"/>
        <v>494.3333333</v>
      </c>
      <c r="M89" s="4">
        <f t="shared" si="8"/>
        <v>230.6666667</v>
      </c>
      <c r="N89" s="4">
        <f t="shared" si="9"/>
        <v>230.6666667</v>
      </c>
      <c r="O89" s="4">
        <f t="shared" si="1"/>
        <v>405.0838461</v>
      </c>
      <c r="P89" s="4">
        <f t="shared" si="2"/>
        <v>451.9677669</v>
      </c>
      <c r="Q89" s="4">
        <f t="shared" si="3"/>
        <v>498.0624123</v>
      </c>
      <c r="V89" s="4">
        <f t="shared" si="4"/>
        <v>319.9161539</v>
      </c>
      <c r="W89" s="4">
        <f t="shared" si="5"/>
        <v>273.0322331</v>
      </c>
      <c r="X89" s="4">
        <f t="shared" si="6"/>
        <v>226.9375877</v>
      </c>
    </row>
    <row r="90">
      <c r="A90" s="3">
        <v>40770.0</v>
      </c>
      <c r="B90" s="2">
        <v>210.0</v>
      </c>
      <c r="C90" s="2">
        <v>423.0</v>
      </c>
      <c r="D90" s="2">
        <v>1356.0</v>
      </c>
      <c r="E90" s="2">
        <v>402.0</v>
      </c>
      <c r="F90" s="2">
        <v>556.0</v>
      </c>
      <c r="G90" s="2">
        <v>36.0</v>
      </c>
      <c r="H90" s="2">
        <v>62.0</v>
      </c>
      <c r="I90" s="2">
        <v>518.0</v>
      </c>
      <c r="J90" s="2">
        <v>586.0</v>
      </c>
      <c r="K90" s="2">
        <v>423.0</v>
      </c>
      <c r="L90" s="4">
        <f t="shared" si="7"/>
        <v>571</v>
      </c>
      <c r="M90" s="4">
        <f t="shared" si="8"/>
        <v>-148</v>
      </c>
      <c r="N90" s="4">
        <f t="shared" si="9"/>
        <v>148</v>
      </c>
      <c r="O90" s="4">
        <f t="shared" si="1"/>
        <v>437.0754615</v>
      </c>
      <c r="P90" s="4">
        <f t="shared" si="2"/>
        <v>533.8774369</v>
      </c>
      <c r="Q90" s="4">
        <f t="shared" si="3"/>
        <v>611.5312061</v>
      </c>
      <c r="V90" s="4">
        <f t="shared" si="4"/>
        <v>14.07546152</v>
      </c>
      <c r="W90" s="4">
        <f t="shared" si="5"/>
        <v>110.8774369</v>
      </c>
      <c r="X90" s="4">
        <f t="shared" si="6"/>
        <v>188.5312061</v>
      </c>
    </row>
    <row r="91">
      <c r="A91" s="3">
        <v>40777.0</v>
      </c>
      <c r="B91" s="2">
        <v>241.0</v>
      </c>
      <c r="C91" s="2">
        <v>340.0</v>
      </c>
      <c r="D91" s="2">
        <v>1518.0</v>
      </c>
      <c r="E91" s="2">
        <v>470.0</v>
      </c>
      <c r="F91" s="2">
        <v>850.0</v>
      </c>
      <c r="G91" s="2">
        <v>28.0</v>
      </c>
      <c r="H91" s="2">
        <v>110.0</v>
      </c>
      <c r="I91" s="2">
        <v>826.0</v>
      </c>
      <c r="J91" s="2">
        <v>619.0</v>
      </c>
      <c r="K91" s="2">
        <v>340.0</v>
      </c>
      <c r="L91" s="4">
        <f t="shared" si="7"/>
        <v>583.6666667</v>
      </c>
      <c r="M91" s="4">
        <f t="shared" si="8"/>
        <v>-243.6666667</v>
      </c>
      <c r="N91" s="4">
        <f t="shared" si="9"/>
        <v>243.6666667</v>
      </c>
      <c r="O91" s="4">
        <f t="shared" si="1"/>
        <v>435.6679154</v>
      </c>
      <c r="P91" s="4">
        <f t="shared" si="2"/>
        <v>500.6142058</v>
      </c>
      <c r="Q91" s="4">
        <f t="shared" si="3"/>
        <v>517.2656031</v>
      </c>
      <c r="V91" s="4">
        <f t="shared" si="4"/>
        <v>95.66791537</v>
      </c>
      <c r="W91" s="4">
        <f t="shared" si="5"/>
        <v>160.6142058</v>
      </c>
      <c r="X91" s="4">
        <f t="shared" si="6"/>
        <v>177.2656031</v>
      </c>
    </row>
    <row r="92">
      <c r="A92" s="3">
        <v>40784.0</v>
      </c>
      <c r="B92" s="2">
        <v>146.0</v>
      </c>
      <c r="C92" s="2">
        <v>202.0</v>
      </c>
      <c r="D92" s="2">
        <v>717.0</v>
      </c>
      <c r="E92" s="2">
        <v>207.0</v>
      </c>
      <c r="F92" s="2">
        <v>216.0</v>
      </c>
      <c r="G92" s="2">
        <v>192.0</v>
      </c>
      <c r="H92" s="2">
        <v>210.0</v>
      </c>
      <c r="I92" s="2">
        <v>956.0</v>
      </c>
      <c r="J92" s="2">
        <v>248.0</v>
      </c>
      <c r="K92" s="2">
        <v>202.0</v>
      </c>
      <c r="L92" s="4">
        <f t="shared" si="7"/>
        <v>496</v>
      </c>
      <c r="M92" s="4">
        <f t="shared" si="8"/>
        <v>-294</v>
      </c>
      <c r="N92" s="4">
        <f t="shared" si="9"/>
        <v>294</v>
      </c>
      <c r="O92" s="4">
        <f t="shared" si="1"/>
        <v>426.1011238</v>
      </c>
      <c r="P92" s="4">
        <f t="shared" si="2"/>
        <v>452.4299441</v>
      </c>
      <c r="Q92" s="4">
        <f t="shared" si="3"/>
        <v>428.6328015</v>
      </c>
      <c r="V92" s="4">
        <f t="shared" si="4"/>
        <v>224.1011238</v>
      </c>
      <c r="W92" s="4">
        <f t="shared" si="5"/>
        <v>250.4299441</v>
      </c>
      <c r="X92" s="4">
        <f t="shared" si="6"/>
        <v>226.6328015</v>
      </c>
    </row>
    <row r="93">
      <c r="A93" s="3">
        <v>40791.0</v>
      </c>
      <c r="B93" s="2">
        <v>149.0</v>
      </c>
      <c r="C93" s="2">
        <v>424.0</v>
      </c>
      <c r="D93" s="2">
        <v>556.0</v>
      </c>
      <c r="E93" s="2">
        <v>300.0</v>
      </c>
      <c r="F93" s="2">
        <v>488.0</v>
      </c>
      <c r="G93" s="2">
        <v>455.0</v>
      </c>
      <c r="H93" s="2">
        <v>70.0</v>
      </c>
      <c r="I93" s="2">
        <v>516.0</v>
      </c>
      <c r="J93" s="2">
        <v>657.0</v>
      </c>
      <c r="K93" s="2">
        <v>424.0</v>
      </c>
      <c r="L93" s="4">
        <f t="shared" si="7"/>
        <v>321.6666667</v>
      </c>
      <c r="M93" s="4">
        <f t="shared" si="8"/>
        <v>102.3333333</v>
      </c>
      <c r="N93" s="4">
        <f t="shared" si="9"/>
        <v>102.3333333</v>
      </c>
      <c r="O93" s="4">
        <f t="shared" si="1"/>
        <v>403.6910114</v>
      </c>
      <c r="P93" s="4">
        <f t="shared" si="2"/>
        <v>377.3009608</v>
      </c>
      <c r="Q93" s="4">
        <f t="shared" si="3"/>
        <v>315.3164008</v>
      </c>
      <c r="V93" s="4">
        <f t="shared" si="4"/>
        <v>20.30898855</v>
      </c>
      <c r="W93" s="4">
        <f t="shared" si="5"/>
        <v>46.69903916</v>
      </c>
      <c r="X93" s="4">
        <f t="shared" si="6"/>
        <v>108.6835992</v>
      </c>
    </row>
    <row r="94">
      <c r="A94" s="3">
        <v>40798.0</v>
      </c>
      <c r="B94" s="2">
        <v>218.0</v>
      </c>
      <c r="C94" s="2">
        <v>329.0</v>
      </c>
      <c r="D94" s="2">
        <v>743.0</v>
      </c>
      <c r="E94" s="2">
        <v>334.0</v>
      </c>
      <c r="F94" s="2">
        <v>908.0</v>
      </c>
      <c r="G94" s="2">
        <v>561.0</v>
      </c>
      <c r="H94" s="2">
        <v>262.0</v>
      </c>
      <c r="I94" s="2">
        <v>570.0</v>
      </c>
      <c r="J94" s="2">
        <v>478.0</v>
      </c>
      <c r="K94" s="2">
        <v>329.0</v>
      </c>
      <c r="L94" s="4">
        <f t="shared" si="7"/>
        <v>322</v>
      </c>
      <c r="M94" s="4">
        <f t="shared" si="8"/>
        <v>7</v>
      </c>
      <c r="N94" s="4">
        <f t="shared" si="9"/>
        <v>7</v>
      </c>
      <c r="O94" s="4">
        <f t="shared" si="1"/>
        <v>405.7219103</v>
      </c>
      <c r="P94" s="4">
        <f t="shared" si="2"/>
        <v>391.3106726</v>
      </c>
      <c r="Q94" s="4">
        <f t="shared" si="3"/>
        <v>369.6582004</v>
      </c>
      <c r="V94" s="4">
        <f t="shared" si="4"/>
        <v>76.7219103</v>
      </c>
      <c r="W94" s="4">
        <f t="shared" si="5"/>
        <v>62.31067259</v>
      </c>
      <c r="X94" s="4">
        <f t="shared" si="6"/>
        <v>40.65820038</v>
      </c>
    </row>
    <row r="95">
      <c r="A95" s="3">
        <v>40805.0</v>
      </c>
      <c r="B95" s="2">
        <v>147.0</v>
      </c>
      <c r="C95" s="2">
        <v>482.0</v>
      </c>
      <c r="D95" s="2">
        <v>1667.0</v>
      </c>
      <c r="E95" s="2">
        <v>158.0</v>
      </c>
      <c r="F95" s="2">
        <v>677.0</v>
      </c>
      <c r="G95" s="2">
        <v>602.0</v>
      </c>
      <c r="H95" s="2">
        <v>28.0</v>
      </c>
      <c r="I95" s="2">
        <v>682.0</v>
      </c>
      <c r="J95" s="2">
        <v>809.0</v>
      </c>
      <c r="K95" s="2">
        <v>482.0</v>
      </c>
      <c r="L95" s="4">
        <f t="shared" si="7"/>
        <v>318.3333333</v>
      </c>
      <c r="M95" s="4">
        <f t="shared" si="8"/>
        <v>163.6666667</v>
      </c>
      <c r="N95" s="4">
        <f t="shared" si="9"/>
        <v>163.6666667</v>
      </c>
      <c r="O95" s="4">
        <f t="shared" si="1"/>
        <v>398.0497193</v>
      </c>
      <c r="P95" s="4">
        <f t="shared" si="2"/>
        <v>372.6174708</v>
      </c>
      <c r="Q95" s="4">
        <f t="shared" si="3"/>
        <v>349.3291002</v>
      </c>
      <c r="V95" s="4">
        <f t="shared" si="4"/>
        <v>83.95028073</v>
      </c>
      <c r="W95" s="4">
        <f t="shared" si="5"/>
        <v>109.3825292</v>
      </c>
      <c r="X95" s="4">
        <f t="shared" si="6"/>
        <v>132.6708998</v>
      </c>
    </row>
    <row r="96">
      <c r="A96" s="3">
        <v>40812.0</v>
      </c>
      <c r="B96" s="2">
        <v>148.0</v>
      </c>
      <c r="C96" s="2">
        <v>318.0</v>
      </c>
      <c r="D96" s="2">
        <v>929.0</v>
      </c>
      <c r="E96" s="2">
        <v>209.0</v>
      </c>
      <c r="F96" s="2">
        <v>799.0</v>
      </c>
      <c r="G96" s="2">
        <v>359.0</v>
      </c>
      <c r="H96" s="2">
        <v>162.0</v>
      </c>
      <c r="I96" s="2">
        <v>1675.0</v>
      </c>
      <c r="J96" s="2">
        <v>665.0</v>
      </c>
      <c r="K96" s="2">
        <v>318.0</v>
      </c>
      <c r="L96" s="4">
        <f t="shared" si="7"/>
        <v>411.6666667</v>
      </c>
      <c r="M96" s="4">
        <f t="shared" si="8"/>
        <v>-93.66666667</v>
      </c>
      <c r="N96" s="4">
        <f t="shared" si="9"/>
        <v>93.66666667</v>
      </c>
      <c r="O96" s="4">
        <f t="shared" si="1"/>
        <v>406.4447473</v>
      </c>
      <c r="P96" s="4">
        <f t="shared" si="2"/>
        <v>405.4322296</v>
      </c>
      <c r="Q96" s="4">
        <f t="shared" si="3"/>
        <v>415.6645501</v>
      </c>
      <c r="V96" s="4">
        <f t="shared" si="4"/>
        <v>88.44474734</v>
      </c>
      <c r="W96" s="4">
        <f t="shared" si="5"/>
        <v>87.43222957</v>
      </c>
      <c r="X96" s="4">
        <f t="shared" si="6"/>
        <v>97.6645501</v>
      </c>
    </row>
    <row r="97">
      <c r="A97" s="3">
        <v>40819.0</v>
      </c>
      <c r="B97" s="2">
        <v>409.0</v>
      </c>
      <c r="C97" s="2">
        <v>322.0</v>
      </c>
      <c r="D97" s="2">
        <v>2569.0</v>
      </c>
      <c r="E97" s="2">
        <v>183.0</v>
      </c>
      <c r="F97" s="2">
        <v>589.0</v>
      </c>
      <c r="G97" s="2">
        <v>977.0</v>
      </c>
      <c r="H97" s="2">
        <v>51.0</v>
      </c>
      <c r="I97" s="2">
        <v>835.0</v>
      </c>
      <c r="J97" s="2">
        <v>1649.0</v>
      </c>
      <c r="K97" s="2">
        <v>322.0</v>
      </c>
      <c r="L97" s="4">
        <f t="shared" si="7"/>
        <v>376.3333333</v>
      </c>
      <c r="M97" s="4">
        <f t="shared" si="8"/>
        <v>-54.33333333</v>
      </c>
      <c r="N97" s="4">
        <f t="shared" si="9"/>
        <v>54.33333333</v>
      </c>
      <c r="O97" s="4">
        <f t="shared" si="1"/>
        <v>397.6002726</v>
      </c>
      <c r="P97" s="4">
        <f t="shared" si="2"/>
        <v>379.2025607</v>
      </c>
      <c r="Q97" s="4">
        <f t="shared" si="3"/>
        <v>366.832275</v>
      </c>
      <c r="V97" s="4">
        <f t="shared" si="4"/>
        <v>75.60027261</v>
      </c>
      <c r="W97" s="4">
        <f t="shared" si="5"/>
        <v>57.2025607</v>
      </c>
      <c r="X97" s="4">
        <f t="shared" si="6"/>
        <v>44.83227505</v>
      </c>
    </row>
    <row r="98">
      <c r="A98" s="3">
        <v>40826.0</v>
      </c>
      <c r="B98" s="2">
        <v>181.0</v>
      </c>
      <c r="C98" s="2">
        <v>443.0</v>
      </c>
      <c r="D98" s="2">
        <v>647.0</v>
      </c>
      <c r="E98" s="2">
        <v>106.0</v>
      </c>
      <c r="F98" s="2">
        <v>420.0</v>
      </c>
      <c r="G98" s="2">
        <v>739.0</v>
      </c>
      <c r="H98" s="2">
        <v>150.0</v>
      </c>
      <c r="I98" s="2">
        <v>884.0</v>
      </c>
      <c r="J98" s="2">
        <v>237.0</v>
      </c>
      <c r="K98" s="2">
        <v>443.0</v>
      </c>
      <c r="L98" s="4">
        <f t="shared" si="7"/>
        <v>374</v>
      </c>
      <c r="M98" s="4">
        <f t="shared" si="8"/>
        <v>69</v>
      </c>
      <c r="N98" s="4">
        <f t="shared" si="9"/>
        <v>69</v>
      </c>
      <c r="O98" s="4">
        <f t="shared" si="1"/>
        <v>390.0402453</v>
      </c>
      <c r="P98" s="4">
        <f t="shared" si="2"/>
        <v>362.0417925</v>
      </c>
      <c r="Q98" s="4">
        <f t="shared" si="3"/>
        <v>344.4161375</v>
      </c>
      <c r="V98" s="4">
        <f t="shared" si="4"/>
        <v>52.95975465</v>
      </c>
      <c r="W98" s="4">
        <f t="shared" si="5"/>
        <v>80.95820751</v>
      </c>
      <c r="X98" s="4">
        <f t="shared" si="6"/>
        <v>98.58386248</v>
      </c>
    </row>
    <row r="99">
      <c r="A99" s="3">
        <v>40833.0</v>
      </c>
      <c r="B99" s="2">
        <v>268.0</v>
      </c>
      <c r="C99" s="2">
        <v>276.0</v>
      </c>
      <c r="D99" s="2">
        <v>1045.0</v>
      </c>
      <c r="E99" s="2">
        <v>211.0</v>
      </c>
      <c r="F99" s="2">
        <v>829.0</v>
      </c>
      <c r="G99" s="2">
        <v>756.0</v>
      </c>
      <c r="H99" s="2">
        <v>109.0</v>
      </c>
      <c r="I99" s="2">
        <v>1164.0</v>
      </c>
      <c r="J99" s="2">
        <v>334.0</v>
      </c>
      <c r="K99" s="2">
        <v>276.0</v>
      </c>
      <c r="L99" s="4">
        <f t="shared" si="7"/>
        <v>361</v>
      </c>
      <c r="M99" s="4">
        <f t="shared" si="8"/>
        <v>-85</v>
      </c>
      <c r="N99" s="4">
        <f t="shared" si="9"/>
        <v>85</v>
      </c>
      <c r="O99" s="4">
        <f t="shared" si="1"/>
        <v>395.3362208</v>
      </c>
      <c r="P99" s="4">
        <f t="shared" si="2"/>
        <v>386.3292547</v>
      </c>
      <c r="Q99" s="4">
        <f t="shared" si="3"/>
        <v>393.7080688</v>
      </c>
      <c r="V99" s="4">
        <f t="shared" si="4"/>
        <v>119.3362208</v>
      </c>
      <c r="W99" s="4">
        <f t="shared" si="5"/>
        <v>110.3292547</v>
      </c>
      <c r="X99" s="4">
        <f t="shared" si="6"/>
        <v>117.7080688</v>
      </c>
    </row>
    <row r="100">
      <c r="A100" s="3">
        <v>40840.0</v>
      </c>
      <c r="B100" s="2">
        <v>135.0</v>
      </c>
      <c r="C100" s="2">
        <v>314.0</v>
      </c>
      <c r="D100" s="2">
        <v>500.0</v>
      </c>
      <c r="E100" s="2">
        <v>78.0</v>
      </c>
      <c r="F100" s="2">
        <v>778.0</v>
      </c>
      <c r="G100" s="2">
        <v>644.0</v>
      </c>
      <c r="H100" s="2">
        <v>431.0</v>
      </c>
      <c r="I100" s="2">
        <v>2775.0</v>
      </c>
      <c r="J100" s="2">
        <v>643.0</v>
      </c>
      <c r="K100" s="2">
        <v>314.0</v>
      </c>
      <c r="L100" s="4">
        <f t="shared" si="7"/>
        <v>347</v>
      </c>
      <c r="M100" s="4">
        <f t="shared" si="8"/>
        <v>-33</v>
      </c>
      <c r="N100" s="4">
        <f t="shared" si="9"/>
        <v>33</v>
      </c>
      <c r="O100" s="4">
        <f t="shared" si="1"/>
        <v>383.4025987</v>
      </c>
      <c r="P100" s="4">
        <f t="shared" si="2"/>
        <v>353.2304783</v>
      </c>
      <c r="Q100" s="4">
        <f t="shared" si="3"/>
        <v>334.8540344</v>
      </c>
      <c r="V100" s="4">
        <f t="shared" si="4"/>
        <v>69.40259873</v>
      </c>
      <c r="W100" s="4">
        <f t="shared" si="5"/>
        <v>39.23047832</v>
      </c>
      <c r="X100" s="4">
        <f t="shared" si="6"/>
        <v>20.85403438</v>
      </c>
    </row>
    <row r="101">
      <c r="A101" s="3">
        <v>40847.0</v>
      </c>
      <c r="B101" s="2">
        <v>279.0</v>
      </c>
      <c r="C101" s="2">
        <v>223.0</v>
      </c>
      <c r="D101" s="2">
        <v>1063.0</v>
      </c>
      <c r="E101" s="2">
        <v>102.0</v>
      </c>
      <c r="F101" s="2">
        <v>968.0</v>
      </c>
      <c r="G101" s="2">
        <v>1745.0</v>
      </c>
      <c r="H101" s="2">
        <v>166.0</v>
      </c>
      <c r="I101" s="2">
        <v>1156.0</v>
      </c>
      <c r="J101" s="2">
        <v>313.0</v>
      </c>
      <c r="K101" s="2">
        <v>223.0</v>
      </c>
      <c r="L101" s="4">
        <f t="shared" si="7"/>
        <v>344.3333333</v>
      </c>
      <c r="M101" s="4">
        <f t="shared" si="8"/>
        <v>-121.3333333</v>
      </c>
      <c r="N101" s="4">
        <f t="shared" si="9"/>
        <v>121.3333333</v>
      </c>
      <c r="O101" s="4">
        <f t="shared" si="1"/>
        <v>376.4623389</v>
      </c>
      <c r="P101" s="4">
        <f t="shared" si="2"/>
        <v>341.4613348</v>
      </c>
      <c r="Q101" s="4">
        <f t="shared" si="3"/>
        <v>324.4270172</v>
      </c>
      <c r="V101" s="4">
        <f t="shared" si="4"/>
        <v>153.4623389</v>
      </c>
      <c r="W101" s="4">
        <f t="shared" si="5"/>
        <v>118.4613348</v>
      </c>
      <c r="X101" s="4">
        <f t="shared" si="6"/>
        <v>101.4270172</v>
      </c>
    </row>
    <row r="102">
      <c r="A102" s="3">
        <v>40854.0</v>
      </c>
      <c r="B102" s="2">
        <v>167.0</v>
      </c>
      <c r="C102" s="2">
        <v>556.0</v>
      </c>
      <c r="D102" s="2">
        <v>2100.0</v>
      </c>
      <c r="E102" s="2">
        <v>135.0</v>
      </c>
      <c r="F102" s="2">
        <v>1748.0</v>
      </c>
      <c r="G102" s="2">
        <v>1436.0</v>
      </c>
      <c r="H102" s="2">
        <v>482.0</v>
      </c>
      <c r="I102" s="2">
        <v>3900.0</v>
      </c>
      <c r="J102" s="2">
        <v>416.0</v>
      </c>
      <c r="K102" s="2">
        <v>556.0</v>
      </c>
      <c r="L102" s="4">
        <f t="shared" si="7"/>
        <v>271</v>
      </c>
      <c r="M102" s="4">
        <f t="shared" si="8"/>
        <v>285</v>
      </c>
      <c r="N102" s="4">
        <f t="shared" si="9"/>
        <v>285</v>
      </c>
      <c r="O102" s="4">
        <f t="shared" si="1"/>
        <v>361.116105</v>
      </c>
      <c r="P102" s="4">
        <f t="shared" si="2"/>
        <v>305.9229344</v>
      </c>
      <c r="Q102" s="4">
        <f t="shared" si="3"/>
        <v>273.7135086</v>
      </c>
      <c r="V102" s="4">
        <f t="shared" si="4"/>
        <v>194.883895</v>
      </c>
      <c r="W102" s="4">
        <f t="shared" si="5"/>
        <v>250.0770656</v>
      </c>
      <c r="X102" s="4">
        <f t="shared" si="6"/>
        <v>282.2864914</v>
      </c>
    </row>
    <row r="103">
      <c r="A103" s="3">
        <v>40861.0</v>
      </c>
      <c r="B103" s="2">
        <v>235.0</v>
      </c>
      <c r="C103" s="2">
        <v>650.0</v>
      </c>
      <c r="D103" s="2">
        <v>1602.0</v>
      </c>
      <c r="E103" s="2">
        <v>218.0</v>
      </c>
      <c r="F103" s="2">
        <v>1326.0</v>
      </c>
      <c r="G103" s="2">
        <v>2161.0</v>
      </c>
      <c r="H103" s="2">
        <v>389.0</v>
      </c>
      <c r="I103" s="2">
        <v>3145.0</v>
      </c>
      <c r="J103" s="2">
        <v>522.0</v>
      </c>
      <c r="K103" s="2">
        <v>650.0</v>
      </c>
      <c r="L103" s="4">
        <f t="shared" si="7"/>
        <v>364.3333333</v>
      </c>
      <c r="M103" s="4">
        <f t="shared" si="8"/>
        <v>285.6666667</v>
      </c>
      <c r="N103" s="4">
        <f t="shared" si="9"/>
        <v>285.6666667</v>
      </c>
      <c r="O103" s="4">
        <f t="shared" si="1"/>
        <v>380.6044945</v>
      </c>
      <c r="P103" s="4">
        <f t="shared" si="2"/>
        <v>380.9460541</v>
      </c>
      <c r="Q103" s="4">
        <f t="shared" si="3"/>
        <v>414.8567543</v>
      </c>
      <c r="V103" s="4">
        <f t="shared" si="4"/>
        <v>269.3955055</v>
      </c>
      <c r="W103" s="4">
        <f t="shared" si="5"/>
        <v>269.0539459</v>
      </c>
      <c r="X103" s="4">
        <f t="shared" si="6"/>
        <v>235.1432457</v>
      </c>
    </row>
    <row r="104">
      <c r="A104" s="3">
        <v>40868.0</v>
      </c>
      <c r="B104" s="2">
        <v>249.0</v>
      </c>
      <c r="C104" s="2">
        <v>276.0</v>
      </c>
      <c r="D104" s="2">
        <v>753.0</v>
      </c>
      <c r="E104" s="2">
        <v>455.0</v>
      </c>
      <c r="F104" s="2">
        <v>1037.0</v>
      </c>
      <c r="G104" s="2">
        <v>1692.0</v>
      </c>
      <c r="H104" s="2">
        <v>959.0</v>
      </c>
      <c r="I104" s="2">
        <v>2755.0</v>
      </c>
      <c r="J104" s="2">
        <v>253.0</v>
      </c>
      <c r="K104" s="2">
        <v>276.0</v>
      </c>
      <c r="L104" s="4">
        <f t="shared" si="7"/>
        <v>476.3333333</v>
      </c>
      <c r="M104" s="4">
        <f t="shared" si="8"/>
        <v>-200.3333333</v>
      </c>
      <c r="N104" s="4">
        <f t="shared" si="9"/>
        <v>200.3333333</v>
      </c>
      <c r="O104" s="4">
        <f t="shared" si="1"/>
        <v>407.544045</v>
      </c>
      <c r="P104" s="4">
        <f t="shared" si="2"/>
        <v>461.6622378</v>
      </c>
      <c r="Q104" s="4">
        <f t="shared" si="3"/>
        <v>532.4283771</v>
      </c>
      <c r="V104" s="4">
        <f t="shared" si="4"/>
        <v>131.544045</v>
      </c>
      <c r="W104" s="4">
        <f t="shared" si="5"/>
        <v>185.6622378</v>
      </c>
      <c r="X104" s="4">
        <f t="shared" si="6"/>
        <v>256.4283771</v>
      </c>
    </row>
    <row r="105">
      <c r="A105" s="3">
        <v>40875.0</v>
      </c>
      <c r="B105" s="2">
        <v>226.0</v>
      </c>
      <c r="C105" s="2">
        <v>331.0</v>
      </c>
      <c r="D105" s="2">
        <v>1040.0</v>
      </c>
      <c r="E105" s="2">
        <v>105.0</v>
      </c>
      <c r="F105" s="2">
        <v>953.0</v>
      </c>
      <c r="G105" s="2">
        <v>1564.0</v>
      </c>
      <c r="H105" s="2">
        <v>314.0</v>
      </c>
      <c r="I105" s="2">
        <v>3275.0</v>
      </c>
      <c r="J105" s="2">
        <v>436.0</v>
      </c>
      <c r="K105" s="2">
        <v>331.0</v>
      </c>
      <c r="L105" s="4">
        <f t="shared" si="7"/>
        <v>494</v>
      </c>
      <c r="M105" s="4">
        <f t="shared" si="8"/>
        <v>-163</v>
      </c>
      <c r="N105" s="4">
        <f t="shared" si="9"/>
        <v>163</v>
      </c>
      <c r="O105" s="4">
        <f t="shared" si="1"/>
        <v>394.3896405</v>
      </c>
      <c r="P105" s="4">
        <f t="shared" si="2"/>
        <v>405.9635665</v>
      </c>
      <c r="Q105" s="4">
        <f t="shared" si="3"/>
        <v>404.2141886</v>
      </c>
      <c r="V105" s="4">
        <f t="shared" si="4"/>
        <v>63.38964053</v>
      </c>
      <c r="W105" s="4">
        <f t="shared" si="5"/>
        <v>74.96356649</v>
      </c>
      <c r="X105" s="4">
        <f t="shared" si="6"/>
        <v>73.21418857</v>
      </c>
    </row>
    <row r="106">
      <c r="T106" s="1" t="s">
        <v>21</v>
      </c>
      <c r="U106" s="5">
        <f>AVERAGE(N94:N105)</f>
        <v>130.0833333</v>
      </c>
    </row>
    <row r="107">
      <c r="T107" s="1" t="s">
        <v>22</v>
      </c>
      <c r="U107" s="5">
        <f>AVERAGE(V94:V105)</f>
        <v>114.9242675</v>
      </c>
    </row>
    <row r="108">
      <c r="T108" s="1" t="s">
        <v>23</v>
      </c>
      <c r="U108" s="5">
        <f>AVERAGE(W94:W105)</f>
        <v>120.4220069</v>
      </c>
    </row>
    <row r="109">
      <c r="T109" s="1" t="s">
        <v>24</v>
      </c>
      <c r="U109" s="5">
        <f>AVERAGE(X94:X105)</f>
        <v>125.1226009</v>
      </c>
    </row>
    <row r="111">
      <c r="V111" s="1" t="s">
        <v>25</v>
      </c>
      <c r="W111" s="1" t="s">
        <v>26</v>
      </c>
    </row>
    <row r="112">
      <c r="V112" s="4">
        <f>AVERAGE(C2:C105)</f>
        <v>378.5096154</v>
      </c>
      <c r="W112" s="4">
        <f>STDEV(C2:C105)</f>
        <v>175.8470206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0.1</v>
      </c>
      <c r="V1" s="1" t="s">
        <v>18</v>
      </c>
      <c r="W1" s="1" t="s">
        <v>19</v>
      </c>
      <c r="X1" s="1" t="s">
        <v>20</v>
      </c>
    </row>
    <row r="2">
      <c r="A2" s="3">
        <v>40154.0</v>
      </c>
      <c r="B2" s="2">
        <v>0.0</v>
      </c>
      <c r="C2" s="2">
        <v>153.0</v>
      </c>
      <c r="D2" s="2">
        <v>1233.0</v>
      </c>
      <c r="E2" s="2">
        <v>19.0</v>
      </c>
      <c r="F2" s="2">
        <v>1213.0</v>
      </c>
      <c r="G2" s="2">
        <v>663.0</v>
      </c>
      <c r="H2" s="2">
        <v>175.0</v>
      </c>
      <c r="I2" s="2">
        <v>153.0</v>
      </c>
      <c r="J2" s="2">
        <v>0.0</v>
      </c>
      <c r="K2" s="2">
        <v>324.0</v>
      </c>
      <c r="O2" s="4">
        <f>(C2)</f>
        <v>153</v>
      </c>
      <c r="P2" s="4">
        <f>(C2)</f>
        <v>153</v>
      </c>
      <c r="Q2" s="4">
        <f>(C2)</f>
        <v>153</v>
      </c>
      <c r="S2" s="2">
        <v>0.3</v>
      </c>
    </row>
    <row r="3">
      <c r="A3" s="3">
        <v>40161.0</v>
      </c>
      <c r="B3" s="2">
        <v>0.0</v>
      </c>
      <c r="C3" s="2">
        <v>644.0</v>
      </c>
      <c r="D3" s="2">
        <v>1304.0</v>
      </c>
      <c r="E3" s="2">
        <v>52.0</v>
      </c>
      <c r="F3" s="2">
        <v>1324.0</v>
      </c>
      <c r="G3" s="2">
        <v>572.0</v>
      </c>
      <c r="H3" s="2">
        <v>173.0</v>
      </c>
      <c r="I3" s="2">
        <v>644.0</v>
      </c>
      <c r="J3" s="2">
        <v>0.0</v>
      </c>
      <c r="K3" s="2">
        <v>236.0</v>
      </c>
      <c r="O3" s="4">
        <f t="shared" ref="O3:O105" si="1">($S$1*C2+(1-$S$1)*O2)</f>
        <v>153</v>
      </c>
      <c r="P3" s="4">
        <f t="shared" ref="P3:P105" si="2">($S$2*C2+(1-$S$2)*P2)</f>
        <v>153</v>
      </c>
      <c r="Q3" s="4">
        <f t="shared" ref="Q3:Q105" si="3">($S$3*C2+(1-$S$3)*Q2)</f>
        <v>153</v>
      </c>
      <c r="S3" s="2">
        <v>0.5</v>
      </c>
      <c r="V3" s="4">
        <f t="shared" ref="V3:V105" si="4">ABS(C3-O3)</f>
        <v>491</v>
      </c>
      <c r="W3" s="4">
        <f t="shared" ref="W3:W105" si="5">ABS(C3-P3)</f>
        <v>491</v>
      </c>
      <c r="X3" s="4">
        <f t="shared" ref="X3:X105" si="6">ABS(C3-Q3)</f>
        <v>491</v>
      </c>
    </row>
    <row r="4">
      <c r="A4" s="3">
        <v>40168.0</v>
      </c>
      <c r="B4" s="2">
        <v>0.0</v>
      </c>
      <c r="C4" s="2">
        <v>2.0</v>
      </c>
      <c r="D4" s="2">
        <v>36.0</v>
      </c>
      <c r="E4" s="2">
        <v>1.0</v>
      </c>
      <c r="F4" s="2">
        <v>82.0</v>
      </c>
      <c r="G4" s="2">
        <v>69.0</v>
      </c>
      <c r="H4" s="2">
        <v>19.0</v>
      </c>
      <c r="I4" s="2">
        <v>2.0</v>
      </c>
      <c r="J4" s="2">
        <v>0.0</v>
      </c>
      <c r="K4" s="2">
        <v>111.0</v>
      </c>
      <c r="O4" s="4">
        <f t="shared" si="1"/>
        <v>202.1</v>
      </c>
      <c r="P4" s="4">
        <f t="shared" si="2"/>
        <v>300.3</v>
      </c>
      <c r="Q4" s="4">
        <f t="shared" si="3"/>
        <v>398.5</v>
      </c>
      <c r="V4" s="4">
        <f t="shared" si="4"/>
        <v>200.1</v>
      </c>
      <c r="W4" s="4">
        <f t="shared" si="5"/>
        <v>298.3</v>
      </c>
      <c r="X4" s="4">
        <f t="shared" si="6"/>
        <v>396.5</v>
      </c>
    </row>
    <row r="5">
      <c r="A5" s="3">
        <v>40175.0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f t="shared" ref="L5:L105" si="7">AVERAGE(C2:C4)</f>
        <v>266.3333333</v>
      </c>
      <c r="M5" s="4">
        <f t="shared" ref="M5:M105" si="8">(C5-L5)</f>
        <v>-266.3333333</v>
      </c>
      <c r="N5" s="4">
        <f t="shared" ref="N5:N105" si="9">ABS(M5)</f>
        <v>266.3333333</v>
      </c>
      <c r="O5" s="4">
        <f t="shared" si="1"/>
        <v>182.09</v>
      </c>
      <c r="P5" s="4">
        <f t="shared" si="2"/>
        <v>210.81</v>
      </c>
      <c r="Q5" s="4">
        <f t="shared" si="3"/>
        <v>200.25</v>
      </c>
      <c r="V5" s="4">
        <f t="shared" si="4"/>
        <v>182.09</v>
      </c>
      <c r="W5" s="4">
        <f t="shared" si="5"/>
        <v>210.81</v>
      </c>
      <c r="X5" s="4">
        <f t="shared" si="6"/>
        <v>200.25</v>
      </c>
    </row>
    <row r="6">
      <c r="A6" s="3">
        <v>40182.0</v>
      </c>
      <c r="B6" s="2">
        <v>0.0</v>
      </c>
      <c r="C6" s="2">
        <v>21.0</v>
      </c>
      <c r="D6" s="2">
        <v>1152.0</v>
      </c>
      <c r="E6" s="2">
        <v>47.0</v>
      </c>
      <c r="F6" s="2">
        <v>168.0</v>
      </c>
      <c r="G6" s="2">
        <v>0.0</v>
      </c>
      <c r="H6" s="2">
        <v>17.0</v>
      </c>
      <c r="I6" s="2">
        <v>21.0</v>
      </c>
      <c r="J6" s="2">
        <v>0.0</v>
      </c>
      <c r="K6" s="2">
        <v>324.0</v>
      </c>
      <c r="L6" s="4">
        <f t="shared" si="7"/>
        <v>215.3333333</v>
      </c>
      <c r="M6" s="4">
        <f t="shared" si="8"/>
        <v>-194.3333333</v>
      </c>
      <c r="N6" s="4">
        <f t="shared" si="9"/>
        <v>194.3333333</v>
      </c>
      <c r="O6" s="4">
        <f t="shared" si="1"/>
        <v>163.881</v>
      </c>
      <c r="P6" s="4">
        <f t="shared" si="2"/>
        <v>147.567</v>
      </c>
      <c r="Q6" s="4">
        <f t="shared" si="3"/>
        <v>100.125</v>
      </c>
      <c r="V6" s="4">
        <f t="shared" si="4"/>
        <v>142.881</v>
      </c>
      <c r="W6" s="4">
        <f t="shared" si="5"/>
        <v>126.567</v>
      </c>
      <c r="X6" s="4">
        <f t="shared" si="6"/>
        <v>79.125</v>
      </c>
    </row>
    <row r="7">
      <c r="A7" s="3">
        <v>40189.0</v>
      </c>
      <c r="B7" s="2">
        <v>0.0</v>
      </c>
      <c r="C7" s="2">
        <v>72.0</v>
      </c>
      <c r="D7" s="2">
        <v>928.0</v>
      </c>
      <c r="E7" s="2">
        <v>64.0</v>
      </c>
      <c r="F7" s="2">
        <v>233.0</v>
      </c>
      <c r="G7" s="2">
        <v>20.0</v>
      </c>
      <c r="H7" s="2">
        <v>23.0</v>
      </c>
      <c r="I7" s="2">
        <v>72.0</v>
      </c>
      <c r="J7" s="2">
        <v>0.0</v>
      </c>
      <c r="K7" s="2">
        <v>190.0</v>
      </c>
      <c r="L7" s="4">
        <f t="shared" si="7"/>
        <v>7.666666667</v>
      </c>
      <c r="M7" s="4">
        <f t="shared" si="8"/>
        <v>64.33333333</v>
      </c>
      <c r="N7" s="4">
        <f t="shared" si="9"/>
        <v>64.33333333</v>
      </c>
      <c r="O7" s="4">
        <f t="shared" si="1"/>
        <v>149.5929</v>
      </c>
      <c r="P7" s="4">
        <f t="shared" si="2"/>
        <v>109.5969</v>
      </c>
      <c r="Q7" s="4">
        <f t="shared" si="3"/>
        <v>60.5625</v>
      </c>
      <c r="V7" s="4">
        <f t="shared" si="4"/>
        <v>77.5929</v>
      </c>
      <c r="W7" s="4">
        <f t="shared" si="5"/>
        <v>37.5969</v>
      </c>
      <c r="X7" s="4">
        <f t="shared" si="6"/>
        <v>11.4375</v>
      </c>
    </row>
    <row r="8">
      <c r="A8" s="3">
        <v>40196.0</v>
      </c>
      <c r="B8" s="2">
        <v>0.0</v>
      </c>
      <c r="C8" s="2">
        <v>23.0</v>
      </c>
      <c r="D8" s="2">
        <v>627.0</v>
      </c>
      <c r="E8" s="2">
        <v>49.0</v>
      </c>
      <c r="F8" s="2">
        <v>897.0</v>
      </c>
      <c r="G8" s="2">
        <v>3.0</v>
      </c>
      <c r="H8" s="2">
        <v>0.0</v>
      </c>
      <c r="I8" s="2">
        <v>23.0</v>
      </c>
      <c r="J8" s="2">
        <v>0.0</v>
      </c>
      <c r="K8" s="2">
        <v>479.0</v>
      </c>
      <c r="L8" s="4">
        <f t="shared" si="7"/>
        <v>31</v>
      </c>
      <c r="M8" s="4">
        <f t="shared" si="8"/>
        <v>-8</v>
      </c>
      <c r="N8" s="4">
        <f t="shared" si="9"/>
        <v>8</v>
      </c>
      <c r="O8" s="4">
        <f t="shared" si="1"/>
        <v>141.83361</v>
      </c>
      <c r="P8" s="4">
        <f t="shared" si="2"/>
        <v>98.31783</v>
      </c>
      <c r="Q8" s="4">
        <f t="shared" si="3"/>
        <v>66.28125</v>
      </c>
      <c r="V8" s="4">
        <f t="shared" si="4"/>
        <v>118.83361</v>
      </c>
      <c r="W8" s="4">
        <f t="shared" si="5"/>
        <v>75.31783</v>
      </c>
      <c r="X8" s="4">
        <f t="shared" si="6"/>
        <v>43.28125</v>
      </c>
    </row>
    <row r="9">
      <c r="A9" s="3">
        <v>40203.0</v>
      </c>
      <c r="B9" s="2">
        <v>0.0</v>
      </c>
      <c r="C9" s="2">
        <v>621.0</v>
      </c>
      <c r="D9" s="2">
        <v>864.0</v>
      </c>
      <c r="E9" s="2">
        <v>186.0</v>
      </c>
      <c r="F9" s="2">
        <v>211.0</v>
      </c>
      <c r="G9" s="2">
        <v>0.0</v>
      </c>
      <c r="H9" s="2">
        <v>0.0</v>
      </c>
      <c r="I9" s="2">
        <v>621.0</v>
      </c>
      <c r="J9" s="2">
        <v>114.0</v>
      </c>
      <c r="K9" s="2">
        <v>504.0</v>
      </c>
      <c r="L9" s="4">
        <f t="shared" si="7"/>
        <v>38.66666667</v>
      </c>
      <c r="M9" s="4">
        <f t="shared" si="8"/>
        <v>582.3333333</v>
      </c>
      <c r="N9" s="4">
        <f t="shared" si="9"/>
        <v>582.3333333</v>
      </c>
      <c r="O9" s="4">
        <f t="shared" si="1"/>
        <v>129.950249</v>
      </c>
      <c r="P9" s="4">
        <f t="shared" si="2"/>
        <v>75.722481</v>
      </c>
      <c r="Q9" s="4">
        <f t="shared" si="3"/>
        <v>44.640625</v>
      </c>
      <c r="V9" s="4">
        <f t="shared" si="4"/>
        <v>491.049751</v>
      </c>
      <c r="W9" s="4">
        <f t="shared" si="5"/>
        <v>545.277519</v>
      </c>
      <c r="X9" s="4">
        <f t="shared" si="6"/>
        <v>576.359375</v>
      </c>
    </row>
    <row r="10">
      <c r="A10" s="3">
        <v>40210.0</v>
      </c>
      <c r="B10" s="2">
        <v>0.0</v>
      </c>
      <c r="C10" s="2">
        <v>81.0</v>
      </c>
      <c r="D10" s="2">
        <v>488.0</v>
      </c>
      <c r="E10" s="2">
        <v>53.0</v>
      </c>
      <c r="F10" s="2">
        <v>274.0</v>
      </c>
      <c r="G10" s="2">
        <v>0.0</v>
      </c>
      <c r="H10" s="2">
        <v>24.0</v>
      </c>
      <c r="I10" s="2">
        <v>81.0</v>
      </c>
      <c r="J10" s="2">
        <v>338.0</v>
      </c>
      <c r="K10" s="2">
        <v>326.0</v>
      </c>
      <c r="L10" s="4">
        <f t="shared" si="7"/>
        <v>238.6666667</v>
      </c>
      <c r="M10" s="4">
        <f t="shared" si="8"/>
        <v>-157.6666667</v>
      </c>
      <c r="N10" s="4">
        <f t="shared" si="9"/>
        <v>157.6666667</v>
      </c>
      <c r="O10" s="4">
        <f t="shared" si="1"/>
        <v>179.0552241</v>
      </c>
      <c r="P10" s="4">
        <f t="shared" si="2"/>
        <v>239.3057367</v>
      </c>
      <c r="Q10" s="4">
        <f t="shared" si="3"/>
        <v>332.8203125</v>
      </c>
      <c r="V10" s="4">
        <f t="shared" si="4"/>
        <v>98.0552241</v>
      </c>
      <c r="W10" s="4">
        <f t="shared" si="5"/>
        <v>158.3057367</v>
      </c>
      <c r="X10" s="4">
        <f t="shared" si="6"/>
        <v>251.8203125</v>
      </c>
    </row>
    <row r="11">
      <c r="A11" s="3">
        <v>40217.0</v>
      </c>
      <c r="B11" s="2">
        <v>0.0</v>
      </c>
      <c r="C11" s="2">
        <v>68.0</v>
      </c>
      <c r="D11" s="2">
        <v>547.0</v>
      </c>
      <c r="E11" s="2">
        <v>51.0</v>
      </c>
      <c r="F11" s="2">
        <v>512.0</v>
      </c>
      <c r="G11" s="2">
        <v>0.0</v>
      </c>
      <c r="H11" s="2">
        <v>0.0</v>
      </c>
      <c r="I11" s="2">
        <v>68.0</v>
      </c>
      <c r="J11" s="2">
        <v>314.0</v>
      </c>
      <c r="K11" s="2">
        <v>213.0</v>
      </c>
      <c r="L11" s="4">
        <f t="shared" si="7"/>
        <v>241.6666667</v>
      </c>
      <c r="M11" s="4">
        <f t="shared" si="8"/>
        <v>-173.6666667</v>
      </c>
      <c r="N11" s="4">
        <f t="shared" si="9"/>
        <v>173.6666667</v>
      </c>
      <c r="O11" s="4">
        <f t="shared" si="1"/>
        <v>169.2497017</v>
      </c>
      <c r="P11" s="4">
        <f t="shared" si="2"/>
        <v>191.8140157</v>
      </c>
      <c r="Q11" s="4">
        <f t="shared" si="3"/>
        <v>206.9101563</v>
      </c>
      <c r="V11" s="4">
        <f t="shared" si="4"/>
        <v>101.2497017</v>
      </c>
      <c r="W11" s="4">
        <f t="shared" si="5"/>
        <v>123.8140157</v>
      </c>
      <c r="X11" s="4">
        <f t="shared" si="6"/>
        <v>138.9101563</v>
      </c>
    </row>
    <row r="12">
      <c r="A12" s="3">
        <v>40224.0</v>
      </c>
      <c r="B12" s="2">
        <v>0.0</v>
      </c>
      <c r="C12" s="2">
        <v>19.0</v>
      </c>
      <c r="D12" s="2">
        <v>1014.0</v>
      </c>
      <c r="E12" s="2">
        <v>159.0</v>
      </c>
      <c r="F12" s="2">
        <v>587.0</v>
      </c>
      <c r="G12" s="2">
        <v>0.0</v>
      </c>
      <c r="H12" s="2">
        <v>1.0</v>
      </c>
      <c r="I12" s="2">
        <v>19.0</v>
      </c>
      <c r="J12" s="2">
        <v>720.0</v>
      </c>
      <c r="K12" s="2">
        <v>442.0</v>
      </c>
      <c r="L12" s="4">
        <f t="shared" si="7"/>
        <v>256.6666667</v>
      </c>
      <c r="M12" s="4">
        <f t="shared" si="8"/>
        <v>-237.6666667</v>
      </c>
      <c r="N12" s="4">
        <f t="shared" si="9"/>
        <v>237.6666667</v>
      </c>
      <c r="O12" s="4">
        <f t="shared" si="1"/>
        <v>159.1247315</v>
      </c>
      <c r="P12" s="4">
        <f t="shared" si="2"/>
        <v>154.669811</v>
      </c>
      <c r="Q12" s="4">
        <f t="shared" si="3"/>
        <v>137.4550781</v>
      </c>
      <c r="V12" s="4">
        <f t="shared" si="4"/>
        <v>140.1247315</v>
      </c>
      <c r="W12" s="4">
        <f t="shared" si="5"/>
        <v>135.669811</v>
      </c>
      <c r="X12" s="4">
        <f t="shared" si="6"/>
        <v>118.4550781</v>
      </c>
    </row>
    <row r="13">
      <c r="A13" s="3">
        <v>40231.0</v>
      </c>
      <c r="B13" s="2">
        <v>0.0</v>
      </c>
      <c r="C13" s="2">
        <v>1407.0</v>
      </c>
      <c r="D13" s="2">
        <v>613.0</v>
      </c>
      <c r="E13" s="2">
        <v>79.0</v>
      </c>
      <c r="F13" s="2">
        <v>294.0</v>
      </c>
      <c r="G13" s="2">
        <v>0.0</v>
      </c>
      <c r="H13" s="2">
        <v>0.0</v>
      </c>
      <c r="I13" s="2">
        <v>1407.0</v>
      </c>
      <c r="J13" s="2">
        <v>551.0</v>
      </c>
      <c r="K13" s="2">
        <v>272.0</v>
      </c>
      <c r="L13" s="4">
        <f t="shared" si="7"/>
        <v>56</v>
      </c>
      <c r="M13" s="4">
        <f t="shared" si="8"/>
        <v>1351</v>
      </c>
      <c r="N13" s="4">
        <f t="shared" si="9"/>
        <v>1351</v>
      </c>
      <c r="O13" s="4">
        <f t="shared" si="1"/>
        <v>145.1122584</v>
      </c>
      <c r="P13" s="4">
        <f t="shared" si="2"/>
        <v>113.9688677</v>
      </c>
      <c r="Q13" s="4">
        <f t="shared" si="3"/>
        <v>78.22753906</v>
      </c>
      <c r="V13" s="4">
        <f t="shared" si="4"/>
        <v>1261.887742</v>
      </c>
      <c r="W13" s="4">
        <f t="shared" si="5"/>
        <v>1293.031132</v>
      </c>
      <c r="X13" s="4">
        <f t="shared" si="6"/>
        <v>1328.772461</v>
      </c>
    </row>
    <row r="14">
      <c r="A14" s="3">
        <v>40238.0</v>
      </c>
      <c r="B14" s="2">
        <v>0.0</v>
      </c>
      <c r="C14" s="2">
        <v>133.0</v>
      </c>
      <c r="D14" s="2">
        <v>754.0</v>
      </c>
      <c r="E14" s="2">
        <v>78.0</v>
      </c>
      <c r="F14" s="2">
        <v>735.0</v>
      </c>
      <c r="G14" s="2">
        <v>3.0</v>
      </c>
      <c r="H14" s="2">
        <v>2.0</v>
      </c>
      <c r="I14" s="2">
        <v>133.0</v>
      </c>
      <c r="J14" s="2">
        <v>306.0</v>
      </c>
      <c r="K14" s="2">
        <v>409.0</v>
      </c>
      <c r="L14" s="4">
        <f t="shared" si="7"/>
        <v>498</v>
      </c>
      <c r="M14" s="4">
        <f t="shared" si="8"/>
        <v>-365</v>
      </c>
      <c r="N14" s="4">
        <f t="shared" si="9"/>
        <v>365</v>
      </c>
      <c r="O14" s="4">
        <f t="shared" si="1"/>
        <v>271.3010325</v>
      </c>
      <c r="P14" s="4">
        <f t="shared" si="2"/>
        <v>501.8782074</v>
      </c>
      <c r="Q14" s="4">
        <f t="shared" si="3"/>
        <v>742.6137695</v>
      </c>
      <c r="V14" s="4">
        <f t="shared" si="4"/>
        <v>138.3010325</v>
      </c>
      <c r="W14" s="4">
        <f t="shared" si="5"/>
        <v>368.8782074</v>
      </c>
      <c r="X14" s="4">
        <f t="shared" si="6"/>
        <v>609.6137695</v>
      </c>
    </row>
    <row r="15">
      <c r="A15" s="3">
        <v>40245.0</v>
      </c>
      <c r="B15" s="2">
        <v>0.0</v>
      </c>
      <c r="C15" s="2">
        <v>47.0</v>
      </c>
      <c r="D15" s="2">
        <v>800.0</v>
      </c>
      <c r="E15" s="2">
        <v>262.0</v>
      </c>
      <c r="F15" s="2">
        <v>917.0</v>
      </c>
      <c r="G15" s="2">
        <v>0.0</v>
      </c>
      <c r="H15" s="2">
        <v>0.0</v>
      </c>
      <c r="I15" s="2">
        <v>47.0</v>
      </c>
      <c r="J15" s="2">
        <v>405.0</v>
      </c>
      <c r="K15" s="2">
        <v>337.0</v>
      </c>
      <c r="L15" s="4">
        <f t="shared" si="7"/>
        <v>519.6666667</v>
      </c>
      <c r="M15" s="4">
        <f t="shared" si="8"/>
        <v>-472.6666667</v>
      </c>
      <c r="N15" s="4">
        <f t="shared" si="9"/>
        <v>472.6666667</v>
      </c>
      <c r="O15" s="4">
        <f t="shared" si="1"/>
        <v>257.4709293</v>
      </c>
      <c r="P15" s="4">
        <f t="shared" si="2"/>
        <v>391.2147452</v>
      </c>
      <c r="Q15" s="4">
        <f t="shared" si="3"/>
        <v>437.8068848</v>
      </c>
      <c r="V15" s="4">
        <f t="shared" si="4"/>
        <v>210.4709293</v>
      </c>
      <c r="W15" s="4">
        <f t="shared" si="5"/>
        <v>344.2147452</v>
      </c>
      <c r="X15" s="4">
        <f t="shared" si="6"/>
        <v>390.8068848</v>
      </c>
    </row>
    <row r="16">
      <c r="A16" s="3">
        <v>40252.0</v>
      </c>
      <c r="B16" s="2">
        <v>194.0</v>
      </c>
      <c r="C16" s="2">
        <v>826.0</v>
      </c>
      <c r="D16" s="2">
        <v>555.0</v>
      </c>
      <c r="E16" s="2">
        <v>224.0</v>
      </c>
      <c r="F16" s="2">
        <v>551.0</v>
      </c>
      <c r="G16" s="2">
        <v>12.0</v>
      </c>
      <c r="H16" s="2">
        <v>0.0</v>
      </c>
      <c r="I16" s="2">
        <v>826.0</v>
      </c>
      <c r="J16" s="2">
        <v>179.0</v>
      </c>
      <c r="K16" s="2">
        <v>375.0</v>
      </c>
      <c r="L16" s="4">
        <f t="shared" si="7"/>
        <v>529</v>
      </c>
      <c r="M16" s="4">
        <f t="shared" si="8"/>
        <v>297</v>
      </c>
      <c r="N16" s="4">
        <f t="shared" si="9"/>
        <v>297</v>
      </c>
      <c r="O16" s="4">
        <f t="shared" si="1"/>
        <v>236.4238364</v>
      </c>
      <c r="P16" s="4">
        <f t="shared" si="2"/>
        <v>287.9503216</v>
      </c>
      <c r="Q16" s="4">
        <f t="shared" si="3"/>
        <v>242.4034424</v>
      </c>
      <c r="V16" s="4">
        <f t="shared" si="4"/>
        <v>589.5761636</v>
      </c>
      <c r="W16" s="4">
        <f t="shared" si="5"/>
        <v>538.0496784</v>
      </c>
      <c r="X16" s="4">
        <f t="shared" si="6"/>
        <v>583.5965576</v>
      </c>
    </row>
    <row r="17">
      <c r="A17" s="3">
        <v>40259.0</v>
      </c>
      <c r="B17" s="2">
        <v>410.0</v>
      </c>
      <c r="C17" s="2">
        <v>103.0</v>
      </c>
      <c r="D17" s="2">
        <v>930.0</v>
      </c>
      <c r="E17" s="2">
        <v>212.0</v>
      </c>
      <c r="F17" s="2">
        <v>808.0</v>
      </c>
      <c r="G17" s="2">
        <v>0.0</v>
      </c>
      <c r="H17" s="2">
        <v>0.0</v>
      </c>
      <c r="I17" s="2">
        <v>103.0</v>
      </c>
      <c r="J17" s="2">
        <v>467.0</v>
      </c>
      <c r="K17" s="2">
        <v>177.0</v>
      </c>
      <c r="L17" s="4">
        <f t="shared" si="7"/>
        <v>335.3333333</v>
      </c>
      <c r="M17" s="4">
        <f t="shared" si="8"/>
        <v>-232.3333333</v>
      </c>
      <c r="N17" s="4">
        <f t="shared" si="9"/>
        <v>232.3333333</v>
      </c>
      <c r="O17" s="4">
        <f t="shared" si="1"/>
        <v>295.3814527</v>
      </c>
      <c r="P17" s="4">
        <f t="shared" si="2"/>
        <v>449.3652251</v>
      </c>
      <c r="Q17" s="4">
        <f t="shared" si="3"/>
        <v>534.2017212</v>
      </c>
      <c r="V17" s="4">
        <f t="shared" si="4"/>
        <v>192.3814527</v>
      </c>
      <c r="W17" s="4">
        <f t="shared" si="5"/>
        <v>346.3652251</v>
      </c>
      <c r="X17" s="4">
        <f t="shared" si="6"/>
        <v>431.2017212</v>
      </c>
    </row>
    <row r="18">
      <c r="A18" s="3">
        <v>40266.0</v>
      </c>
      <c r="B18" s="2">
        <v>186.0</v>
      </c>
      <c r="C18" s="2">
        <v>423.0</v>
      </c>
      <c r="D18" s="2">
        <v>588.0</v>
      </c>
      <c r="E18" s="2">
        <v>149.0</v>
      </c>
      <c r="F18" s="2">
        <v>331.0</v>
      </c>
      <c r="G18" s="2">
        <v>2.0</v>
      </c>
      <c r="H18" s="2">
        <v>450.0</v>
      </c>
      <c r="I18" s="2">
        <v>423.0</v>
      </c>
      <c r="J18" s="2">
        <v>331.0</v>
      </c>
      <c r="K18" s="2">
        <v>425.0</v>
      </c>
      <c r="L18" s="4">
        <f t="shared" si="7"/>
        <v>325.3333333</v>
      </c>
      <c r="M18" s="4">
        <f t="shared" si="8"/>
        <v>97.66666667</v>
      </c>
      <c r="N18" s="4">
        <f t="shared" si="9"/>
        <v>97.66666667</v>
      </c>
      <c r="O18" s="4">
        <f t="shared" si="1"/>
        <v>276.1433074</v>
      </c>
      <c r="P18" s="4">
        <f t="shared" si="2"/>
        <v>345.4556576</v>
      </c>
      <c r="Q18" s="4">
        <f t="shared" si="3"/>
        <v>318.6008606</v>
      </c>
      <c r="V18" s="4">
        <f t="shared" si="4"/>
        <v>146.8566926</v>
      </c>
      <c r="W18" s="4">
        <f t="shared" si="5"/>
        <v>77.54434241</v>
      </c>
      <c r="X18" s="4">
        <f t="shared" si="6"/>
        <v>104.3991394</v>
      </c>
    </row>
    <row r="19">
      <c r="A19" s="3">
        <v>40273.0</v>
      </c>
      <c r="B19" s="2">
        <v>230.0</v>
      </c>
      <c r="C19" s="2">
        <v>716.0</v>
      </c>
      <c r="D19" s="2">
        <v>416.0</v>
      </c>
      <c r="E19" s="2">
        <v>179.0</v>
      </c>
      <c r="F19" s="2">
        <v>736.0</v>
      </c>
      <c r="G19" s="2">
        <v>0.0</v>
      </c>
      <c r="H19" s="2">
        <v>216.0</v>
      </c>
      <c r="I19" s="2">
        <v>716.0</v>
      </c>
      <c r="J19" s="2">
        <v>164.0</v>
      </c>
      <c r="K19" s="2">
        <v>298.0</v>
      </c>
      <c r="L19" s="4">
        <f t="shared" si="7"/>
        <v>450.6666667</v>
      </c>
      <c r="M19" s="4">
        <f t="shared" si="8"/>
        <v>265.3333333</v>
      </c>
      <c r="N19" s="4">
        <f t="shared" si="9"/>
        <v>265.3333333</v>
      </c>
      <c r="O19" s="4">
        <f t="shared" si="1"/>
        <v>290.8289767</v>
      </c>
      <c r="P19" s="4">
        <f t="shared" si="2"/>
        <v>368.7189603</v>
      </c>
      <c r="Q19" s="4">
        <f t="shared" si="3"/>
        <v>370.8004303</v>
      </c>
      <c r="V19" s="4">
        <f t="shared" si="4"/>
        <v>425.1710233</v>
      </c>
      <c r="W19" s="4">
        <f t="shared" si="5"/>
        <v>347.2810397</v>
      </c>
      <c r="X19" s="4">
        <f t="shared" si="6"/>
        <v>345.1995697</v>
      </c>
    </row>
    <row r="20">
      <c r="A20" s="3">
        <v>40280.0</v>
      </c>
      <c r="B20" s="2">
        <v>293.0</v>
      </c>
      <c r="C20" s="2">
        <v>224.0</v>
      </c>
      <c r="D20" s="2">
        <v>1007.0</v>
      </c>
      <c r="E20" s="2">
        <v>386.0</v>
      </c>
      <c r="F20" s="2">
        <v>653.0</v>
      </c>
      <c r="G20" s="2">
        <v>0.0</v>
      </c>
      <c r="H20" s="2">
        <v>91.0</v>
      </c>
      <c r="I20" s="2">
        <v>224.0</v>
      </c>
      <c r="J20" s="2">
        <v>218.0</v>
      </c>
      <c r="K20" s="2">
        <v>477.0</v>
      </c>
      <c r="L20" s="4">
        <f t="shared" si="7"/>
        <v>414</v>
      </c>
      <c r="M20" s="4">
        <f t="shared" si="8"/>
        <v>-190</v>
      </c>
      <c r="N20" s="4">
        <f t="shared" si="9"/>
        <v>190</v>
      </c>
      <c r="O20" s="4">
        <f t="shared" si="1"/>
        <v>333.346079</v>
      </c>
      <c r="P20" s="4">
        <f t="shared" si="2"/>
        <v>472.9032722</v>
      </c>
      <c r="Q20" s="4">
        <f t="shared" si="3"/>
        <v>543.4002151</v>
      </c>
      <c r="V20" s="4">
        <f t="shared" si="4"/>
        <v>109.346079</v>
      </c>
      <c r="W20" s="4">
        <f t="shared" si="5"/>
        <v>248.9032722</v>
      </c>
      <c r="X20" s="4">
        <f t="shared" si="6"/>
        <v>319.4002151</v>
      </c>
    </row>
    <row r="21">
      <c r="A21" s="3">
        <v>40287.0</v>
      </c>
      <c r="B21" s="2">
        <v>349.0</v>
      </c>
      <c r="C21" s="2">
        <v>378.0</v>
      </c>
      <c r="D21" s="2">
        <v>645.0</v>
      </c>
      <c r="E21" s="2">
        <v>525.0</v>
      </c>
      <c r="F21" s="2">
        <v>504.0</v>
      </c>
      <c r="G21" s="2">
        <v>1.0</v>
      </c>
      <c r="H21" s="2">
        <v>116.0</v>
      </c>
      <c r="I21" s="2">
        <v>378.0</v>
      </c>
      <c r="J21" s="2">
        <v>248.0</v>
      </c>
      <c r="K21" s="2">
        <v>297.0</v>
      </c>
      <c r="L21" s="4">
        <f t="shared" si="7"/>
        <v>454.3333333</v>
      </c>
      <c r="M21" s="4">
        <f t="shared" si="8"/>
        <v>-76.33333333</v>
      </c>
      <c r="N21" s="4">
        <f t="shared" si="9"/>
        <v>76.33333333</v>
      </c>
      <c r="O21" s="4">
        <f t="shared" si="1"/>
        <v>322.4114711</v>
      </c>
      <c r="P21" s="4">
        <f t="shared" si="2"/>
        <v>398.2322906</v>
      </c>
      <c r="Q21" s="4">
        <f t="shared" si="3"/>
        <v>383.7001076</v>
      </c>
      <c r="V21" s="4">
        <f t="shared" si="4"/>
        <v>55.58852887</v>
      </c>
      <c r="W21" s="4">
        <f t="shared" si="5"/>
        <v>20.23229055</v>
      </c>
      <c r="X21" s="4">
        <f t="shared" si="6"/>
        <v>5.700107574</v>
      </c>
    </row>
    <row r="22">
      <c r="A22" s="3">
        <v>40294.0</v>
      </c>
      <c r="B22" s="2">
        <v>276.0</v>
      </c>
      <c r="C22" s="2">
        <v>500.0</v>
      </c>
      <c r="D22" s="2">
        <v>1539.0</v>
      </c>
      <c r="E22" s="2">
        <v>418.0</v>
      </c>
      <c r="F22" s="2">
        <v>919.0</v>
      </c>
      <c r="G22" s="2">
        <v>18.0</v>
      </c>
      <c r="H22" s="2">
        <v>55.0</v>
      </c>
      <c r="I22" s="2">
        <v>500.0</v>
      </c>
      <c r="J22" s="2">
        <v>386.0</v>
      </c>
      <c r="K22" s="2">
        <v>304.0</v>
      </c>
      <c r="L22" s="4">
        <f t="shared" si="7"/>
        <v>439.3333333</v>
      </c>
      <c r="M22" s="4">
        <f t="shared" si="8"/>
        <v>60.66666667</v>
      </c>
      <c r="N22" s="4">
        <f t="shared" si="9"/>
        <v>60.66666667</v>
      </c>
      <c r="O22" s="4">
        <f t="shared" si="1"/>
        <v>327.970324</v>
      </c>
      <c r="P22" s="4">
        <f t="shared" si="2"/>
        <v>392.1626034</v>
      </c>
      <c r="Q22" s="4">
        <f t="shared" si="3"/>
        <v>380.8500538</v>
      </c>
      <c r="V22" s="4">
        <f t="shared" si="4"/>
        <v>172.029676</v>
      </c>
      <c r="W22" s="4">
        <f t="shared" si="5"/>
        <v>107.8373966</v>
      </c>
      <c r="X22" s="4">
        <f t="shared" si="6"/>
        <v>119.1499462</v>
      </c>
    </row>
    <row r="23">
      <c r="A23" s="3">
        <v>40301.0</v>
      </c>
      <c r="B23" s="2">
        <v>306.0</v>
      </c>
      <c r="C23" s="2">
        <v>203.0</v>
      </c>
      <c r="D23" s="2">
        <v>1207.0</v>
      </c>
      <c r="E23" s="2">
        <v>565.0</v>
      </c>
      <c r="F23" s="2">
        <v>342.0</v>
      </c>
      <c r="G23" s="2">
        <v>46.0</v>
      </c>
      <c r="H23" s="2">
        <v>62.0</v>
      </c>
      <c r="I23" s="2">
        <v>203.0</v>
      </c>
      <c r="J23" s="2">
        <v>751.0</v>
      </c>
      <c r="K23" s="2">
        <v>711.0</v>
      </c>
      <c r="L23" s="4">
        <f t="shared" si="7"/>
        <v>367.3333333</v>
      </c>
      <c r="M23" s="4">
        <f t="shared" si="8"/>
        <v>-164.3333333</v>
      </c>
      <c r="N23" s="4">
        <f t="shared" si="9"/>
        <v>164.3333333</v>
      </c>
      <c r="O23" s="4">
        <f t="shared" si="1"/>
        <v>345.1732916</v>
      </c>
      <c r="P23" s="4">
        <f t="shared" si="2"/>
        <v>424.5138224</v>
      </c>
      <c r="Q23" s="4">
        <f t="shared" si="3"/>
        <v>440.4250269</v>
      </c>
      <c r="V23" s="4">
        <f t="shared" si="4"/>
        <v>142.1732916</v>
      </c>
      <c r="W23" s="4">
        <f t="shared" si="5"/>
        <v>221.5138224</v>
      </c>
      <c r="X23" s="4">
        <f t="shared" si="6"/>
        <v>237.4250269</v>
      </c>
    </row>
    <row r="24">
      <c r="A24" s="3">
        <v>40308.0</v>
      </c>
      <c r="B24" s="2">
        <v>130.0</v>
      </c>
      <c r="C24" s="2">
        <v>180.0</v>
      </c>
      <c r="D24" s="2">
        <v>987.0</v>
      </c>
      <c r="E24" s="2">
        <v>436.0</v>
      </c>
      <c r="F24" s="2">
        <v>907.0</v>
      </c>
      <c r="G24" s="2">
        <v>6.0</v>
      </c>
      <c r="H24" s="2">
        <v>16.0</v>
      </c>
      <c r="I24" s="2">
        <v>180.0</v>
      </c>
      <c r="J24" s="2">
        <v>290.0</v>
      </c>
      <c r="K24" s="2">
        <v>517.0</v>
      </c>
      <c r="L24" s="4">
        <f t="shared" si="7"/>
        <v>360.3333333</v>
      </c>
      <c r="M24" s="4">
        <f t="shared" si="8"/>
        <v>-180.3333333</v>
      </c>
      <c r="N24" s="4">
        <f t="shared" si="9"/>
        <v>180.3333333</v>
      </c>
      <c r="O24" s="4">
        <f t="shared" si="1"/>
        <v>330.9559625</v>
      </c>
      <c r="P24" s="4">
        <f t="shared" si="2"/>
        <v>358.0596757</v>
      </c>
      <c r="Q24" s="4">
        <f t="shared" si="3"/>
        <v>321.7125134</v>
      </c>
      <c r="V24" s="4">
        <f t="shared" si="4"/>
        <v>150.9559625</v>
      </c>
      <c r="W24" s="4">
        <f t="shared" si="5"/>
        <v>178.0596757</v>
      </c>
      <c r="X24" s="4">
        <f t="shared" si="6"/>
        <v>141.7125134</v>
      </c>
    </row>
    <row r="25">
      <c r="A25" s="3">
        <v>40315.0</v>
      </c>
      <c r="B25" s="2">
        <v>28.0</v>
      </c>
      <c r="C25" s="2">
        <v>192.0</v>
      </c>
      <c r="D25" s="2">
        <v>621.0</v>
      </c>
      <c r="E25" s="2">
        <v>450.0</v>
      </c>
      <c r="F25" s="2">
        <v>283.0</v>
      </c>
      <c r="G25" s="2">
        <v>6.0</v>
      </c>
      <c r="H25" s="2">
        <v>87.0</v>
      </c>
      <c r="I25" s="2">
        <v>192.0</v>
      </c>
      <c r="J25" s="2">
        <v>512.0</v>
      </c>
      <c r="K25" s="2">
        <v>265.0</v>
      </c>
      <c r="L25" s="4">
        <f t="shared" si="7"/>
        <v>294.3333333</v>
      </c>
      <c r="M25" s="4">
        <f t="shared" si="8"/>
        <v>-102.3333333</v>
      </c>
      <c r="N25" s="4">
        <f t="shared" si="9"/>
        <v>102.3333333</v>
      </c>
      <c r="O25" s="4">
        <f t="shared" si="1"/>
        <v>315.8603662</v>
      </c>
      <c r="P25" s="4">
        <f t="shared" si="2"/>
        <v>304.641773</v>
      </c>
      <c r="Q25" s="4">
        <f t="shared" si="3"/>
        <v>250.8562567</v>
      </c>
      <c r="V25" s="4">
        <f t="shared" si="4"/>
        <v>123.8603662</v>
      </c>
      <c r="W25" s="4">
        <f t="shared" si="5"/>
        <v>112.641773</v>
      </c>
      <c r="X25" s="4">
        <f t="shared" si="6"/>
        <v>58.85625672</v>
      </c>
    </row>
    <row r="26">
      <c r="A26" s="3">
        <v>40322.0</v>
      </c>
      <c r="B26" s="2">
        <v>15.0</v>
      </c>
      <c r="C26" s="2">
        <v>218.0</v>
      </c>
      <c r="D26" s="2">
        <v>760.0</v>
      </c>
      <c r="E26" s="2">
        <v>671.0</v>
      </c>
      <c r="F26" s="2">
        <v>560.0</v>
      </c>
      <c r="G26" s="2">
        <v>0.0</v>
      </c>
      <c r="H26" s="2">
        <v>69.0</v>
      </c>
      <c r="I26" s="2">
        <v>218.0</v>
      </c>
      <c r="J26" s="2">
        <v>279.0</v>
      </c>
      <c r="K26" s="2">
        <v>674.0</v>
      </c>
      <c r="L26" s="4">
        <f t="shared" si="7"/>
        <v>191.6666667</v>
      </c>
      <c r="M26" s="4">
        <f t="shared" si="8"/>
        <v>26.33333333</v>
      </c>
      <c r="N26" s="4">
        <f t="shared" si="9"/>
        <v>26.33333333</v>
      </c>
      <c r="O26" s="4">
        <f t="shared" si="1"/>
        <v>303.4743296</v>
      </c>
      <c r="P26" s="4">
        <f t="shared" si="2"/>
        <v>270.8492411</v>
      </c>
      <c r="Q26" s="4">
        <f t="shared" si="3"/>
        <v>221.4281284</v>
      </c>
      <c r="V26" s="4">
        <f t="shared" si="4"/>
        <v>85.47432959</v>
      </c>
      <c r="W26" s="4">
        <f t="shared" si="5"/>
        <v>52.84924107</v>
      </c>
      <c r="X26" s="4">
        <f t="shared" si="6"/>
        <v>3.428128362</v>
      </c>
    </row>
    <row r="27">
      <c r="A27" s="3">
        <v>40329.0</v>
      </c>
      <c r="B27" s="2">
        <v>93.0</v>
      </c>
      <c r="C27" s="2">
        <v>145.0</v>
      </c>
      <c r="D27" s="2">
        <v>727.0</v>
      </c>
      <c r="E27" s="2">
        <v>301.0</v>
      </c>
      <c r="F27" s="2">
        <v>309.0</v>
      </c>
      <c r="G27" s="2">
        <v>4.0</v>
      </c>
      <c r="H27" s="2">
        <v>29.0</v>
      </c>
      <c r="I27" s="2">
        <v>145.0</v>
      </c>
      <c r="J27" s="2">
        <v>236.0</v>
      </c>
      <c r="K27" s="2">
        <v>300.0</v>
      </c>
      <c r="L27" s="4">
        <f t="shared" si="7"/>
        <v>196.6666667</v>
      </c>
      <c r="M27" s="4">
        <f t="shared" si="8"/>
        <v>-51.66666667</v>
      </c>
      <c r="N27" s="4">
        <f t="shared" si="9"/>
        <v>51.66666667</v>
      </c>
      <c r="O27" s="4">
        <f t="shared" si="1"/>
        <v>294.9268966</v>
      </c>
      <c r="P27" s="4">
        <f t="shared" si="2"/>
        <v>254.9944688</v>
      </c>
      <c r="Q27" s="4">
        <f t="shared" si="3"/>
        <v>219.7140642</v>
      </c>
      <c r="V27" s="4">
        <f t="shared" si="4"/>
        <v>149.9268966</v>
      </c>
      <c r="W27" s="4">
        <f t="shared" si="5"/>
        <v>109.9944688</v>
      </c>
      <c r="X27" s="4">
        <f t="shared" si="6"/>
        <v>74.71406418</v>
      </c>
    </row>
    <row r="28">
      <c r="A28" s="3">
        <v>40336.0</v>
      </c>
      <c r="B28" s="2">
        <v>454.0</v>
      </c>
      <c r="C28" s="2">
        <v>617.0</v>
      </c>
      <c r="D28" s="2">
        <v>973.0</v>
      </c>
      <c r="E28" s="2">
        <v>716.0</v>
      </c>
      <c r="F28" s="2">
        <v>264.0</v>
      </c>
      <c r="G28" s="2">
        <v>3.0</v>
      </c>
      <c r="H28" s="2">
        <v>220.0</v>
      </c>
      <c r="I28" s="2">
        <v>617.0</v>
      </c>
      <c r="J28" s="2">
        <v>429.0</v>
      </c>
      <c r="K28" s="2">
        <v>408.0</v>
      </c>
      <c r="L28" s="4">
        <f t="shared" si="7"/>
        <v>185</v>
      </c>
      <c r="M28" s="4">
        <f t="shared" si="8"/>
        <v>432</v>
      </c>
      <c r="N28" s="4">
        <f t="shared" si="9"/>
        <v>432</v>
      </c>
      <c r="O28" s="4">
        <f t="shared" si="1"/>
        <v>279.934207</v>
      </c>
      <c r="P28" s="4">
        <f t="shared" si="2"/>
        <v>221.9961281</v>
      </c>
      <c r="Q28" s="4">
        <f t="shared" si="3"/>
        <v>182.3570321</v>
      </c>
      <c r="V28" s="4">
        <f t="shared" si="4"/>
        <v>337.065793</v>
      </c>
      <c r="W28" s="4">
        <f t="shared" si="5"/>
        <v>395.0038719</v>
      </c>
      <c r="X28" s="4">
        <f t="shared" si="6"/>
        <v>434.6429679</v>
      </c>
    </row>
    <row r="29">
      <c r="A29" s="3">
        <v>40343.0</v>
      </c>
      <c r="B29" s="2">
        <v>432.0</v>
      </c>
      <c r="C29" s="2">
        <v>625.0</v>
      </c>
      <c r="D29" s="2">
        <v>696.0</v>
      </c>
      <c r="E29" s="2">
        <v>142.0</v>
      </c>
      <c r="F29" s="2">
        <v>569.0</v>
      </c>
      <c r="G29" s="2">
        <v>28.0</v>
      </c>
      <c r="H29" s="2">
        <v>25.0</v>
      </c>
      <c r="I29" s="2">
        <v>625.0</v>
      </c>
      <c r="J29" s="2">
        <v>362.0</v>
      </c>
      <c r="K29" s="2">
        <v>458.0</v>
      </c>
      <c r="L29" s="4">
        <f t="shared" si="7"/>
        <v>326.6666667</v>
      </c>
      <c r="M29" s="4">
        <f t="shared" si="8"/>
        <v>298.3333333</v>
      </c>
      <c r="N29" s="4">
        <f t="shared" si="9"/>
        <v>298.3333333</v>
      </c>
      <c r="O29" s="4">
        <f t="shared" si="1"/>
        <v>313.6407863</v>
      </c>
      <c r="P29" s="4">
        <f t="shared" si="2"/>
        <v>340.4972897</v>
      </c>
      <c r="Q29" s="4">
        <f t="shared" si="3"/>
        <v>399.678516</v>
      </c>
      <c r="V29" s="4">
        <f t="shared" si="4"/>
        <v>311.3592137</v>
      </c>
      <c r="W29" s="4">
        <f t="shared" si="5"/>
        <v>284.5027103</v>
      </c>
      <c r="X29" s="4">
        <f t="shared" si="6"/>
        <v>225.321484</v>
      </c>
    </row>
    <row r="30">
      <c r="A30" s="3">
        <v>40350.0</v>
      </c>
      <c r="B30" s="2">
        <v>151.0</v>
      </c>
      <c r="C30" s="2">
        <v>168.0</v>
      </c>
      <c r="D30" s="2">
        <v>750.0</v>
      </c>
      <c r="E30" s="2">
        <v>52.0</v>
      </c>
      <c r="F30" s="2">
        <v>252.0</v>
      </c>
      <c r="G30" s="2">
        <v>305.0</v>
      </c>
      <c r="H30" s="2">
        <v>35.0</v>
      </c>
      <c r="I30" s="2">
        <v>168.0</v>
      </c>
      <c r="J30" s="2">
        <v>460.0</v>
      </c>
      <c r="K30" s="2">
        <v>511.0</v>
      </c>
      <c r="L30" s="4">
        <f t="shared" si="7"/>
        <v>462.3333333</v>
      </c>
      <c r="M30" s="4">
        <f t="shared" si="8"/>
        <v>-294.3333333</v>
      </c>
      <c r="N30" s="4">
        <f t="shared" si="9"/>
        <v>294.3333333</v>
      </c>
      <c r="O30" s="4">
        <f t="shared" si="1"/>
        <v>344.7767076</v>
      </c>
      <c r="P30" s="4">
        <f t="shared" si="2"/>
        <v>425.8481028</v>
      </c>
      <c r="Q30" s="4">
        <f t="shared" si="3"/>
        <v>512.339258</v>
      </c>
      <c r="V30" s="4">
        <f t="shared" si="4"/>
        <v>176.7767076</v>
      </c>
      <c r="W30" s="4">
        <f t="shared" si="5"/>
        <v>257.8481028</v>
      </c>
      <c r="X30" s="4">
        <f t="shared" si="6"/>
        <v>344.339258</v>
      </c>
    </row>
    <row r="31">
      <c r="A31" s="3">
        <v>40357.0</v>
      </c>
      <c r="B31" s="2">
        <v>387.0</v>
      </c>
      <c r="C31" s="2">
        <v>365.0</v>
      </c>
      <c r="D31" s="2">
        <v>1415.0</v>
      </c>
      <c r="E31" s="2">
        <v>51.0</v>
      </c>
      <c r="F31" s="2">
        <v>692.0</v>
      </c>
      <c r="G31" s="2">
        <v>44.0</v>
      </c>
      <c r="H31" s="2">
        <v>22.0</v>
      </c>
      <c r="I31" s="2">
        <v>365.0</v>
      </c>
      <c r="J31" s="2">
        <v>598.0</v>
      </c>
      <c r="K31" s="2">
        <v>534.0</v>
      </c>
      <c r="L31" s="4">
        <f t="shared" si="7"/>
        <v>470</v>
      </c>
      <c r="M31" s="4">
        <f t="shared" si="8"/>
        <v>-105</v>
      </c>
      <c r="N31" s="4">
        <f t="shared" si="9"/>
        <v>105</v>
      </c>
      <c r="O31" s="4">
        <f t="shared" si="1"/>
        <v>327.0990369</v>
      </c>
      <c r="P31" s="4">
        <f t="shared" si="2"/>
        <v>348.4936719</v>
      </c>
      <c r="Q31" s="4">
        <f t="shared" si="3"/>
        <v>340.169629</v>
      </c>
      <c r="V31" s="4">
        <f t="shared" si="4"/>
        <v>37.90096312</v>
      </c>
      <c r="W31" s="4">
        <f t="shared" si="5"/>
        <v>16.50632805</v>
      </c>
      <c r="X31" s="4">
        <f t="shared" si="6"/>
        <v>24.83037099</v>
      </c>
    </row>
    <row r="32">
      <c r="A32" s="3">
        <v>40364.0</v>
      </c>
      <c r="B32" s="2">
        <v>150.0</v>
      </c>
      <c r="C32" s="2">
        <v>278.0</v>
      </c>
      <c r="D32" s="2">
        <v>654.0</v>
      </c>
      <c r="E32" s="2">
        <v>52.0</v>
      </c>
      <c r="F32" s="2">
        <v>874.0</v>
      </c>
      <c r="G32" s="2">
        <v>14.0</v>
      </c>
      <c r="H32" s="2">
        <v>88.0</v>
      </c>
      <c r="I32" s="2">
        <v>278.0</v>
      </c>
      <c r="J32" s="2">
        <v>331.0</v>
      </c>
      <c r="K32" s="2">
        <v>211.0</v>
      </c>
      <c r="L32" s="4">
        <f t="shared" si="7"/>
        <v>386</v>
      </c>
      <c r="M32" s="4">
        <f t="shared" si="8"/>
        <v>-108</v>
      </c>
      <c r="N32" s="4">
        <f t="shared" si="9"/>
        <v>108</v>
      </c>
      <c r="O32" s="4">
        <f t="shared" si="1"/>
        <v>330.8891332</v>
      </c>
      <c r="P32" s="4">
        <f t="shared" si="2"/>
        <v>353.4455704</v>
      </c>
      <c r="Q32" s="4">
        <f t="shared" si="3"/>
        <v>352.5848145</v>
      </c>
      <c r="V32" s="4">
        <f t="shared" si="4"/>
        <v>52.88913319</v>
      </c>
      <c r="W32" s="4">
        <f t="shared" si="5"/>
        <v>75.44557036</v>
      </c>
      <c r="X32" s="4">
        <f t="shared" si="6"/>
        <v>74.58481451</v>
      </c>
    </row>
    <row r="33">
      <c r="A33" s="3">
        <v>40371.0</v>
      </c>
      <c r="B33" s="2">
        <v>160.0</v>
      </c>
      <c r="C33" s="2">
        <v>766.0</v>
      </c>
      <c r="D33" s="2">
        <v>865.0</v>
      </c>
      <c r="E33" s="2">
        <v>44.0</v>
      </c>
      <c r="F33" s="2">
        <v>400.0</v>
      </c>
      <c r="G33" s="2">
        <v>3.0</v>
      </c>
      <c r="H33" s="2">
        <v>6.0</v>
      </c>
      <c r="I33" s="2">
        <v>766.0</v>
      </c>
      <c r="J33" s="2">
        <v>240.0</v>
      </c>
      <c r="K33" s="2">
        <v>575.0</v>
      </c>
      <c r="L33" s="4">
        <f t="shared" si="7"/>
        <v>270.3333333</v>
      </c>
      <c r="M33" s="4">
        <f t="shared" si="8"/>
        <v>495.6666667</v>
      </c>
      <c r="N33" s="4">
        <f t="shared" si="9"/>
        <v>495.6666667</v>
      </c>
      <c r="O33" s="4">
        <f t="shared" si="1"/>
        <v>325.6002199</v>
      </c>
      <c r="P33" s="4">
        <f t="shared" si="2"/>
        <v>330.8118993</v>
      </c>
      <c r="Q33" s="4">
        <f t="shared" si="3"/>
        <v>315.2924073</v>
      </c>
      <c r="V33" s="4">
        <f t="shared" si="4"/>
        <v>440.3997801</v>
      </c>
      <c r="W33" s="4">
        <f t="shared" si="5"/>
        <v>435.1881007</v>
      </c>
      <c r="X33" s="4">
        <f t="shared" si="6"/>
        <v>450.7075927</v>
      </c>
    </row>
    <row r="34">
      <c r="A34" s="3">
        <v>40378.0</v>
      </c>
      <c r="B34" s="2">
        <v>453.0</v>
      </c>
      <c r="C34" s="2">
        <v>691.0</v>
      </c>
      <c r="D34" s="2">
        <v>1268.0</v>
      </c>
      <c r="E34" s="2">
        <v>52.0</v>
      </c>
      <c r="F34" s="2">
        <v>1043.0</v>
      </c>
      <c r="G34" s="2">
        <v>50.0</v>
      </c>
      <c r="H34" s="2">
        <v>8.0</v>
      </c>
      <c r="I34" s="2">
        <v>691.0</v>
      </c>
      <c r="J34" s="2">
        <v>729.0</v>
      </c>
      <c r="K34" s="2">
        <v>487.0</v>
      </c>
      <c r="L34" s="4">
        <f t="shared" si="7"/>
        <v>469.6666667</v>
      </c>
      <c r="M34" s="4">
        <f t="shared" si="8"/>
        <v>221.3333333</v>
      </c>
      <c r="N34" s="4">
        <f t="shared" si="9"/>
        <v>221.3333333</v>
      </c>
      <c r="O34" s="4">
        <f t="shared" si="1"/>
        <v>369.6401979</v>
      </c>
      <c r="P34" s="4">
        <f t="shared" si="2"/>
        <v>461.3683295</v>
      </c>
      <c r="Q34" s="4">
        <f t="shared" si="3"/>
        <v>540.6462036</v>
      </c>
      <c r="V34" s="4">
        <f t="shared" si="4"/>
        <v>321.3598021</v>
      </c>
      <c r="W34" s="4">
        <f t="shared" si="5"/>
        <v>229.6316705</v>
      </c>
      <c r="X34" s="4">
        <f t="shared" si="6"/>
        <v>150.3537964</v>
      </c>
    </row>
    <row r="35">
      <c r="A35" s="3">
        <v>40385.0</v>
      </c>
      <c r="B35" s="2">
        <v>577.0</v>
      </c>
      <c r="C35" s="2">
        <v>265.0</v>
      </c>
      <c r="D35" s="2">
        <v>618.0</v>
      </c>
      <c r="E35" s="2">
        <v>34.0</v>
      </c>
      <c r="F35" s="2">
        <v>621.0</v>
      </c>
      <c r="G35" s="2">
        <v>128.0</v>
      </c>
      <c r="H35" s="2">
        <v>5.0</v>
      </c>
      <c r="I35" s="2">
        <v>265.0</v>
      </c>
      <c r="J35" s="2">
        <v>171.0</v>
      </c>
      <c r="K35" s="2">
        <v>454.0</v>
      </c>
      <c r="L35" s="4">
        <f t="shared" si="7"/>
        <v>578.3333333</v>
      </c>
      <c r="M35" s="4">
        <f t="shared" si="8"/>
        <v>-313.3333333</v>
      </c>
      <c r="N35" s="4">
        <f t="shared" si="9"/>
        <v>313.3333333</v>
      </c>
      <c r="O35" s="4">
        <f t="shared" si="1"/>
        <v>401.7761781</v>
      </c>
      <c r="P35" s="4">
        <f t="shared" si="2"/>
        <v>530.2578306</v>
      </c>
      <c r="Q35" s="4">
        <f t="shared" si="3"/>
        <v>615.8231018</v>
      </c>
      <c r="V35" s="4">
        <f t="shared" si="4"/>
        <v>136.7761781</v>
      </c>
      <c r="W35" s="4">
        <f t="shared" si="5"/>
        <v>265.2578306</v>
      </c>
      <c r="X35" s="4">
        <f t="shared" si="6"/>
        <v>350.8231018</v>
      </c>
    </row>
    <row r="36">
      <c r="A36" s="3">
        <v>40392.0</v>
      </c>
      <c r="B36" s="2">
        <v>294.0</v>
      </c>
      <c r="C36" s="2">
        <v>95.0</v>
      </c>
      <c r="D36" s="2">
        <v>726.0</v>
      </c>
      <c r="E36" s="2">
        <v>57.0</v>
      </c>
      <c r="F36" s="2">
        <v>648.0</v>
      </c>
      <c r="G36" s="2">
        <v>142.0</v>
      </c>
      <c r="H36" s="2">
        <v>17.0</v>
      </c>
      <c r="I36" s="2">
        <v>95.0</v>
      </c>
      <c r="J36" s="2">
        <v>354.0</v>
      </c>
      <c r="K36" s="2">
        <v>694.0</v>
      </c>
      <c r="L36" s="4">
        <f t="shared" si="7"/>
        <v>574</v>
      </c>
      <c r="M36" s="4">
        <f t="shared" si="8"/>
        <v>-479</v>
      </c>
      <c r="N36" s="4">
        <f t="shared" si="9"/>
        <v>479</v>
      </c>
      <c r="O36" s="4">
        <f t="shared" si="1"/>
        <v>388.0985603</v>
      </c>
      <c r="P36" s="4">
        <f t="shared" si="2"/>
        <v>450.6804814</v>
      </c>
      <c r="Q36" s="4">
        <f t="shared" si="3"/>
        <v>440.4115509</v>
      </c>
      <c r="V36" s="4">
        <f t="shared" si="4"/>
        <v>293.0985603</v>
      </c>
      <c r="W36" s="4">
        <f t="shared" si="5"/>
        <v>355.6804814</v>
      </c>
      <c r="X36" s="4">
        <f t="shared" si="6"/>
        <v>345.4115509</v>
      </c>
    </row>
    <row r="37">
      <c r="A37" s="3">
        <v>40399.0</v>
      </c>
      <c r="B37" s="2">
        <v>224.0</v>
      </c>
      <c r="C37" s="2">
        <v>552.0</v>
      </c>
      <c r="D37" s="2">
        <v>893.0</v>
      </c>
      <c r="E37" s="2">
        <v>188.0</v>
      </c>
      <c r="F37" s="2">
        <v>758.0</v>
      </c>
      <c r="G37" s="2">
        <v>74.0</v>
      </c>
      <c r="H37" s="2">
        <v>45.0</v>
      </c>
      <c r="I37" s="2">
        <v>552.0</v>
      </c>
      <c r="J37" s="2">
        <v>460.0</v>
      </c>
      <c r="K37" s="2">
        <v>608.0</v>
      </c>
      <c r="L37" s="4">
        <f t="shared" si="7"/>
        <v>350.3333333</v>
      </c>
      <c r="M37" s="4">
        <f t="shared" si="8"/>
        <v>201.6666667</v>
      </c>
      <c r="N37" s="4">
        <f t="shared" si="9"/>
        <v>201.6666667</v>
      </c>
      <c r="O37" s="4">
        <f t="shared" si="1"/>
        <v>358.7887043</v>
      </c>
      <c r="P37" s="4">
        <f t="shared" si="2"/>
        <v>343.976337</v>
      </c>
      <c r="Q37" s="4">
        <f t="shared" si="3"/>
        <v>267.7057755</v>
      </c>
      <c r="V37" s="4">
        <f t="shared" si="4"/>
        <v>193.2112957</v>
      </c>
      <c r="W37" s="4">
        <f t="shared" si="5"/>
        <v>208.023663</v>
      </c>
      <c r="X37" s="4">
        <f t="shared" si="6"/>
        <v>284.2942245</v>
      </c>
    </row>
    <row r="38">
      <c r="A38" s="3">
        <v>40406.0</v>
      </c>
      <c r="B38" s="2">
        <v>177.0</v>
      </c>
      <c r="C38" s="2">
        <v>1025.0</v>
      </c>
      <c r="D38" s="2">
        <v>189.0</v>
      </c>
      <c r="E38" s="2">
        <v>351.0</v>
      </c>
      <c r="F38" s="2">
        <v>664.0</v>
      </c>
      <c r="G38" s="2">
        <v>19.0</v>
      </c>
      <c r="H38" s="2">
        <v>37.0</v>
      </c>
      <c r="I38" s="2">
        <v>1025.0</v>
      </c>
      <c r="J38" s="2">
        <v>677.0</v>
      </c>
      <c r="K38" s="2">
        <v>940.0</v>
      </c>
      <c r="L38" s="4">
        <f t="shared" si="7"/>
        <v>304</v>
      </c>
      <c r="M38" s="4">
        <f t="shared" si="8"/>
        <v>721</v>
      </c>
      <c r="N38" s="4">
        <f t="shared" si="9"/>
        <v>721</v>
      </c>
      <c r="O38" s="4">
        <f t="shared" si="1"/>
        <v>378.1098338</v>
      </c>
      <c r="P38" s="4">
        <f t="shared" si="2"/>
        <v>406.3834359</v>
      </c>
      <c r="Q38" s="4">
        <f t="shared" si="3"/>
        <v>409.8528877</v>
      </c>
      <c r="V38" s="4">
        <f t="shared" si="4"/>
        <v>646.8901662</v>
      </c>
      <c r="W38" s="4">
        <f t="shared" si="5"/>
        <v>618.6165641</v>
      </c>
      <c r="X38" s="4">
        <f t="shared" si="6"/>
        <v>615.1471123</v>
      </c>
    </row>
    <row r="39">
      <c r="A39" s="3">
        <v>40413.0</v>
      </c>
      <c r="B39" s="2">
        <v>254.0</v>
      </c>
      <c r="C39" s="2">
        <v>880.0</v>
      </c>
      <c r="D39" s="2">
        <v>1.0</v>
      </c>
      <c r="E39" s="2">
        <v>9.0</v>
      </c>
      <c r="F39" s="2">
        <v>1000.0</v>
      </c>
      <c r="G39" s="2">
        <v>27.0</v>
      </c>
      <c r="H39" s="2">
        <v>70.0</v>
      </c>
      <c r="I39" s="2">
        <v>880.0</v>
      </c>
      <c r="J39" s="2">
        <v>338.0</v>
      </c>
      <c r="K39" s="2">
        <v>450.0</v>
      </c>
      <c r="L39" s="4">
        <f t="shared" si="7"/>
        <v>557.3333333</v>
      </c>
      <c r="M39" s="4">
        <f t="shared" si="8"/>
        <v>322.6666667</v>
      </c>
      <c r="N39" s="4">
        <f t="shared" si="9"/>
        <v>322.6666667</v>
      </c>
      <c r="O39" s="4">
        <f t="shared" si="1"/>
        <v>442.7988504</v>
      </c>
      <c r="P39" s="4">
        <f t="shared" si="2"/>
        <v>591.9684051</v>
      </c>
      <c r="Q39" s="4">
        <f t="shared" si="3"/>
        <v>717.4264439</v>
      </c>
      <c r="V39" s="4">
        <f t="shared" si="4"/>
        <v>437.2011496</v>
      </c>
      <c r="W39" s="4">
        <f t="shared" si="5"/>
        <v>288.0315949</v>
      </c>
      <c r="X39" s="4">
        <f t="shared" si="6"/>
        <v>162.5735561</v>
      </c>
    </row>
    <row r="40">
      <c r="A40" s="3">
        <v>40420.0</v>
      </c>
      <c r="B40" s="2">
        <v>445.0</v>
      </c>
      <c r="C40" s="2">
        <v>135.0</v>
      </c>
      <c r="D40" s="2">
        <v>1889.0</v>
      </c>
      <c r="E40" s="2">
        <v>8.0</v>
      </c>
      <c r="F40" s="2">
        <v>963.0</v>
      </c>
      <c r="G40" s="2">
        <v>3.0</v>
      </c>
      <c r="H40" s="2">
        <v>110.0</v>
      </c>
      <c r="I40" s="2">
        <v>135.0</v>
      </c>
      <c r="J40" s="2">
        <v>652.0</v>
      </c>
      <c r="K40" s="2">
        <v>375.0</v>
      </c>
      <c r="L40" s="4">
        <f t="shared" si="7"/>
        <v>819</v>
      </c>
      <c r="M40" s="4">
        <f t="shared" si="8"/>
        <v>-684</v>
      </c>
      <c r="N40" s="4">
        <f t="shared" si="9"/>
        <v>684</v>
      </c>
      <c r="O40" s="4">
        <f t="shared" si="1"/>
        <v>486.5189654</v>
      </c>
      <c r="P40" s="4">
        <f t="shared" si="2"/>
        <v>678.3778836</v>
      </c>
      <c r="Q40" s="4">
        <f t="shared" si="3"/>
        <v>798.7132219</v>
      </c>
      <c r="V40" s="4">
        <f t="shared" si="4"/>
        <v>351.5189654</v>
      </c>
      <c r="W40" s="4">
        <f t="shared" si="5"/>
        <v>543.3778836</v>
      </c>
      <c r="X40" s="4">
        <f t="shared" si="6"/>
        <v>663.7132219</v>
      </c>
    </row>
    <row r="41">
      <c r="A41" s="3">
        <v>40427.0</v>
      </c>
      <c r="B41" s="2">
        <v>299.0</v>
      </c>
      <c r="C41" s="2">
        <v>270.0</v>
      </c>
      <c r="D41" s="2">
        <v>1313.0</v>
      </c>
      <c r="E41" s="2">
        <v>6.0</v>
      </c>
      <c r="F41" s="2">
        <v>387.0</v>
      </c>
      <c r="G41" s="2">
        <v>6.0</v>
      </c>
      <c r="H41" s="2">
        <v>68.0</v>
      </c>
      <c r="I41" s="2">
        <v>270.0</v>
      </c>
      <c r="J41" s="2">
        <v>617.0</v>
      </c>
      <c r="K41" s="2">
        <v>483.0</v>
      </c>
      <c r="L41" s="4">
        <f t="shared" si="7"/>
        <v>680</v>
      </c>
      <c r="M41" s="4">
        <f t="shared" si="8"/>
        <v>-410</v>
      </c>
      <c r="N41" s="4">
        <f t="shared" si="9"/>
        <v>410</v>
      </c>
      <c r="O41" s="4">
        <f t="shared" si="1"/>
        <v>451.3670689</v>
      </c>
      <c r="P41" s="4">
        <f t="shared" si="2"/>
        <v>515.3645185</v>
      </c>
      <c r="Q41" s="4">
        <f t="shared" si="3"/>
        <v>466.856611</v>
      </c>
      <c r="V41" s="4">
        <f t="shared" si="4"/>
        <v>181.3670689</v>
      </c>
      <c r="W41" s="4">
        <f t="shared" si="5"/>
        <v>245.3645185</v>
      </c>
      <c r="X41" s="4">
        <f t="shared" si="6"/>
        <v>196.856611</v>
      </c>
    </row>
    <row r="42">
      <c r="A42" s="3">
        <v>40434.0</v>
      </c>
      <c r="B42" s="2">
        <v>370.0</v>
      </c>
      <c r="C42" s="2">
        <v>534.0</v>
      </c>
      <c r="D42" s="2">
        <v>1118.0</v>
      </c>
      <c r="E42" s="2">
        <v>0.0</v>
      </c>
      <c r="F42" s="2">
        <v>619.0</v>
      </c>
      <c r="G42" s="2">
        <v>344.0</v>
      </c>
      <c r="H42" s="2">
        <v>38.0</v>
      </c>
      <c r="I42" s="2">
        <v>534.0</v>
      </c>
      <c r="J42" s="2">
        <v>305.0</v>
      </c>
      <c r="K42" s="2">
        <v>304.0</v>
      </c>
      <c r="L42" s="4">
        <f t="shared" si="7"/>
        <v>428.3333333</v>
      </c>
      <c r="M42" s="4">
        <f t="shared" si="8"/>
        <v>105.6666667</v>
      </c>
      <c r="N42" s="4">
        <f t="shared" si="9"/>
        <v>105.6666667</v>
      </c>
      <c r="O42" s="4">
        <f t="shared" si="1"/>
        <v>433.230362</v>
      </c>
      <c r="P42" s="4">
        <f t="shared" si="2"/>
        <v>441.755163</v>
      </c>
      <c r="Q42" s="4">
        <f t="shared" si="3"/>
        <v>368.4283055</v>
      </c>
      <c r="V42" s="4">
        <f t="shared" si="4"/>
        <v>100.769638</v>
      </c>
      <c r="W42" s="4">
        <f t="shared" si="5"/>
        <v>92.24483704</v>
      </c>
      <c r="X42" s="4">
        <f t="shared" si="6"/>
        <v>165.5716945</v>
      </c>
    </row>
    <row r="43">
      <c r="A43" s="3">
        <v>40441.0</v>
      </c>
      <c r="B43" s="2">
        <v>624.0</v>
      </c>
      <c r="C43" s="2">
        <v>1709.0</v>
      </c>
      <c r="D43" s="2">
        <v>1381.0</v>
      </c>
      <c r="E43" s="2">
        <v>99.0</v>
      </c>
      <c r="F43" s="2">
        <v>1792.0</v>
      </c>
      <c r="G43" s="2">
        <v>425.0</v>
      </c>
      <c r="H43" s="2">
        <v>180.0</v>
      </c>
      <c r="I43" s="2">
        <v>1709.0</v>
      </c>
      <c r="J43" s="2">
        <v>352.0</v>
      </c>
      <c r="K43" s="2">
        <v>605.0</v>
      </c>
      <c r="L43" s="4">
        <f t="shared" si="7"/>
        <v>313</v>
      </c>
      <c r="M43" s="4">
        <f t="shared" si="8"/>
        <v>1396</v>
      </c>
      <c r="N43" s="4">
        <f t="shared" si="9"/>
        <v>1396</v>
      </c>
      <c r="O43" s="4">
        <f t="shared" si="1"/>
        <v>443.3073258</v>
      </c>
      <c r="P43" s="4">
        <f t="shared" si="2"/>
        <v>469.4286141</v>
      </c>
      <c r="Q43" s="4">
        <f t="shared" si="3"/>
        <v>451.2141527</v>
      </c>
      <c r="V43" s="4">
        <f t="shared" si="4"/>
        <v>1265.692674</v>
      </c>
      <c r="W43" s="4">
        <f t="shared" si="5"/>
        <v>1239.571386</v>
      </c>
      <c r="X43" s="4">
        <f t="shared" si="6"/>
        <v>1257.785847</v>
      </c>
    </row>
    <row r="44">
      <c r="A44" s="3">
        <v>40448.0</v>
      </c>
      <c r="B44" s="2">
        <v>385.0</v>
      </c>
      <c r="C44" s="2">
        <v>284.0</v>
      </c>
      <c r="D44" s="2">
        <v>1597.0</v>
      </c>
      <c r="E44" s="2">
        <v>916.0</v>
      </c>
      <c r="F44" s="2">
        <v>773.0</v>
      </c>
      <c r="G44" s="2">
        <v>495.0</v>
      </c>
      <c r="H44" s="2">
        <v>239.0</v>
      </c>
      <c r="I44" s="2">
        <v>284.0</v>
      </c>
      <c r="J44" s="2">
        <v>518.0</v>
      </c>
      <c r="K44" s="2">
        <v>358.0</v>
      </c>
      <c r="L44" s="4">
        <f t="shared" si="7"/>
        <v>837.6666667</v>
      </c>
      <c r="M44" s="4">
        <f t="shared" si="8"/>
        <v>-553.6666667</v>
      </c>
      <c r="N44" s="4">
        <f t="shared" si="9"/>
        <v>553.6666667</v>
      </c>
      <c r="O44" s="4">
        <f t="shared" si="1"/>
        <v>569.8765932</v>
      </c>
      <c r="P44" s="4">
        <f t="shared" si="2"/>
        <v>841.3000299</v>
      </c>
      <c r="Q44" s="4">
        <f t="shared" si="3"/>
        <v>1080.107076</v>
      </c>
      <c r="V44" s="4">
        <f t="shared" si="4"/>
        <v>285.8765932</v>
      </c>
      <c r="W44" s="4">
        <f t="shared" si="5"/>
        <v>557.3000299</v>
      </c>
      <c r="X44" s="4">
        <f t="shared" si="6"/>
        <v>796.1070764</v>
      </c>
    </row>
    <row r="45">
      <c r="A45" s="3">
        <v>40455.0</v>
      </c>
      <c r="B45" s="2">
        <v>507.0</v>
      </c>
      <c r="C45" s="2">
        <v>919.0</v>
      </c>
      <c r="D45" s="2">
        <v>956.0</v>
      </c>
      <c r="E45" s="2">
        <v>262.0</v>
      </c>
      <c r="F45" s="2">
        <v>753.0</v>
      </c>
      <c r="G45" s="2">
        <v>1516.0</v>
      </c>
      <c r="H45" s="2">
        <v>542.0</v>
      </c>
      <c r="I45" s="2">
        <v>919.0</v>
      </c>
      <c r="J45" s="2">
        <v>258.0</v>
      </c>
      <c r="K45" s="2">
        <v>250.0</v>
      </c>
      <c r="L45" s="4">
        <f t="shared" si="7"/>
        <v>842.3333333</v>
      </c>
      <c r="M45" s="4">
        <f t="shared" si="8"/>
        <v>76.66666667</v>
      </c>
      <c r="N45" s="4">
        <f t="shared" si="9"/>
        <v>76.66666667</v>
      </c>
      <c r="O45" s="4">
        <f t="shared" si="1"/>
        <v>541.2889339</v>
      </c>
      <c r="P45" s="4">
        <f t="shared" si="2"/>
        <v>674.1100209</v>
      </c>
      <c r="Q45" s="4">
        <f t="shared" si="3"/>
        <v>682.0535382</v>
      </c>
      <c r="V45" s="4">
        <f t="shared" si="4"/>
        <v>377.7110661</v>
      </c>
      <c r="W45" s="4">
        <f t="shared" si="5"/>
        <v>244.8899791</v>
      </c>
      <c r="X45" s="4">
        <f t="shared" si="6"/>
        <v>236.9464618</v>
      </c>
    </row>
    <row r="46">
      <c r="A46" s="3">
        <v>40462.0</v>
      </c>
      <c r="B46" s="2">
        <v>322.0</v>
      </c>
      <c r="C46" s="2">
        <v>345.0</v>
      </c>
      <c r="D46" s="2">
        <v>1857.0</v>
      </c>
      <c r="E46" s="2">
        <v>333.0</v>
      </c>
      <c r="F46" s="2">
        <v>2277.0</v>
      </c>
      <c r="G46" s="2">
        <v>530.0</v>
      </c>
      <c r="H46" s="2">
        <v>152.0</v>
      </c>
      <c r="I46" s="2">
        <v>345.0</v>
      </c>
      <c r="J46" s="2">
        <v>917.0</v>
      </c>
      <c r="K46" s="2">
        <v>524.0</v>
      </c>
      <c r="L46" s="4">
        <f t="shared" si="7"/>
        <v>970.6666667</v>
      </c>
      <c r="M46" s="4">
        <f t="shared" si="8"/>
        <v>-625.6666667</v>
      </c>
      <c r="N46" s="4">
        <f t="shared" si="9"/>
        <v>625.6666667</v>
      </c>
      <c r="O46" s="4">
        <f t="shared" si="1"/>
        <v>579.0600405</v>
      </c>
      <c r="P46" s="4">
        <f t="shared" si="2"/>
        <v>747.5770146</v>
      </c>
      <c r="Q46" s="4">
        <f t="shared" si="3"/>
        <v>800.5267691</v>
      </c>
      <c r="V46" s="4">
        <f t="shared" si="4"/>
        <v>234.0600405</v>
      </c>
      <c r="W46" s="4">
        <f t="shared" si="5"/>
        <v>402.5770146</v>
      </c>
      <c r="X46" s="4">
        <f t="shared" si="6"/>
        <v>455.5267691</v>
      </c>
    </row>
    <row r="47">
      <c r="A47" s="3">
        <v>40469.0</v>
      </c>
      <c r="B47" s="2">
        <v>386.0</v>
      </c>
      <c r="C47" s="2">
        <v>1239.0</v>
      </c>
      <c r="D47" s="2">
        <v>783.0</v>
      </c>
      <c r="E47" s="2">
        <v>167.0</v>
      </c>
      <c r="F47" s="2">
        <v>1736.0</v>
      </c>
      <c r="G47" s="2">
        <v>406.0</v>
      </c>
      <c r="H47" s="2">
        <v>228.0</v>
      </c>
      <c r="I47" s="2">
        <v>1239.0</v>
      </c>
      <c r="J47" s="2">
        <v>144.0</v>
      </c>
      <c r="K47" s="2">
        <v>141.0</v>
      </c>
      <c r="L47" s="4">
        <f t="shared" si="7"/>
        <v>516</v>
      </c>
      <c r="M47" s="4">
        <f t="shared" si="8"/>
        <v>723</v>
      </c>
      <c r="N47" s="4">
        <f t="shared" si="9"/>
        <v>723</v>
      </c>
      <c r="O47" s="4">
        <f t="shared" si="1"/>
        <v>555.6540364</v>
      </c>
      <c r="P47" s="4">
        <f t="shared" si="2"/>
        <v>626.8039102</v>
      </c>
      <c r="Q47" s="4">
        <f t="shared" si="3"/>
        <v>572.7633845</v>
      </c>
      <c r="V47" s="4">
        <f t="shared" si="4"/>
        <v>683.3459636</v>
      </c>
      <c r="W47" s="4">
        <f t="shared" si="5"/>
        <v>612.1960898</v>
      </c>
      <c r="X47" s="4">
        <f t="shared" si="6"/>
        <v>666.2366155</v>
      </c>
    </row>
    <row r="48">
      <c r="A48" s="3">
        <v>40476.0</v>
      </c>
      <c r="B48" s="2">
        <v>638.0</v>
      </c>
      <c r="C48" s="2">
        <v>2582.0</v>
      </c>
      <c r="D48" s="2">
        <v>515.0</v>
      </c>
      <c r="E48" s="2">
        <v>155.0</v>
      </c>
      <c r="F48" s="2">
        <v>1039.0</v>
      </c>
      <c r="G48" s="2">
        <v>469.0</v>
      </c>
      <c r="H48" s="2">
        <v>175.0</v>
      </c>
      <c r="I48" s="2">
        <v>2582.0</v>
      </c>
      <c r="J48" s="2">
        <v>137.0</v>
      </c>
      <c r="K48" s="2">
        <v>276.0</v>
      </c>
      <c r="L48" s="4">
        <f t="shared" si="7"/>
        <v>834.3333333</v>
      </c>
      <c r="M48" s="4">
        <f t="shared" si="8"/>
        <v>1747.666667</v>
      </c>
      <c r="N48" s="4">
        <f t="shared" si="9"/>
        <v>1747.666667</v>
      </c>
      <c r="O48" s="4">
        <f t="shared" si="1"/>
        <v>623.9886328</v>
      </c>
      <c r="P48" s="4">
        <f t="shared" si="2"/>
        <v>810.4627372</v>
      </c>
      <c r="Q48" s="4">
        <f t="shared" si="3"/>
        <v>905.8816923</v>
      </c>
      <c r="V48" s="4">
        <f t="shared" si="4"/>
        <v>1958.011367</v>
      </c>
      <c r="W48" s="4">
        <f t="shared" si="5"/>
        <v>1771.537263</v>
      </c>
      <c r="X48" s="4">
        <f t="shared" si="6"/>
        <v>1676.118308</v>
      </c>
    </row>
    <row r="49">
      <c r="A49" s="3">
        <v>40483.0</v>
      </c>
      <c r="B49" s="2">
        <v>227.0</v>
      </c>
      <c r="C49" s="2">
        <v>926.0</v>
      </c>
      <c r="D49" s="2">
        <v>793.0</v>
      </c>
      <c r="E49" s="2">
        <v>58.0</v>
      </c>
      <c r="F49" s="2">
        <v>992.0</v>
      </c>
      <c r="G49" s="2">
        <v>1549.0</v>
      </c>
      <c r="H49" s="2">
        <v>123.0</v>
      </c>
      <c r="I49" s="2">
        <v>926.0</v>
      </c>
      <c r="J49" s="2">
        <v>347.0</v>
      </c>
      <c r="K49" s="2">
        <v>530.0</v>
      </c>
      <c r="L49" s="4">
        <f t="shared" si="7"/>
        <v>1388.666667</v>
      </c>
      <c r="M49" s="4">
        <f t="shared" si="8"/>
        <v>-462.6666667</v>
      </c>
      <c r="N49" s="4">
        <f t="shared" si="9"/>
        <v>462.6666667</v>
      </c>
      <c r="O49" s="4">
        <f t="shared" si="1"/>
        <v>819.7897695</v>
      </c>
      <c r="P49" s="4">
        <f t="shared" si="2"/>
        <v>1341.923916</v>
      </c>
      <c r="Q49" s="4">
        <f t="shared" si="3"/>
        <v>1743.940846</v>
      </c>
      <c r="V49" s="4">
        <f t="shared" si="4"/>
        <v>106.2102305</v>
      </c>
      <c r="W49" s="4">
        <f t="shared" si="5"/>
        <v>415.923916</v>
      </c>
      <c r="X49" s="4">
        <f t="shared" si="6"/>
        <v>817.9408461</v>
      </c>
    </row>
    <row r="50">
      <c r="A50" s="3">
        <v>40490.0</v>
      </c>
      <c r="B50" s="2">
        <v>570.0</v>
      </c>
      <c r="C50" s="2">
        <v>4115.0</v>
      </c>
      <c r="D50" s="2">
        <v>2127.0</v>
      </c>
      <c r="E50" s="2">
        <v>98.0</v>
      </c>
      <c r="F50" s="2">
        <v>5584.0</v>
      </c>
      <c r="G50" s="2">
        <v>1675.0</v>
      </c>
      <c r="H50" s="2">
        <v>517.0</v>
      </c>
      <c r="I50" s="2">
        <v>4115.0</v>
      </c>
      <c r="J50" s="2">
        <v>659.0</v>
      </c>
      <c r="K50" s="2">
        <v>264.0</v>
      </c>
      <c r="L50" s="4">
        <f t="shared" si="7"/>
        <v>1582.333333</v>
      </c>
      <c r="M50" s="4">
        <f t="shared" si="8"/>
        <v>2532.666667</v>
      </c>
      <c r="N50" s="4">
        <f t="shared" si="9"/>
        <v>2532.666667</v>
      </c>
      <c r="O50" s="4">
        <f t="shared" si="1"/>
        <v>830.4107926</v>
      </c>
      <c r="P50" s="4">
        <f t="shared" si="2"/>
        <v>1217.146741</v>
      </c>
      <c r="Q50" s="4">
        <f t="shared" si="3"/>
        <v>1334.970423</v>
      </c>
      <c r="V50" s="4">
        <f t="shared" si="4"/>
        <v>3284.589207</v>
      </c>
      <c r="W50" s="4">
        <f t="shared" si="5"/>
        <v>2897.853259</v>
      </c>
      <c r="X50" s="4">
        <f t="shared" si="6"/>
        <v>2780.029577</v>
      </c>
    </row>
    <row r="51">
      <c r="A51" s="3">
        <v>40497.0</v>
      </c>
      <c r="B51" s="2">
        <v>461.0</v>
      </c>
      <c r="C51" s="2">
        <v>1746.0</v>
      </c>
      <c r="D51" s="2">
        <v>1215.0</v>
      </c>
      <c r="E51" s="2">
        <v>286.0</v>
      </c>
      <c r="F51" s="2">
        <v>1263.0</v>
      </c>
      <c r="G51" s="2">
        <v>1791.0</v>
      </c>
      <c r="H51" s="2">
        <v>304.0</v>
      </c>
      <c r="I51" s="2">
        <v>1746.0</v>
      </c>
      <c r="J51" s="2">
        <v>699.0</v>
      </c>
      <c r="K51" s="2">
        <v>669.0</v>
      </c>
      <c r="L51" s="4">
        <f t="shared" si="7"/>
        <v>2541</v>
      </c>
      <c r="M51" s="4">
        <f t="shared" si="8"/>
        <v>-795</v>
      </c>
      <c r="N51" s="4">
        <f t="shared" si="9"/>
        <v>795</v>
      </c>
      <c r="O51" s="4">
        <f t="shared" si="1"/>
        <v>1158.869713</v>
      </c>
      <c r="P51" s="4">
        <f t="shared" si="2"/>
        <v>2086.502719</v>
      </c>
      <c r="Q51" s="4">
        <f t="shared" si="3"/>
        <v>2724.985212</v>
      </c>
      <c r="V51" s="4">
        <f t="shared" si="4"/>
        <v>587.1302867</v>
      </c>
      <c r="W51" s="4">
        <f t="shared" si="5"/>
        <v>340.5027188</v>
      </c>
      <c r="X51" s="4">
        <f t="shared" si="6"/>
        <v>978.9852115</v>
      </c>
    </row>
    <row r="52">
      <c r="A52" s="3">
        <v>40504.0</v>
      </c>
      <c r="B52" s="2">
        <v>493.0</v>
      </c>
      <c r="C52" s="2">
        <v>2207.0</v>
      </c>
      <c r="D52" s="2">
        <v>1223.0</v>
      </c>
      <c r="E52" s="2">
        <v>67.0</v>
      </c>
      <c r="F52" s="2">
        <v>787.0</v>
      </c>
      <c r="G52" s="2">
        <v>1716.0</v>
      </c>
      <c r="H52" s="2">
        <v>343.0</v>
      </c>
      <c r="I52" s="2">
        <v>2207.0</v>
      </c>
      <c r="J52" s="2">
        <v>273.0</v>
      </c>
      <c r="K52" s="2">
        <v>327.0</v>
      </c>
      <c r="L52" s="4">
        <f t="shared" si="7"/>
        <v>2262.333333</v>
      </c>
      <c r="M52" s="4">
        <f t="shared" si="8"/>
        <v>-55.33333333</v>
      </c>
      <c r="N52" s="4">
        <f t="shared" si="9"/>
        <v>55.33333333</v>
      </c>
      <c r="O52" s="4">
        <f t="shared" si="1"/>
        <v>1217.582742</v>
      </c>
      <c r="P52" s="4">
        <f t="shared" si="2"/>
        <v>1984.351903</v>
      </c>
      <c r="Q52" s="4">
        <f t="shared" si="3"/>
        <v>2235.492606</v>
      </c>
      <c r="V52" s="4">
        <f t="shared" si="4"/>
        <v>989.417258</v>
      </c>
      <c r="W52" s="4">
        <f t="shared" si="5"/>
        <v>222.6480968</v>
      </c>
      <c r="X52" s="4">
        <f t="shared" si="6"/>
        <v>28.49260577</v>
      </c>
    </row>
    <row r="53">
      <c r="A53" s="3">
        <v>40511.0</v>
      </c>
      <c r="B53" s="2">
        <v>928.0</v>
      </c>
      <c r="C53" s="2">
        <v>683.0</v>
      </c>
      <c r="D53" s="2">
        <v>1767.0</v>
      </c>
      <c r="E53" s="2">
        <v>69.0</v>
      </c>
      <c r="F53" s="2">
        <v>1192.0</v>
      </c>
      <c r="G53" s="2">
        <v>1149.0</v>
      </c>
      <c r="H53" s="2">
        <v>848.0</v>
      </c>
      <c r="I53" s="2">
        <v>683.0</v>
      </c>
      <c r="J53" s="2">
        <v>262.0</v>
      </c>
      <c r="K53" s="2">
        <v>293.0</v>
      </c>
      <c r="L53" s="4">
        <f t="shared" si="7"/>
        <v>2689.333333</v>
      </c>
      <c r="M53" s="4">
        <f t="shared" si="8"/>
        <v>-2006.333333</v>
      </c>
      <c r="N53" s="4">
        <f t="shared" si="9"/>
        <v>2006.333333</v>
      </c>
      <c r="O53" s="4">
        <f t="shared" si="1"/>
        <v>1316.524468</v>
      </c>
      <c r="P53" s="4">
        <f t="shared" si="2"/>
        <v>2051.146332</v>
      </c>
      <c r="Q53" s="4">
        <f t="shared" si="3"/>
        <v>2221.246303</v>
      </c>
      <c r="V53" s="4">
        <f t="shared" si="4"/>
        <v>633.5244678</v>
      </c>
      <c r="W53" s="4">
        <f t="shared" si="5"/>
        <v>1368.146332</v>
      </c>
      <c r="X53" s="4">
        <f t="shared" si="6"/>
        <v>1538.246303</v>
      </c>
    </row>
    <row r="54">
      <c r="A54" s="3">
        <v>40518.0</v>
      </c>
      <c r="B54" s="2">
        <v>850.0</v>
      </c>
      <c r="C54" s="2">
        <v>1012.0</v>
      </c>
      <c r="D54" s="2">
        <v>852.0</v>
      </c>
      <c r="E54" s="2">
        <v>165.0</v>
      </c>
      <c r="F54" s="2">
        <v>789.0</v>
      </c>
      <c r="G54" s="2">
        <v>1054.0</v>
      </c>
      <c r="H54" s="2">
        <v>337.0</v>
      </c>
      <c r="I54" s="2">
        <v>1012.0</v>
      </c>
      <c r="J54" s="2">
        <v>270.0</v>
      </c>
      <c r="K54" s="2">
        <v>283.0</v>
      </c>
      <c r="L54" s="4">
        <f t="shared" si="7"/>
        <v>1545.333333</v>
      </c>
      <c r="M54" s="4">
        <f t="shared" si="8"/>
        <v>-533.3333333</v>
      </c>
      <c r="N54" s="4">
        <f t="shared" si="9"/>
        <v>533.3333333</v>
      </c>
      <c r="O54" s="4">
        <f t="shared" si="1"/>
        <v>1253.172021</v>
      </c>
      <c r="P54" s="4">
        <f t="shared" si="2"/>
        <v>1640.702433</v>
      </c>
      <c r="Q54" s="4">
        <f t="shared" si="3"/>
        <v>1452.123151</v>
      </c>
      <c r="V54" s="4">
        <f t="shared" si="4"/>
        <v>241.172021</v>
      </c>
      <c r="W54" s="4">
        <f t="shared" si="5"/>
        <v>628.7024326</v>
      </c>
      <c r="X54" s="4">
        <f t="shared" si="6"/>
        <v>440.1231514</v>
      </c>
    </row>
    <row r="55">
      <c r="A55" s="3">
        <v>40525.0</v>
      </c>
      <c r="B55" s="2">
        <v>434.0</v>
      </c>
      <c r="C55" s="2">
        <v>981.0</v>
      </c>
      <c r="D55" s="2">
        <v>417.0</v>
      </c>
      <c r="E55" s="2">
        <v>29.0</v>
      </c>
      <c r="F55" s="2">
        <v>638.0</v>
      </c>
      <c r="G55" s="2">
        <v>597.0</v>
      </c>
      <c r="H55" s="2">
        <v>589.0</v>
      </c>
      <c r="I55" s="2">
        <v>981.0</v>
      </c>
      <c r="J55" s="2">
        <v>107.0</v>
      </c>
      <c r="K55" s="2">
        <v>187.0</v>
      </c>
      <c r="L55" s="4">
        <f t="shared" si="7"/>
        <v>1300.666667</v>
      </c>
      <c r="M55" s="4">
        <f t="shared" si="8"/>
        <v>-319.6666667</v>
      </c>
      <c r="N55" s="4">
        <f t="shared" si="9"/>
        <v>319.6666667</v>
      </c>
      <c r="O55" s="4">
        <f t="shared" si="1"/>
        <v>1229.054819</v>
      </c>
      <c r="P55" s="4">
        <f t="shared" si="2"/>
        <v>1452.091703</v>
      </c>
      <c r="Q55" s="4">
        <f t="shared" si="3"/>
        <v>1232.061576</v>
      </c>
      <c r="V55" s="4">
        <f t="shared" si="4"/>
        <v>248.0548189</v>
      </c>
      <c r="W55" s="4">
        <f t="shared" si="5"/>
        <v>471.0917028</v>
      </c>
      <c r="X55" s="4">
        <f t="shared" si="6"/>
        <v>251.0615757</v>
      </c>
    </row>
    <row r="56">
      <c r="A56" s="3">
        <v>40532.0</v>
      </c>
      <c r="B56" s="2">
        <v>177.0</v>
      </c>
      <c r="C56" s="2">
        <v>252.0</v>
      </c>
      <c r="D56" s="2">
        <v>180.0</v>
      </c>
      <c r="E56" s="2">
        <v>23.0</v>
      </c>
      <c r="F56" s="2">
        <v>40.0</v>
      </c>
      <c r="G56" s="2">
        <v>125.0</v>
      </c>
      <c r="H56" s="2">
        <v>60.0</v>
      </c>
      <c r="I56" s="2">
        <v>252.0</v>
      </c>
      <c r="J56" s="2">
        <v>9.0</v>
      </c>
      <c r="K56" s="2">
        <v>44.0</v>
      </c>
      <c r="L56" s="4">
        <f t="shared" si="7"/>
        <v>892</v>
      </c>
      <c r="M56" s="4">
        <f t="shared" si="8"/>
        <v>-640</v>
      </c>
      <c r="N56" s="4">
        <f t="shared" si="9"/>
        <v>640</v>
      </c>
      <c r="O56" s="4">
        <f t="shared" si="1"/>
        <v>1204.249337</v>
      </c>
      <c r="P56" s="4">
        <f t="shared" si="2"/>
        <v>1310.764192</v>
      </c>
      <c r="Q56" s="4">
        <f t="shared" si="3"/>
        <v>1106.530788</v>
      </c>
      <c r="V56" s="4">
        <f t="shared" si="4"/>
        <v>952.249337</v>
      </c>
      <c r="W56" s="4">
        <f t="shared" si="5"/>
        <v>1058.764192</v>
      </c>
      <c r="X56" s="4">
        <f t="shared" si="6"/>
        <v>854.5307879</v>
      </c>
    </row>
    <row r="57">
      <c r="A57" s="3">
        <v>40539.0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f t="shared" si="7"/>
        <v>748.3333333</v>
      </c>
      <c r="M57" s="4">
        <f t="shared" si="8"/>
        <v>-748.3333333</v>
      </c>
      <c r="N57" s="4">
        <f t="shared" si="9"/>
        <v>748.3333333</v>
      </c>
      <c r="O57" s="4">
        <f t="shared" si="1"/>
        <v>1109.024403</v>
      </c>
      <c r="P57" s="4">
        <f t="shared" si="2"/>
        <v>993.1349344</v>
      </c>
      <c r="Q57" s="4">
        <f t="shared" si="3"/>
        <v>679.2653939</v>
      </c>
      <c r="V57" s="4">
        <f t="shared" si="4"/>
        <v>1109.024403</v>
      </c>
      <c r="W57" s="4">
        <f t="shared" si="5"/>
        <v>993.1349344</v>
      </c>
      <c r="X57" s="4">
        <f t="shared" si="6"/>
        <v>679.2653939</v>
      </c>
    </row>
    <row r="58">
      <c r="A58" s="3">
        <v>40546.0</v>
      </c>
      <c r="B58" s="2">
        <v>251.0</v>
      </c>
      <c r="C58" s="2">
        <v>797.0</v>
      </c>
      <c r="D58" s="2">
        <v>1274.0</v>
      </c>
      <c r="E58" s="2">
        <v>145.0</v>
      </c>
      <c r="F58" s="2">
        <v>480.0</v>
      </c>
      <c r="G58" s="2">
        <v>16.0</v>
      </c>
      <c r="H58" s="2">
        <v>861.0</v>
      </c>
      <c r="I58" s="2">
        <v>797.0</v>
      </c>
      <c r="J58" s="2">
        <v>523.0</v>
      </c>
      <c r="K58" s="2">
        <v>362.0</v>
      </c>
      <c r="L58" s="4">
        <f t="shared" si="7"/>
        <v>411</v>
      </c>
      <c r="M58" s="4">
        <f t="shared" si="8"/>
        <v>386</v>
      </c>
      <c r="N58" s="4">
        <f t="shared" si="9"/>
        <v>386</v>
      </c>
      <c r="O58" s="4">
        <f t="shared" si="1"/>
        <v>998.121963</v>
      </c>
      <c r="P58" s="4">
        <f t="shared" si="2"/>
        <v>695.1944541</v>
      </c>
      <c r="Q58" s="4">
        <f t="shared" si="3"/>
        <v>339.632697</v>
      </c>
      <c r="V58" s="4">
        <f t="shared" si="4"/>
        <v>201.121963</v>
      </c>
      <c r="W58" s="4">
        <f t="shared" si="5"/>
        <v>101.8055459</v>
      </c>
      <c r="X58" s="4">
        <f t="shared" si="6"/>
        <v>457.367303</v>
      </c>
    </row>
    <row r="59">
      <c r="A59" s="3">
        <v>40553.0</v>
      </c>
      <c r="B59" s="2">
        <v>404.0</v>
      </c>
      <c r="C59" s="2">
        <v>344.0</v>
      </c>
      <c r="D59" s="2">
        <v>225.0</v>
      </c>
      <c r="E59" s="2">
        <v>85.0</v>
      </c>
      <c r="F59" s="2">
        <v>442.0</v>
      </c>
      <c r="G59" s="2">
        <v>6.0</v>
      </c>
      <c r="H59" s="2">
        <v>175.0</v>
      </c>
      <c r="I59" s="2">
        <v>344.0</v>
      </c>
      <c r="J59" s="2">
        <v>323.0</v>
      </c>
      <c r="K59" s="2">
        <v>642.0</v>
      </c>
      <c r="L59" s="4">
        <f t="shared" si="7"/>
        <v>349.6666667</v>
      </c>
      <c r="M59" s="4">
        <f t="shared" si="8"/>
        <v>-5.666666667</v>
      </c>
      <c r="N59" s="4">
        <f t="shared" si="9"/>
        <v>5.666666667</v>
      </c>
      <c r="O59" s="4">
        <f t="shared" si="1"/>
        <v>978.0097667</v>
      </c>
      <c r="P59" s="4">
        <f t="shared" si="2"/>
        <v>725.7361178</v>
      </c>
      <c r="Q59" s="4">
        <f t="shared" si="3"/>
        <v>568.3163485</v>
      </c>
      <c r="V59" s="4">
        <f t="shared" si="4"/>
        <v>634.0097667</v>
      </c>
      <c r="W59" s="4">
        <f t="shared" si="5"/>
        <v>381.7361178</v>
      </c>
      <c r="X59" s="4">
        <f t="shared" si="6"/>
        <v>224.3163485</v>
      </c>
    </row>
    <row r="60">
      <c r="A60" s="3">
        <v>40560.0</v>
      </c>
      <c r="B60" s="2">
        <v>138.0</v>
      </c>
      <c r="C60" s="2">
        <v>261.0</v>
      </c>
      <c r="D60" s="2">
        <v>594.0</v>
      </c>
      <c r="E60" s="2">
        <v>69.0</v>
      </c>
      <c r="F60" s="2">
        <v>139.0</v>
      </c>
      <c r="G60" s="2">
        <v>2.0</v>
      </c>
      <c r="H60" s="2">
        <v>165.0</v>
      </c>
      <c r="I60" s="2">
        <v>261.0</v>
      </c>
      <c r="J60" s="2">
        <v>73.0</v>
      </c>
      <c r="K60" s="2">
        <v>128.0</v>
      </c>
      <c r="L60" s="4">
        <f t="shared" si="7"/>
        <v>380.3333333</v>
      </c>
      <c r="M60" s="4">
        <f t="shared" si="8"/>
        <v>-119.3333333</v>
      </c>
      <c r="N60" s="4">
        <f t="shared" si="9"/>
        <v>119.3333333</v>
      </c>
      <c r="O60" s="4">
        <f t="shared" si="1"/>
        <v>914.60879</v>
      </c>
      <c r="P60" s="4">
        <f t="shared" si="2"/>
        <v>611.2152825</v>
      </c>
      <c r="Q60" s="4">
        <f t="shared" si="3"/>
        <v>456.1581742</v>
      </c>
      <c r="V60" s="4">
        <f t="shared" si="4"/>
        <v>653.60879</v>
      </c>
      <c r="W60" s="4">
        <f t="shared" si="5"/>
        <v>350.2152825</v>
      </c>
      <c r="X60" s="4">
        <f t="shared" si="6"/>
        <v>195.1581742</v>
      </c>
    </row>
    <row r="61">
      <c r="A61" s="3">
        <v>40567.0</v>
      </c>
      <c r="B61" s="2">
        <v>228.0</v>
      </c>
      <c r="C61" s="2">
        <v>351.0</v>
      </c>
      <c r="D61" s="2">
        <v>502.0</v>
      </c>
      <c r="E61" s="2">
        <v>171.0</v>
      </c>
      <c r="F61" s="2">
        <v>344.0</v>
      </c>
      <c r="G61" s="2">
        <v>0.0</v>
      </c>
      <c r="H61" s="2">
        <v>105.0</v>
      </c>
      <c r="I61" s="2">
        <v>351.0</v>
      </c>
      <c r="J61" s="2">
        <v>199.0</v>
      </c>
      <c r="K61" s="2">
        <v>171.0</v>
      </c>
      <c r="L61" s="4">
        <f t="shared" si="7"/>
        <v>467.3333333</v>
      </c>
      <c r="M61" s="4">
        <f t="shared" si="8"/>
        <v>-116.3333333</v>
      </c>
      <c r="N61" s="4">
        <f t="shared" si="9"/>
        <v>116.3333333</v>
      </c>
      <c r="O61" s="4">
        <f t="shared" si="1"/>
        <v>849.247911</v>
      </c>
      <c r="P61" s="4">
        <f t="shared" si="2"/>
        <v>506.1506977</v>
      </c>
      <c r="Q61" s="4">
        <f t="shared" si="3"/>
        <v>358.5790871</v>
      </c>
      <c r="V61" s="4">
        <f t="shared" si="4"/>
        <v>498.247911</v>
      </c>
      <c r="W61" s="4">
        <f t="shared" si="5"/>
        <v>155.1506977</v>
      </c>
      <c r="X61" s="4">
        <f t="shared" si="6"/>
        <v>7.579087121</v>
      </c>
    </row>
    <row r="62">
      <c r="A62" s="3">
        <v>40574.0</v>
      </c>
      <c r="B62" s="2">
        <v>149.0</v>
      </c>
      <c r="C62" s="2">
        <v>107.0</v>
      </c>
      <c r="D62" s="2">
        <v>965.0</v>
      </c>
      <c r="E62" s="2">
        <v>232.0</v>
      </c>
      <c r="F62" s="2">
        <v>937.0</v>
      </c>
      <c r="G62" s="2">
        <v>0.0</v>
      </c>
      <c r="H62" s="2">
        <v>99.0</v>
      </c>
      <c r="I62" s="2">
        <v>107.0</v>
      </c>
      <c r="J62" s="2">
        <v>225.0</v>
      </c>
      <c r="K62" s="2">
        <v>417.0</v>
      </c>
      <c r="L62" s="4">
        <f t="shared" si="7"/>
        <v>318.6666667</v>
      </c>
      <c r="M62" s="4">
        <f t="shared" si="8"/>
        <v>-211.6666667</v>
      </c>
      <c r="N62" s="4">
        <f t="shared" si="9"/>
        <v>211.6666667</v>
      </c>
      <c r="O62" s="4">
        <f t="shared" si="1"/>
        <v>799.4231199</v>
      </c>
      <c r="P62" s="4">
        <f t="shared" si="2"/>
        <v>459.6054884</v>
      </c>
      <c r="Q62" s="4">
        <f t="shared" si="3"/>
        <v>354.7895436</v>
      </c>
      <c r="V62" s="4">
        <f t="shared" si="4"/>
        <v>692.4231199</v>
      </c>
      <c r="W62" s="4">
        <f t="shared" si="5"/>
        <v>352.6054884</v>
      </c>
      <c r="X62" s="4">
        <f t="shared" si="6"/>
        <v>247.7895436</v>
      </c>
    </row>
    <row r="63">
      <c r="A63" s="3">
        <v>40581.0</v>
      </c>
      <c r="B63" s="2">
        <v>137.0</v>
      </c>
      <c r="C63" s="2">
        <v>239.0</v>
      </c>
      <c r="D63" s="2">
        <v>288.0</v>
      </c>
      <c r="E63" s="2">
        <v>291.0</v>
      </c>
      <c r="F63" s="2">
        <v>160.0</v>
      </c>
      <c r="G63" s="2">
        <v>0.0</v>
      </c>
      <c r="H63" s="2">
        <v>192.0</v>
      </c>
      <c r="I63" s="2">
        <v>239.0</v>
      </c>
      <c r="J63" s="2">
        <v>95.0</v>
      </c>
      <c r="K63" s="2">
        <v>255.0</v>
      </c>
      <c r="L63" s="4">
        <f t="shared" si="7"/>
        <v>239.6666667</v>
      </c>
      <c r="M63" s="4">
        <f t="shared" si="8"/>
        <v>-0.6666666667</v>
      </c>
      <c r="N63" s="4">
        <f t="shared" si="9"/>
        <v>0.6666666667</v>
      </c>
      <c r="O63" s="4">
        <f t="shared" si="1"/>
        <v>730.1808079</v>
      </c>
      <c r="P63" s="4">
        <f t="shared" si="2"/>
        <v>353.8238419</v>
      </c>
      <c r="Q63" s="4">
        <f t="shared" si="3"/>
        <v>230.8947718</v>
      </c>
      <c r="V63" s="4">
        <f t="shared" si="4"/>
        <v>491.1808079</v>
      </c>
      <c r="W63" s="4">
        <f t="shared" si="5"/>
        <v>114.8238419</v>
      </c>
      <c r="X63" s="4">
        <f t="shared" si="6"/>
        <v>8.10522822</v>
      </c>
    </row>
    <row r="64">
      <c r="A64" s="3">
        <v>40588.0</v>
      </c>
      <c r="B64" s="2">
        <v>399.0</v>
      </c>
      <c r="C64" s="2">
        <v>1040.0</v>
      </c>
      <c r="D64" s="2">
        <v>985.0</v>
      </c>
      <c r="E64" s="2">
        <v>189.0</v>
      </c>
      <c r="F64" s="2">
        <v>588.0</v>
      </c>
      <c r="G64" s="2">
        <v>2.0</v>
      </c>
      <c r="H64" s="2">
        <v>305.0</v>
      </c>
      <c r="I64" s="2">
        <v>1040.0</v>
      </c>
      <c r="J64" s="2">
        <v>409.0</v>
      </c>
      <c r="K64" s="2">
        <v>291.0</v>
      </c>
      <c r="L64" s="4">
        <f t="shared" si="7"/>
        <v>232.3333333</v>
      </c>
      <c r="M64" s="4">
        <f t="shared" si="8"/>
        <v>807.6666667</v>
      </c>
      <c r="N64" s="4">
        <f t="shared" si="9"/>
        <v>807.6666667</v>
      </c>
      <c r="O64" s="4">
        <f t="shared" si="1"/>
        <v>681.0627271</v>
      </c>
      <c r="P64" s="4">
        <f t="shared" si="2"/>
        <v>319.3766893</v>
      </c>
      <c r="Q64" s="4">
        <f t="shared" si="3"/>
        <v>234.9473859</v>
      </c>
      <c r="V64" s="4">
        <f t="shared" si="4"/>
        <v>358.9372729</v>
      </c>
      <c r="W64" s="4">
        <f t="shared" si="5"/>
        <v>720.6233107</v>
      </c>
      <c r="X64" s="4">
        <f t="shared" si="6"/>
        <v>805.0526141</v>
      </c>
    </row>
    <row r="65">
      <c r="A65" s="3">
        <v>40595.0</v>
      </c>
      <c r="B65" s="2">
        <v>203.0</v>
      </c>
      <c r="C65" s="2">
        <v>1312.0</v>
      </c>
      <c r="D65" s="2">
        <v>810.0</v>
      </c>
      <c r="E65" s="2">
        <v>157.0</v>
      </c>
      <c r="F65" s="2">
        <v>328.0</v>
      </c>
      <c r="G65" s="2">
        <v>2.0</v>
      </c>
      <c r="H65" s="2">
        <v>75.0</v>
      </c>
      <c r="I65" s="2">
        <v>1312.0</v>
      </c>
      <c r="J65" s="2">
        <v>260.0</v>
      </c>
      <c r="K65" s="2">
        <v>369.0</v>
      </c>
      <c r="L65" s="4">
        <f t="shared" si="7"/>
        <v>462</v>
      </c>
      <c r="M65" s="4">
        <f t="shared" si="8"/>
        <v>850</v>
      </c>
      <c r="N65" s="4">
        <f t="shared" si="9"/>
        <v>850</v>
      </c>
      <c r="O65" s="4">
        <f t="shared" si="1"/>
        <v>716.9564544</v>
      </c>
      <c r="P65" s="4">
        <f t="shared" si="2"/>
        <v>535.5636825</v>
      </c>
      <c r="Q65" s="4">
        <f t="shared" si="3"/>
        <v>637.4736929</v>
      </c>
      <c r="V65" s="4">
        <f t="shared" si="4"/>
        <v>595.0435456</v>
      </c>
      <c r="W65" s="4">
        <f t="shared" si="5"/>
        <v>776.4363175</v>
      </c>
      <c r="X65" s="4">
        <f t="shared" si="6"/>
        <v>674.5263071</v>
      </c>
    </row>
    <row r="66">
      <c r="A66" s="3">
        <v>40602.0</v>
      </c>
      <c r="B66" s="2">
        <v>348.0</v>
      </c>
      <c r="C66" s="2">
        <v>370.0</v>
      </c>
      <c r="D66" s="2">
        <v>624.0</v>
      </c>
      <c r="E66" s="2">
        <v>255.0</v>
      </c>
      <c r="F66" s="2">
        <v>213.0</v>
      </c>
      <c r="G66" s="2">
        <v>45.0</v>
      </c>
      <c r="H66" s="2">
        <v>39.0</v>
      </c>
      <c r="I66" s="2">
        <v>370.0</v>
      </c>
      <c r="J66" s="2">
        <v>174.0</v>
      </c>
      <c r="K66" s="2">
        <v>175.0</v>
      </c>
      <c r="L66" s="4">
        <f t="shared" si="7"/>
        <v>863.6666667</v>
      </c>
      <c r="M66" s="4">
        <f t="shared" si="8"/>
        <v>-493.6666667</v>
      </c>
      <c r="N66" s="4">
        <f t="shared" si="9"/>
        <v>493.6666667</v>
      </c>
      <c r="O66" s="4">
        <f t="shared" si="1"/>
        <v>776.460809</v>
      </c>
      <c r="P66" s="4">
        <f t="shared" si="2"/>
        <v>768.4945778</v>
      </c>
      <c r="Q66" s="4">
        <f t="shared" si="3"/>
        <v>974.7368465</v>
      </c>
      <c r="V66" s="4">
        <f t="shared" si="4"/>
        <v>406.460809</v>
      </c>
      <c r="W66" s="4">
        <f t="shared" si="5"/>
        <v>398.4945778</v>
      </c>
      <c r="X66" s="4">
        <f t="shared" si="6"/>
        <v>604.7368465</v>
      </c>
    </row>
    <row r="67">
      <c r="A67" s="3">
        <v>40609.0</v>
      </c>
      <c r="B67" s="2">
        <v>190.0</v>
      </c>
      <c r="C67" s="2">
        <v>779.0</v>
      </c>
      <c r="D67" s="2">
        <v>738.0</v>
      </c>
      <c r="E67" s="2">
        <v>205.0</v>
      </c>
      <c r="F67" s="2">
        <v>642.0</v>
      </c>
      <c r="G67" s="2">
        <v>1.0</v>
      </c>
      <c r="H67" s="2">
        <v>270.0</v>
      </c>
      <c r="I67" s="2">
        <v>779.0</v>
      </c>
      <c r="J67" s="2">
        <v>374.0</v>
      </c>
      <c r="K67" s="2">
        <v>148.0</v>
      </c>
      <c r="L67" s="4">
        <f t="shared" si="7"/>
        <v>907.3333333</v>
      </c>
      <c r="M67" s="4">
        <f t="shared" si="8"/>
        <v>-128.3333333</v>
      </c>
      <c r="N67" s="4">
        <f t="shared" si="9"/>
        <v>128.3333333</v>
      </c>
      <c r="O67" s="4">
        <f t="shared" si="1"/>
        <v>735.8147281</v>
      </c>
      <c r="P67" s="4">
        <f t="shared" si="2"/>
        <v>648.9462044</v>
      </c>
      <c r="Q67" s="4">
        <f t="shared" si="3"/>
        <v>672.3684232</v>
      </c>
      <c r="V67" s="4">
        <f t="shared" si="4"/>
        <v>43.18527192</v>
      </c>
      <c r="W67" s="4">
        <f t="shared" si="5"/>
        <v>130.0537956</v>
      </c>
      <c r="X67" s="4">
        <f t="shared" si="6"/>
        <v>106.6315768</v>
      </c>
    </row>
    <row r="68">
      <c r="A68" s="3">
        <v>40616.0</v>
      </c>
      <c r="B68" s="2">
        <v>308.0</v>
      </c>
      <c r="C68" s="2">
        <v>583.0</v>
      </c>
      <c r="D68" s="2">
        <v>1546.0</v>
      </c>
      <c r="E68" s="2">
        <v>606.0</v>
      </c>
      <c r="F68" s="2">
        <v>963.0</v>
      </c>
      <c r="G68" s="2">
        <v>0.0</v>
      </c>
      <c r="H68" s="2">
        <v>108.0</v>
      </c>
      <c r="I68" s="2">
        <v>583.0</v>
      </c>
      <c r="J68" s="2">
        <v>1083.0</v>
      </c>
      <c r="K68" s="2">
        <v>278.0</v>
      </c>
      <c r="L68" s="4">
        <f t="shared" si="7"/>
        <v>820.3333333</v>
      </c>
      <c r="M68" s="4">
        <f t="shared" si="8"/>
        <v>-237.3333333</v>
      </c>
      <c r="N68" s="4">
        <f t="shared" si="9"/>
        <v>237.3333333</v>
      </c>
      <c r="O68" s="4">
        <f t="shared" si="1"/>
        <v>740.1332553</v>
      </c>
      <c r="P68" s="4">
        <f t="shared" si="2"/>
        <v>687.9623431</v>
      </c>
      <c r="Q68" s="4">
        <f t="shared" si="3"/>
        <v>725.6842116</v>
      </c>
      <c r="V68" s="4">
        <f t="shared" si="4"/>
        <v>157.1332553</v>
      </c>
      <c r="W68" s="4">
        <f t="shared" si="5"/>
        <v>104.9623431</v>
      </c>
      <c r="X68" s="4">
        <f t="shared" si="6"/>
        <v>142.6842116</v>
      </c>
    </row>
    <row r="69">
      <c r="A69" s="3">
        <v>40623.0</v>
      </c>
      <c r="B69" s="2">
        <v>327.0</v>
      </c>
      <c r="C69" s="2">
        <v>237.0</v>
      </c>
      <c r="D69" s="2">
        <v>1379.0</v>
      </c>
      <c r="E69" s="2">
        <v>325.0</v>
      </c>
      <c r="F69" s="2">
        <v>391.0</v>
      </c>
      <c r="G69" s="2">
        <v>42.0</v>
      </c>
      <c r="H69" s="2">
        <v>22.0</v>
      </c>
      <c r="I69" s="2">
        <v>237.0</v>
      </c>
      <c r="J69" s="2">
        <v>586.0</v>
      </c>
      <c r="K69" s="2">
        <v>379.0</v>
      </c>
      <c r="L69" s="4">
        <f t="shared" si="7"/>
        <v>577.3333333</v>
      </c>
      <c r="M69" s="4">
        <f t="shared" si="8"/>
        <v>-340.3333333</v>
      </c>
      <c r="N69" s="4">
        <f t="shared" si="9"/>
        <v>340.3333333</v>
      </c>
      <c r="O69" s="4">
        <f t="shared" si="1"/>
        <v>724.4199297</v>
      </c>
      <c r="P69" s="4">
        <f t="shared" si="2"/>
        <v>656.4736402</v>
      </c>
      <c r="Q69" s="4">
        <f t="shared" si="3"/>
        <v>654.3421058</v>
      </c>
      <c r="V69" s="4">
        <f t="shared" si="4"/>
        <v>487.4199297</v>
      </c>
      <c r="W69" s="4">
        <f t="shared" si="5"/>
        <v>419.4736402</v>
      </c>
      <c r="X69" s="4">
        <f t="shared" si="6"/>
        <v>417.3421058</v>
      </c>
    </row>
    <row r="70">
      <c r="A70" s="3">
        <v>40630.0</v>
      </c>
      <c r="B70" s="2">
        <v>282.0</v>
      </c>
      <c r="C70" s="2">
        <v>1030.0</v>
      </c>
      <c r="D70" s="2">
        <v>1103.0</v>
      </c>
      <c r="E70" s="2">
        <v>368.0</v>
      </c>
      <c r="F70" s="2">
        <v>585.0</v>
      </c>
      <c r="G70" s="2">
        <v>3.0</v>
      </c>
      <c r="H70" s="2">
        <v>85.0</v>
      </c>
      <c r="I70" s="2">
        <v>1030.0</v>
      </c>
      <c r="J70" s="2">
        <v>665.0</v>
      </c>
      <c r="K70" s="2">
        <v>587.0</v>
      </c>
      <c r="L70" s="4">
        <f t="shared" si="7"/>
        <v>533</v>
      </c>
      <c r="M70" s="4">
        <f t="shared" si="8"/>
        <v>497</v>
      </c>
      <c r="N70" s="4">
        <f t="shared" si="9"/>
        <v>497</v>
      </c>
      <c r="O70" s="4">
        <f t="shared" si="1"/>
        <v>675.6779368</v>
      </c>
      <c r="P70" s="4">
        <f t="shared" si="2"/>
        <v>530.6315481</v>
      </c>
      <c r="Q70" s="4">
        <f t="shared" si="3"/>
        <v>445.6710529</v>
      </c>
      <c r="V70" s="4">
        <f t="shared" si="4"/>
        <v>354.3220632</v>
      </c>
      <c r="W70" s="4">
        <f t="shared" si="5"/>
        <v>499.3684519</v>
      </c>
      <c r="X70" s="4">
        <f t="shared" si="6"/>
        <v>584.3289471</v>
      </c>
    </row>
    <row r="71">
      <c r="A71" s="3">
        <v>40637.0</v>
      </c>
      <c r="B71" s="2">
        <v>274.0</v>
      </c>
      <c r="C71" s="2">
        <v>564.0</v>
      </c>
      <c r="D71" s="2">
        <v>975.0</v>
      </c>
      <c r="E71" s="2">
        <v>460.0</v>
      </c>
      <c r="F71" s="2">
        <v>753.0</v>
      </c>
      <c r="G71" s="2">
        <v>9.0</v>
      </c>
      <c r="H71" s="2">
        <v>14.0</v>
      </c>
      <c r="I71" s="2">
        <v>564.0</v>
      </c>
      <c r="J71" s="2">
        <v>125.0</v>
      </c>
      <c r="K71" s="2">
        <v>247.0</v>
      </c>
      <c r="L71" s="4">
        <f t="shared" si="7"/>
        <v>616.6666667</v>
      </c>
      <c r="M71" s="4">
        <f t="shared" si="8"/>
        <v>-52.66666667</v>
      </c>
      <c r="N71" s="4">
        <f t="shared" si="9"/>
        <v>52.66666667</v>
      </c>
      <c r="O71" s="4">
        <f t="shared" si="1"/>
        <v>711.1101431</v>
      </c>
      <c r="P71" s="4">
        <f t="shared" si="2"/>
        <v>680.4420837</v>
      </c>
      <c r="Q71" s="4">
        <f t="shared" si="3"/>
        <v>737.8355265</v>
      </c>
      <c r="V71" s="4">
        <f t="shared" si="4"/>
        <v>147.1101431</v>
      </c>
      <c r="W71" s="4">
        <f t="shared" si="5"/>
        <v>116.4420837</v>
      </c>
      <c r="X71" s="4">
        <f t="shared" si="6"/>
        <v>173.8355265</v>
      </c>
    </row>
    <row r="72">
      <c r="A72" s="3">
        <v>40644.0</v>
      </c>
      <c r="B72" s="2">
        <v>362.0</v>
      </c>
      <c r="C72" s="2">
        <v>784.0</v>
      </c>
      <c r="D72" s="2">
        <v>616.0</v>
      </c>
      <c r="E72" s="2">
        <v>542.0</v>
      </c>
      <c r="F72" s="2">
        <v>815.0</v>
      </c>
      <c r="G72" s="2">
        <v>0.0</v>
      </c>
      <c r="H72" s="2">
        <v>5.0</v>
      </c>
      <c r="I72" s="2">
        <v>784.0</v>
      </c>
      <c r="J72" s="2">
        <v>119.0</v>
      </c>
      <c r="K72" s="2">
        <v>305.0</v>
      </c>
      <c r="L72" s="4">
        <f t="shared" si="7"/>
        <v>610.3333333</v>
      </c>
      <c r="M72" s="4">
        <f t="shared" si="8"/>
        <v>173.6666667</v>
      </c>
      <c r="N72" s="4">
        <f t="shared" si="9"/>
        <v>173.6666667</v>
      </c>
      <c r="O72" s="4">
        <f t="shared" si="1"/>
        <v>696.3991288</v>
      </c>
      <c r="P72" s="4">
        <f t="shared" si="2"/>
        <v>645.5094586</v>
      </c>
      <c r="Q72" s="4">
        <f t="shared" si="3"/>
        <v>650.9177632</v>
      </c>
      <c r="V72" s="4">
        <f t="shared" si="4"/>
        <v>87.60087122</v>
      </c>
      <c r="W72" s="4">
        <f t="shared" si="5"/>
        <v>138.4905414</v>
      </c>
      <c r="X72" s="4">
        <f t="shared" si="6"/>
        <v>133.0822368</v>
      </c>
    </row>
    <row r="73">
      <c r="A73" s="3">
        <v>40651.0</v>
      </c>
      <c r="B73" s="2">
        <v>186.0</v>
      </c>
      <c r="C73" s="2">
        <v>232.0</v>
      </c>
      <c r="D73" s="2">
        <v>549.0</v>
      </c>
      <c r="E73" s="2">
        <v>548.0</v>
      </c>
      <c r="F73" s="2">
        <v>612.0</v>
      </c>
      <c r="G73" s="2">
        <v>1.0</v>
      </c>
      <c r="H73" s="2">
        <v>4.0</v>
      </c>
      <c r="I73" s="2">
        <v>232.0</v>
      </c>
      <c r="J73" s="2">
        <v>155.0</v>
      </c>
      <c r="K73" s="2">
        <v>368.0</v>
      </c>
      <c r="L73" s="4">
        <f t="shared" si="7"/>
        <v>792.6666667</v>
      </c>
      <c r="M73" s="4">
        <f t="shared" si="8"/>
        <v>-560.6666667</v>
      </c>
      <c r="N73" s="4">
        <f t="shared" si="9"/>
        <v>560.6666667</v>
      </c>
      <c r="O73" s="4">
        <f t="shared" si="1"/>
        <v>705.1592159</v>
      </c>
      <c r="P73" s="4">
        <f t="shared" si="2"/>
        <v>687.056621</v>
      </c>
      <c r="Q73" s="4">
        <f t="shared" si="3"/>
        <v>717.4588816</v>
      </c>
      <c r="V73" s="4">
        <f t="shared" si="4"/>
        <v>473.1592159</v>
      </c>
      <c r="W73" s="4">
        <f t="shared" si="5"/>
        <v>455.056621</v>
      </c>
      <c r="X73" s="4">
        <f t="shared" si="6"/>
        <v>485.4588816</v>
      </c>
    </row>
    <row r="74">
      <c r="A74" s="3">
        <v>40658.0</v>
      </c>
      <c r="B74" s="2">
        <v>175.0</v>
      </c>
      <c r="C74" s="2">
        <v>310.0</v>
      </c>
      <c r="D74" s="2">
        <v>385.0</v>
      </c>
      <c r="E74" s="2">
        <v>276.0</v>
      </c>
      <c r="F74" s="2">
        <v>264.0</v>
      </c>
      <c r="G74" s="2">
        <v>0.0</v>
      </c>
      <c r="H74" s="2">
        <v>5.0</v>
      </c>
      <c r="I74" s="2">
        <v>310.0</v>
      </c>
      <c r="J74" s="2">
        <v>282.0</v>
      </c>
      <c r="K74" s="2">
        <v>164.0</v>
      </c>
      <c r="L74" s="4">
        <f t="shared" si="7"/>
        <v>526.6666667</v>
      </c>
      <c r="M74" s="4">
        <f t="shared" si="8"/>
        <v>-216.6666667</v>
      </c>
      <c r="N74" s="4">
        <f t="shared" si="9"/>
        <v>216.6666667</v>
      </c>
      <c r="O74" s="4">
        <f t="shared" si="1"/>
        <v>657.8432943</v>
      </c>
      <c r="P74" s="4">
        <f t="shared" si="2"/>
        <v>550.5396347</v>
      </c>
      <c r="Q74" s="4">
        <f t="shared" si="3"/>
        <v>474.7294408</v>
      </c>
      <c r="V74" s="4">
        <f t="shared" si="4"/>
        <v>347.8432943</v>
      </c>
      <c r="W74" s="4">
        <f t="shared" si="5"/>
        <v>240.5396347</v>
      </c>
      <c r="X74" s="4">
        <f t="shared" si="6"/>
        <v>164.7294408</v>
      </c>
    </row>
    <row r="75">
      <c r="A75" s="3">
        <v>40665.0</v>
      </c>
      <c r="B75" s="2">
        <v>171.0</v>
      </c>
      <c r="C75" s="2">
        <v>372.0</v>
      </c>
      <c r="D75" s="2">
        <v>380.0</v>
      </c>
      <c r="E75" s="2">
        <v>984.0</v>
      </c>
      <c r="F75" s="2">
        <v>594.0</v>
      </c>
      <c r="G75" s="2">
        <v>4.0</v>
      </c>
      <c r="H75" s="2">
        <v>109.0</v>
      </c>
      <c r="I75" s="2">
        <v>372.0</v>
      </c>
      <c r="J75" s="2">
        <v>154.0</v>
      </c>
      <c r="K75" s="2">
        <v>289.0</v>
      </c>
      <c r="L75" s="4">
        <f t="shared" si="7"/>
        <v>442</v>
      </c>
      <c r="M75" s="4">
        <f t="shared" si="8"/>
        <v>-70</v>
      </c>
      <c r="N75" s="4">
        <f t="shared" si="9"/>
        <v>70</v>
      </c>
      <c r="O75" s="4">
        <f t="shared" si="1"/>
        <v>623.0589649</v>
      </c>
      <c r="P75" s="4">
        <f t="shared" si="2"/>
        <v>478.3777443</v>
      </c>
      <c r="Q75" s="4">
        <f t="shared" si="3"/>
        <v>392.3647204</v>
      </c>
      <c r="V75" s="4">
        <f t="shared" si="4"/>
        <v>251.0589649</v>
      </c>
      <c r="W75" s="4">
        <f t="shared" si="5"/>
        <v>106.3777443</v>
      </c>
      <c r="X75" s="4">
        <f t="shared" si="6"/>
        <v>20.3647204</v>
      </c>
    </row>
    <row r="76">
      <c r="A76" s="3">
        <v>40672.0</v>
      </c>
      <c r="B76" s="2">
        <v>366.0</v>
      </c>
      <c r="C76" s="2">
        <v>381.0</v>
      </c>
      <c r="D76" s="2">
        <v>1206.0</v>
      </c>
      <c r="E76" s="2">
        <v>752.0</v>
      </c>
      <c r="F76" s="2">
        <v>1201.0</v>
      </c>
      <c r="G76" s="2">
        <v>13.0</v>
      </c>
      <c r="H76" s="2">
        <v>187.0</v>
      </c>
      <c r="I76" s="2">
        <v>381.0</v>
      </c>
      <c r="J76" s="2">
        <v>401.0</v>
      </c>
      <c r="K76" s="2">
        <v>885.0</v>
      </c>
      <c r="L76" s="4">
        <f t="shared" si="7"/>
        <v>304.6666667</v>
      </c>
      <c r="M76" s="4">
        <f t="shared" si="8"/>
        <v>76.33333333</v>
      </c>
      <c r="N76" s="4">
        <f t="shared" si="9"/>
        <v>76.33333333</v>
      </c>
      <c r="O76" s="4">
        <f t="shared" si="1"/>
        <v>597.9530684</v>
      </c>
      <c r="P76" s="4">
        <f t="shared" si="2"/>
        <v>446.464421</v>
      </c>
      <c r="Q76" s="4">
        <f t="shared" si="3"/>
        <v>382.1823602</v>
      </c>
      <c r="V76" s="4">
        <f t="shared" si="4"/>
        <v>216.9530684</v>
      </c>
      <c r="W76" s="4">
        <f t="shared" si="5"/>
        <v>65.46442101</v>
      </c>
      <c r="X76" s="4">
        <f t="shared" si="6"/>
        <v>1.182360202</v>
      </c>
    </row>
    <row r="77">
      <c r="A77" s="3">
        <v>40679.0</v>
      </c>
      <c r="B77" s="2">
        <v>305.0</v>
      </c>
      <c r="C77" s="2">
        <v>1300.0</v>
      </c>
      <c r="D77" s="2">
        <v>978.0</v>
      </c>
      <c r="E77" s="2">
        <v>754.0</v>
      </c>
      <c r="F77" s="2">
        <v>595.0</v>
      </c>
      <c r="G77" s="2">
        <v>0.0</v>
      </c>
      <c r="H77" s="2">
        <v>44.0</v>
      </c>
      <c r="I77" s="2">
        <v>1300.0</v>
      </c>
      <c r="J77" s="2">
        <v>169.0</v>
      </c>
      <c r="K77" s="2">
        <v>445.0</v>
      </c>
      <c r="L77" s="4">
        <f t="shared" si="7"/>
        <v>354.3333333</v>
      </c>
      <c r="M77" s="4">
        <f t="shared" si="8"/>
        <v>945.6666667</v>
      </c>
      <c r="N77" s="4">
        <f t="shared" si="9"/>
        <v>945.6666667</v>
      </c>
      <c r="O77" s="4">
        <f t="shared" si="1"/>
        <v>576.2577616</v>
      </c>
      <c r="P77" s="4">
        <f t="shared" si="2"/>
        <v>426.8250947</v>
      </c>
      <c r="Q77" s="4">
        <f t="shared" si="3"/>
        <v>381.5911801</v>
      </c>
      <c r="V77" s="4">
        <f t="shared" si="4"/>
        <v>723.7422384</v>
      </c>
      <c r="W77" s="4">
        <f t="shared" si="5"/>
        <v>873.1749053</v>
      </c>
      <c r="X77" s="4">
        <f t="shared" si="6"/>
        <v>918.4088199</v>
      </c>
    </row>
    <row r="78">
      <c r="A78" s="3">
        <v>40686.0</v>
      </c>
      <c r="B78" s="2">
        <v>169.0</v>
      </c>
      <c r="C78" s="2">
        <v>4562.0</v>
      </c>
      <c r="D78" s="2">
        <v>933.0</v>
      </c>
      <c r="E78" s="2">
        <v>839.0</v>
      </c>
      <c r="F78" s="2">
        <v>565.0</v>
      </c>
      <c r="G78" s="2">
        <v>0.0</v>
      </c>
      <c r="H78" s="2">
        <v>72.0</v>
      </c>
      <c r="I78" s="2">
        <v>4562.0</v>
      </c>
      <c r="J78" s="2">
        <v>558.0</v>
      </c>
      <c r="K78" s="2">
        <v>684.0</v>
      </c>
      <c r="L78" s="4">
        <f t="shared" si="7"/>
        <v>684.3333333</v>
      </c>
      <c r="M78" s="4">
        <f t="shared" si="8"/>
        <v>3877.666667</v>
      </c>
      <c r="N78" s="4">
        <f t="shared" si="9"/>
        <v>3877.666667</v>
      </c>
      <c r="O78" s="4">
        <f t="shared" si="1"/>
        <v>648.6319854</v>
      </c>
      <c r="P78" s="4">
        <f t="shared" si="2"/>
        <v>688.7775663</v>
      </c>
      <c r="Q78" s="4">
        <f t="shared" si="3"/>
        <v>840.7955901</v>
      </c>
      <c r="V78" s="4">
        <f t="shared" si="4"/>
        <v>3913.368015</v>
      </c>
      <c r="W78" s="4">
        <f t="shared" si="5"/>
        <v>3873.222434</v>
      </c>
      <c r="X78" s="4">
        <f t="shared" si="6"/>
        <v>3721.20441</v>
      </c>
    </row>
    <row r="79">
      <c r="A79" s="3">
        <v>40693.0</v>
      </c>
      <c r="B79" s="2">
        <v>263.0</v>
      </c>
      <c r="C79" s="2">
        <v>533.0</v>
      </c>
      <c r="D79" s="2">
        <v>273.0</v>
      </c>
      <c r="E79" s="2">
        <v>434.0</v>
      </c>
      <c r="F79" s="2">
        <v>384.0</v>
      </c>
      <c r="G79" s="2">
        <v>0.0</v>
      </c>
      <c r="H79" s="2">
        <v>27.0</v>
      </c>
      <c r="I79" s="2">
        <v>533.0</v>
      </c>
      <c r="J79" s="2">
        <v>410.0</v>
      </c>
      <c r="K79" s="2">
        <v>184.0</v>
      </c>
      <c r="L79" s="4">
        <f t="shared" si="7"/>
        <v>2081</v>
      </c>
      <c r="M79" s="4">
        <f t="shared" si="8"/>
        <v>-1548</v>
      </c>
      <c r="N79" s="4">
        <f t="shared" si="9"/>
        <v>1548</v>
      </c>
      <c r="O79" s="4">
        <f t="shared" si="1"/>
        <v>1039.968787</v>
      </c>
      <c r="P79" s="4">
        <f t="shared" si="2"/>
        <v>1850.744296</v>
      </c>
      <c r="Q79" s="4">
        <f t="shared" si="3"/>
        <v>2701.397795</v>
      </c>
      <c r="V79" s="4">
        <f t="shared" si="4"/>
        <v>506.9687869</v>
      </c>
      <c r="W79" s="4">
        <f t="shared" si="5"/>
        <v>1317.744296</v>
      </c>
      <c r="X79" s="4">
        <f t="shared" si="6"/>
        <v>2168.397795</v>
      </c>
    </row>
    <row r="80">
      <c r="A80" s="3">
        <v>40700.0</v>
      </c>
      <c r="B80" s="2">
        <v>207.0</v>
      </c>
      <c r="C80" s="2">
        <v>410.0</v>
      </c>
      <c r="D80" s="2">
        <v>883.0</v>
      </c>
      <c r="E80" s="2">
        <v>651.0</v>
      </c>
      <c r="F80" s="2">
        <v>292.0</v>
      </c>
      <c r="G80" s="2">
        <v>2.0</v>
      </c>
      <c r="H80" s="2">
        <v>91.0</v>
      </c>
      <c r="I80" s="2">
        <v>410.0</v>
      </c>
      <c r="J80" s="2">
        <v>478.0</v>
      </c>
      <c r="K80" s="2">
        <v>585.0</v>
      </c>
      <c r="L80" s="4">
        <f t="shared" si="7"/>
        <v>2131.666667</v>
      </c>
      <c r="M80" s="4">
        <f t="shared" si="8"/>
        <v>-1721.666667</v>
      </c>
      <c r="N80" s="4">
        <f t="shared" si="9"/>
        <v>1721.666667</v>
      </c>
      <c r="O80" s="4">
        <f t="shared" si="1"/>
        <v>989.2719082</v>
      </c>
      <c r="P80" s="4">
        <f t="shared" si="2"/>
        <v>1455.421007</v>
      </c>
      <c r="Q80" s="4">
        <f t="shared" si="3"/>
        <v>1617.198898</v>
      </c>
      <c r="V80" s="4">
        <f t="shared" si="4"/>
        <v>579.2719082</v>
      </c>
      <c r="W80" s="4">
        <f t="shared" si="5"/>
        <v>1045.421007</v>
      </c>
      <c r="X80" s="4">
        <f t="shared" si="6"/>
        <v>1207.198898</v>
      </c>
    </row>
    <row r="81">
      <c r="A81" s="3">
        <v>40707.0</v>
      </c>
      <c r="B81" s="2">
        <v>173.0</v>
      </c>
      <c r="C81" s="2">
        <v>437.0</v>
      </c>
      <c r="D81" s="2">
        <v>959.0</v>
      </c>
      <c r="E81" s="2">
        <v>507.0</v>
      </c>
      <c r="F81" s="2">
        <v>446.0</v>
      </c>
      <c r="G81" s="2">
        <v>1.0</v>
      </c>
      <c r="H81" s="2">
        <v>113.0</v>
      </c>
      <c r="I81" s="2">
        <v>437.0</v>
      </c>
      <c r="J81" s="2">
        <v>243.0</v>
      </c>
      <c r="K81" s="2">
        <v>448.0</v>
      </c>
      <c r="L81" s="4">
        <f t="shared" si="7"/>
        <v>1835</v>
      </c>
      <c r="M81" s="4">
        <f t="shared" si="8"/>
        <v>-1398</v>
      </c>
      <c r="N81" s="4">
        <f t="shared" si="9"/>
        <v>1398</v>
      </c>
      <c r="O81" s="4">
        <f t="shared" si="1"/>
        <v>931.3447174</v>
      </c>
      <c r="P81" s="4">
        <f t="shared" si="2"/>
        <v>1141.794705</v>
      </c>
      <c r="Q81" s="4">
        <f t="shared" si="3"/>
        <v>1013.599449</v>
      </c>
      <c r="V81" s="4">
        <f t="shared" si="4"/>
        <v>494.3447174</v>
      </c>
      <c r="W81" s="4">
        <f t="shared" si="5"/>
        <v>704.7947052</v>
      </c>
      <c r="X81" s="4">
        <f t="shared" si="6"/>
        <v>576.5994488</v>
      </c>
    </row>
    <row r="82">
      <c r="A82" s="3">
        <v>40714.0</v>
      </c>
      <c r="B82" s="2">
        <v>143.0</v>
      </c>
      <c r="C82" s="2">
        <v>345.0</v>
      </c>
      <c r="D82" s="2">
        <v>841.0</v>
      </c>
      <c r="E82" s="2">
        <v>598.0</v>
      </c>
      <c r="F82" s="2">
        <v>270.0</v>
      </c>
      <c r="G82" s="2">
        <v>6.0</v>
      </c>
      <c r="H82" s="2">
        <v>60.0</v>
      </c>
      <c r="I82" s="2">
        <v>345.0</v>
      </c>
      <c r="J82" s="2">
        <v>611.0</v>
      </c>
      <c r="K82" s="2">
        <v>238.0</v>
      </c>
      <c r="L82" s="4">
        <f t="shared" si="7"/>
        <v>460</v>
      </c>
      <c r="M82" s="4">
        <f t="shared" si="8"/>
        <v>-115</v>
      </c>
      <c r="N82" s="4">
        <f t="shared" si="9"/>
        <v>115</v>
      </c>
      <c r="O82" s="4">
        <f t="shared" si="1"/>
        <v>881.9102456</v>
      </c>
      <c r="P82" s="4">
        <f t="shared" si="2"/>
        <v>930.3562937</v>
      </c>
      <c r="Q82" s="4">
        <f t="shared" si="3"/>
        <v>725.2997244</v>
      </c>
      <c r="V82" s="4">
        <f t="shared" si="4"/>
        <v>536.9102456</v>
      </c>
      <c r="W82" s="4">
        <f t="shared" si="5"/>
        <v>585.3562937</v>
      </c>
      <c r="X82" s="4">
        <f t="shared" si="6"/>
        <v>380.2997244</v>
      </c>
    </row>
    <row r="83">
      <c r="A83" s="3">
        <v>40721.0</v>
      </c>
      <c r="B83" s="2">
        <v>79.0</v>
      </c>
      <c r="C83" s="2">
        <v>430.0</v>
      </c>
      <c r="D83" s="2">
        <v>815.0</v>
      </c>
      <c r="E83" s="2">
        <v>276.0</v>
      </c>
      <c r="F83" s="2">
        <v>292.0</v>
      </c>
      <c r="G83" s="2">
        <v>365.0</v>
      </c>
      <c r="H83" s="2">
        <v>113.0</v>
      </c>
      <c r="I83" s="2">
        <v>430.0</v>
      </c>
      <c r="J83" s="2">
        <v>456.0</v>
      </c>
      <c r="K83" s="2">
        <v>303.0</v>
      </c>
      <c r="L83" s="4">
        <f t="shared" si="7"/>
        <v>397.3333333</v>
      </c>
      <c r="M83" s="4">
        <f t="shared" si="8"/>
        <v>32.66666667</v>
      </c>
      <c r="N83" s="4">
        <f t="shared" si="9"/>
        <v>32.66666667</v>
      </c>
      <c r="O83" s="4">
        <f t="shared" si="1"/>
        <v>828.2192211</v>
      </c>
      <c r="P83" s="4">
        <f t="shared" si="2"/>
        <v>754.7494056</v>
      </c>
      <c r="Q83" s="4">
        <f t="shared" si="3"/>
        <v>535.1498622</v>
      </c>
      <c r="V83" s="4">
        <f t="shared" si="4"/>
        <v>398.2192211</v>
      </c>
      <c r="W83" s="4">
        <f t="shared" si="5"/>
        <v>324.7494056</v>
      </c>
      <c r="X83" s="4">
        <f t="shared" si="6"/>
        <v>105.1498622</v>
      </c>
    </row>
    <row r="84">
      <c r="A84" s="3">
        <v>40728.0</v>
      </c>
      <c r="B84" s="2">
        <v>131.0</v>
      </c>
      <c r="C84" s="2">
        <v>636.0</v>
      </c>
      <c r="D84" s="2">
        <v>1364.0</v>
      </c>
      <c r="E84" s="2">
        <v>901.0</v>
      </c>
      <c r="F84" s="2">
        <v>460.0</v>
      </c>
      <c r="G84" s="2">
        <v>18.0</v>
      </c>
      <c r="H84" s="2">
        <v>23.0</v>
      </c>
      <c r="I84" s="2">
        <v>636.0</v>
      </c>
      <c r="J84" s="2">
        <v>452.0</v>
      </c>
      <c r="K84" s="2">
        <v>440.0</v>
      </c>
      <c r="L84" s="4">
        <f t="shared" si="7"/>
        <v>404</v>
      </c>
      <c r="M84" s="4">
        <f t="shared" si="8"/>
        <v>232</v>
      </c>
      <c r="N84" s="4">
        <f t="shared" si="9"/>
        <v>232</v>
      </c>
      <c r="O84" s="4">
        <f t="shared" si="1"/>
        <v>788.397299</v>
      </c>
      <c r="P84" s="4">
        <f t="shared" si="2"/>
        <v>657.3245839</v>
      </c>
      <c r="Q84" s="4">
        <f t="shared" si="3"/>
        <v>482.5749311</v>
      </c>
      <c r="V84" s="4">
        <f t="shared" si="4"/>
        <v>152.397299</v>
      </c>
      <c r="W84" s="4">
        <f t="shared" si="5"/>
        <v>21.3245839</v>
      </c>
      <c r="X84" s="4">
        <f t="shared" si="6"/>
        <v>153.4250689</v>
      </c>
    </row>
    <row r="85">
      <c r="A85" s="3">
        <v>40735.0</v>
      </c>
      <c r="B85" s="2">
        <v>292.0</v>
      </c>
      <c r="C85" s="2">
        <v>157.0</v>
      </c>
      <c r="D85" s="2">
        <v>421.0</v>
      </c>
      <c r="E85" s="2">
        <v>354.0</v>
      </c>
      <c r="F85" s="2">
        <v>372.0</v>
      </c>
      <c r="G85" s="2">
        <v>10.0</v>
      </c>
      <c r="H85" s="2">
        <v>33.0</v>
      </c>
      <c r="I85" s="2">
        <v>157.0</v>
      </c>
      <c r="J85" s="2">
        <v>315.0</v>
      </c>
      <c r="K85" s="2">
        <v>231.0</v>
      </c>
      <c r="L85" s="4">
        <f t="shared" si="7"/>
        <v>470.3333333</v>
      </c>
      <c r="M85" s="4">
        <f t="shared" si="8"/>
        <v>-313.3333333</v>
      </c>
      <c r="N85" s="4">
        <f t="shared" si="9"/>
        <v>313.3333333</v>
      </c>
      <c r="O85" s="4">
        <f t="shared" si="1"/>
        <v>773.1575691</v>
      </c>
      <c r="P85" s="4">
        <f t="shared" si="2"/>
        <v>650.9272087</v>
      </c>
      <c r="Q85" s="4">
        <f t="shared" si="3"/>
        <v>559.2874655</v>
      </c>
      <c r="V85" s="4">
        <f t="shared" si="4"/>
        <v>616.1575691</v>
      </c>
      <c r="W85" s="4">
        <f t="shared" si="5"/>
        <v>493.9272087</v>
      </c>
      <c r="X85" s="4">
        <f t="shared" si="6"/>
        <v>402.2874655</v>
      </c>
    </row>
    <row r="86">
      <c r="A86" s="3">
        <v>40742.0</v>
      </c>
      <c r="B86" s="2">
        <v>340.0</v>
      </c>
      <c r="C86" s="2">
        <v>621.0</v>
      </c>
      <c r="D86" s="2">
        <v>732.0</v>
      </c>
      <c r="E86" s="2">
        <v>927.0</v>
      </c>
      <c r="F86" s="2">
        <v>519.0</v>
      </c>
      <c r="G86" s="2">
        <v>32.0</v>
      </c>
      <c r="H86" s="2">
        <v>133.0</v>
      </c>
      <c r="I86" s="2">
        <v>621.0</v>
      </c>
      <c r="J86" s="2">
        <v>307.0</v>
      </c>
      <c r="K86" s="2">
        <v>495.0</v>
      </c>
      <c r="L86" s="4">
        <f t="shared" si="7"/>
        <v>407.6666667</v>
      </c>
      <c r="M86" s="4">
        <f t="shared" si="8"/>
        <v>213.3333333</v>
      </c>
      <c r="N86" s="4">
        <f t="shared" si="9"/>
        <v>213.3333333</v>
      </c>
      <c r="O86" s="4">
        <f t="shared" si="1"/>
        <v>711.5418122</v>
      </c>
      <c r="P86" s="4">
        <f t="shared" si="2"/>
        <v>502.7490461</v>
      </c>
      <c r="Q86" s="4">
        <f t="shared" si="3"/>
        <v>358.1437328</v>
      </c>
      <c r="V86" s="4">
        <f t="shared" si="4"/>
        <v>90.54181215</v>
      </c>
      <c r="W86" s="4">
        <f t="shared" si="5"/>
        <v>118.2509539</v>
      </c>
      <c r="X86" s="4">
        <f t="shared" si="6"/>
        <v>262.8562672</v>
      </c>
    </row>
    <row r="87">
      <c r="A87" s="3">
        <v>40749.0</v>
      </c>
      <c r="B87" s="2">
        <v>341.0</v>
      </c>
      <c r="C87" s="2">
        <v>436.0</v>
      </c>
      <c r="D87" s="2">
        <v>440.0</v>
      </c>
      <c r="E87" s="2">
        <v>520.0</v>
      </c>
      <c r="F87" s="2">
        <v>478.0</v>
      </c>
      <c r="G87" s="2">
        <v>287.0</v>
      </c>
      <c r="H87" s="2">
        <v>651.0</v>
      </c>
      <c r="I87" s="2">
        <v>436.0</v>
      </c>
      <c r="J87" s="2">
        <v>403.0</v>
      </c>
      <c r="K87" s="2">
        <v>385.0</v>
      </c>
      <c r="L87" s="4">
        <f t="shared" si="7"/>
        <v>471.3333333</v>
      </c>
      <c r="M87" s="4">
        <f t="shared" si="8"/>
        <v>-35.33333333</v>
      </c>
      <c r="N87" s="4">
        <f t="shared" si="9"/>
        <v>35.33333333</v>
      </c>
      <c r="O87" s="4">
        <f t="shared" si="1"/>
        <v>702.4876309</v>
      </c>
      <c r="P87" s="4">
        <f t="shared" si="2"/>
        <v>538.2243323</v>
      </c>
      <c r="Q87" s="4">
        <f t="shared" si="3"/>
        <v>489.5718664</v>
      </c>
      <c r="V87" s="4">
        <f t="shared" si="4"/>
        <v>266.4876309</v>
      </c>
      <c r="W87" s="4">
        <f t="shared" si="5"/>
        <v>102.2243323</v>
      </c>
      <c r="X87" s="4">
        <f t="shared" si="6"/>
        <v>53.57186639</v>
      </c>
    </row>
    <row r="88">
      <c r="A88" s="3">
        <v>40756.0</v>
      </c>
      <c r="B88" s="2">
        <v>148.0</v>
      </c>
      <c r="C88" s="2">
        <v>2178.0</v>
      </c>
      <c r="D88" s="2">
        <v>1040.0</v>
      </c>
      <c r="E88" s="2">
        <v>423.0</v>
      </c>
      <c r="F88" s="2">
        <v>3800.0</v>
      </c>
      <c r="G88" s="2">
        <v>161.0</v>
      </c>
      <c r="H88" s="2">
        <v>87.0</v>
      </c>
      <c r="I88" s="2">
        <v>2178.0</v>
      </c>
      <c r="J88" s="2">
        <v>382.0</v>
      </c>
      <c r="K88" s="2">
        <v>603.0</v>
      </c>
      <c r="L88" s="4">
        <f t="shared" si="7"/>
        <v>404.6666667</v>
      </c>
      <c r="M88" s="4">
        <f t="shared" si="8"/>
        <v>1773.333333</v>
      </c>
      <c r="N88" s="4">
        <f t="shared" si="9"/>
        <v>1773.333333</v>
      </c>
      <c r="O88" s="4">
        <f t="shared" si="1"/>
        <v>675.8388678</v>
      </c>
      <c r="P88" s="4">
        <f t="shared" si="2"/>
        <v>507.5570326</v>
      </c>
      <c r="Q88" s="4">
        <f t="shared" si="3"/>
        <v>462.7859332</v>
      </c>
      <c r="V88" s="4">
        <f t="shared" si="4"/>
        <v>1502.161132</v>
      </c>
      <c r="W88" s="4">
        <f t="shared" si="5"/>
        <v>1670.442967</v>
      </c>
      <c r="X88" s="4">
        <f t="shared" si="6"/>
        <v>1715.214067</v>
      </c>
    </row>
    <row r="89">
      <c r="A89" s="3">
        <v>40763.0</v>
      </c>
      <c r="B89" s="2">
        <v>177.0</v>
      </c>
      <c r="C89" s="2">
        <v>1735.0</v>
      </c>
      <c r="D89" s="2">
        <v>1373.0</v>
      </c>
      <c r="E89" s="2">
        <v>280.0</v>
      </c>
      <c r="F89" s="2">
        <v>1323.0</v>
      </c>
      <c r="G89" s="2">
        <v>22.0</v>
      </c>
      <c r="H89" s="2">
        <v>135.0</v>
      </c>
      <c r="I89" s="2">
        <v>1735.0</v>
      </c>
      <c r="J89" s="2">
        <v>551.0</v>
      </c>
      <c r="K89" s="2">
        <v>725.0</v>
      </c>
      <c r="L89" s="4">
        <f t="shared" si="7"/>
        <v>1078.333333</v>
      </c>
      <c r="M89" s="4">
        <f t="shared" si="8"/>
        <v>656.6666667</v>
      </c>
      <c r="N89" s="4">
        <f t="shared" si="9"/>
        <v>656.6666667</v>
      </c>
      <c r="O89" s="4">
        <f t="shared" si="1"/>
        <v>826.0549811</v>
      </c>
      <c r="P89" s="4">
        <f t="shared" si="2"/>
        <v>1008.689923</v>
      </c>
      <c r="Q89" s="4">
        <f t="shared" si="3"/>
        <v>1320.392967</v>
      </c>
      <c r="V89" s="4">
        <f t="shared" si="4"/>
        <v>908.9450189</v>
      </c>
      <c r="W89" s="4">
        <f t="shared" si="5"/>
        <v>726.3100772</v>
      </c>
      <c r="X89" s="4">
        <f t="shared" si="6"/>
        <v>414.6070334</v>
      </c>
    </row>
    <row r="90">
      <c r="A90" s="3">
        <v>40770.0</v>
      </c>
      <c r="B90" s="2">
        <v>210.0</v>
      </c>
      <c r="C90" s="2">
        <v>518.0</v>
      </c>
      <c r="D90" s="2">
        <v>1356.0</v>
      </c>
      <c r="E90" s="2">
        <v>402.0</v>
      </c>
      <c r="F90" s="2">
        <v>556.0</v>
      </c>
      <c r="G90" s="2">
        <v>36.0</v>
      </c>
      <c r="H90" s="2">
        <v>62.0</v>
      </c>
      <c r="I90" s="2">
        <v>518.0</v>
      </c>
      <c r="J90" s="2">
        <v>586.0</v>
      </c>
      <c r="K90" s="2">
        <v>423.0</v>
      </c>
      <c r="L90" s="4">
        <f t="shared" si="7"/>
        <v>1449.666667</v>
      </c>
      <c r="M90" s="4">
        <f t="shared" si="8"/>
        <v>-931.6666667</v>
      </c>
      <c r="N90" s="4">
        <f t="shared" si="9"/>
        <v>931.6666667</v>
      </c>
      <c r="O90" s="4">
        <f t="shared" si="1"/>
        <v>916.949483</v>
      </c>
      <c r="P90" s="4">
        <f t="shared" si="2"/>
        <v>1226.582946</v>
      </c>
      <c r="Q90" s="4">
        <f t="shared" si="3"/>
        <v>1527.696483</v>
      </c>
      <c r="V90" s="4">
        <f t="shared" si="4"/>
        <v>398.949483</v>
      </c>
      <c r="W90" s="4">
        <f t="shared" si="5"/>
        <v>708.582946</v>
      </c>
      <c r="X90" s="4">
        <f t="shared" si="6"/>
        <v>1009.696483</v>
      </c>
    </row>
    <row r="91">
      <c r="A91" s="3">
        <v>40777.0</v>
      </c>
      <c r="B91" s="2">
        <v>241.0</v>
      </c>
      <c r="C91" s="2">
        <v>826.0</v>
      </c>
      <c r="D91" s="2">
        <v>1518.0</v>
      </c>
      <c r="E91" s="2">
        <v>470.0</v>
      </c>
      <c r="F91" s="2">
        <v>850.0</v>
      </c>
      <c r="G91" s="2">
        <v>28.0</v>
      </c>
      <c r="H91" s="2">
        <v>110.0</v>
      </c>
      <c r="I91" s="2">
        <v>826.0</v>
      </c>
      <c r="J91" s="2">
        <v>619.0</v>
      </c>
      <c r="K91" s="2">
        <v>340.0</v>
      </c>
      <c r="L91" s="4">
        <f t="shared" si="7"/>
        <v>1477</v>
      </c>
      <c r="M91" s="4">
        <f t="shared" si="8"/>
        <v>-651</v>
      </c>
      <c r="N91" s="4">
        <f t="shared" si="9"/>
        <v>651</v>
      </c>
      <c r="O91" s="4">
        <f t="shared" si="1"/>
        <v>877.0545347</v>
      </c>
      <c r="P91" s="4">
        <f t="shared" si="2"/>
        <v>1014.008062</v>
      </c>
      <c r="Q91" s="4">
        <f t="shared" si="3"/>
        <v>1022.848242</v>
      </c>
      <c r="V91" s="4">
        <f t="shared" si="4"/>
        <v>51.05453466</v>
      </c>
      <c r="W91" s="4">
        <f t="shared" si="5"/>
        <v>188.0080622</v>
      </c>
      <c r="X91" s="4">
        <f t="shared" si="6"/>
        <v>196.8482416</v>
      </c>
    </row>
    <row r="92">
      <c r="A92" s="3">
        <v>40784.0</v>
      </c>
      <c r="B92" s="2">
        <v>146.0</v>
      </c>
      <c r="C92" s="2">
        <v>956.0</v>
      </c>
      <c r="D92" s="2">
        <v>717.0</v>
      </c>
      <c r="E92" s="2">
        <v>207.0</v>
      </c>
      <c r="F92" s="2">
        <v>216.0</v>
      </c>
      <c r="G92" s="2">
        <v>192.0</v>
      </c>
      <c r="H92" s="2">
        <v>210.0</v>
      </c>
      <c r="I92" s="2">
        <v>956.0</v>
      </c>
      <c r="J92" s="2">
        <v>248.0</v>
      </c>
      <c r="K92" s="2">
        <v>202.0</v>
      </c>
      <c r="L92" s="4">
        <f t="shared" si="7"/>
        <v>1026.333333</v>
      </c>
      <c r="M92" s="4">
        <f t="shared" si="8"/>
        <v>-70.33333333</v>
      </c>
      <c r="N92" s="4">
        <f t="shared" si="9"/>
        <v>70.33333333</v>
      </c>
      <c r="O92" s="4">
        <f t="shared" si="1"/>
        <v>871.9490812</v>
      </c>
      <c r="P92" s="4">
        <f t="shared" si="2"/>
        <v>957.6056435</v>
      </c>
      <c r="Q92" s="4">
        <f t="shared" si="3"/>
        <v>924.4241208</v>
      </c>
      <c r="V92" s="4">
        <f t="shared" si="4"/>
        <v>84.05091881</v>
      </c>
      <c r="W92" s="4">
        <f t="shared" si="5"/>
        <v>1.605643526</v>
      </c>
      <c r="X92" s="4">
        <f t="shared" si="6"/>
        <v>31.57587918</v>
      </c>
    </row>
    <row r="93">
      <c r="A93" s="3">
        <v>40791.0</v>
      </c>
      <c r="B93" s="2">
        <v>149.0</v>
      </c>
      <c r="C93" s="2">
        <v>516.0</v>
      </c>
      <c r="D93" s="2">
        <v>556.0</v>
      </c>
      <c r="E93" s="2">
        <v>300.0</v>
      </c>
      <c r="F93" s="2">
        <v>488.0</v>
      </c>
      <c r="G93" s="2">
        <v>455.0</v>
      </c>
      <c r="H93" s="2">
        <v>70.0</v>
      </c>
      <c r="I93" s="2">
        <v>516.0</v>
      </c>
      <c r="J93" s="2">
        <v>657.0</v>
      </c>
      <c r="K93" s="2">
        <v>424.0</v>
      </c>
      <c r="L93" s="4">
        <f t="shared" si="7"/>
        <v>766.6666667</v>
      </c>
      <c r="M93" s="4">
        <f t="shared" si="8"/>
        <v>-250.6666667</v>
      </c>
      <c r="N93" s="4">
        <f t="shared" si="9"/>
        <v>250.6666667</v>
      </c>
      <c r="O93" s="4">
        <f t="shared" si="1"/>
        <v>880.3541731</v>
      </c>
      <c r="P93" s="4">
        <f t="shared" si="2"/>
        <v>957.1239505</v>
      </c>
      <c r="Q93" s="4">
        <f t="shared" si="3"/>
        <v>940.2120604</v>
      </c>
      <c r="V93" s="4">
        <f t="shared" si="4"/>
        <v>364.3541731</v>
      </c>
      <c r="W93" s="4">
        <f t="shared" si="5"/>
        <v>441.1239505</v>
      </c>
      <c r="X93" s="4">
        <f t="shared" si="6"/>
        <v>424.2120604</v>
      </c>
    </row>
    <row r="94">
      <c r="A94" s="3">
        <v>40798.0</v>
      </c>
      <c r="B94" s="2">
        <v>218.0</v>
      </c>
      <c r="C94" s="2">
        <v>570.0</v>
      </c>
      <c r="D94" s="2">
        <v>743.0</v>
      </c>
      <c r="E94" s="2">
        <v>334.0</v>
      </c>
      <c r="F94" s="2">
        <v>908.0</v>
      </c>
      <c r="G94" s="2">
        <v>561.0</v>
      </c>
      <c r="H94" s="2">
        <v>262.0</v>
      </c>
      <c r="I94" s="2">
        <v>570.0</v>
      </c>
      <c r="J94" s="2">
        <v>478.0</v>
      </c>
      <c r="K94" s="2">
        <v>329.0</v>
      </c>
      <c r="L94" s="4">
        <f t="shared" si="7"/>
        <v>766</v>
      </c>
      <c r="M94" s="4">
        <f t="shared" si="8"/>
        <v>-196</v>
      </c>
      <c r="N94" s="4">
        <f t="shared" si="9"/>
        <v>196</v>
      </c>
      <c r="O94" s="4">
        <f t="shared" si="1"/>
        <v>843.9187558</v>
      </c>
      <c r="P94" s="4">
        <f t="shared" si="2"/>
        <v>824.7867653</v>
      </c>
      <c r="Q94" s="4">
        <f t="shared" si="3"/>
        <v>728.1060302</v>
      </c>
      <c r="V94" s="4">
        <f t="shared" si="4"/>
        <v>273.9187558</v>
      </c>
      <c r="W94" s="4">
        <f t="shared" si="5"/>
        <v>254.7867653</v>
      </c>
      <c r="X94" s="4">
        <f t="shared" si="6"/>
        <v>158.1060302</v>
      </c>
    </row>
    <row r="95">
      <c r="A95" s="3">
        <v>40805.0</v>
      </c>
      <c r="B95" s="2">
        <v>147.0</v>
      </c>
      <c r="C95" s="2">
        <v>682.0</v>
      </c>
      <c r="D95" s="2">
        <v>1667.0</v>
      </c>
      <c r="E95" s="2">
        <v>158.0</v>
      </c>
      <c r="F95" s="2">
        <v>677.0</v>
      </c>
      <c r="G95" s="2">
        <v>602.0</v>
      </c>
      <c r="H95" s="2">
        <v>28.0</v>
      </c>
      <c r="I95" s="2">
        <v>682.0</v>
      </c>
      <c r="J95" s="2">
        <v>809.0</v>
      </c>
      <c r="K95" s="2">
        <v>482.0</v>
      </c>
      <c r="L95" s="4">
        <f t="shared" si="7"/>
        <v>680.6666667</v>
      </c>
      <c r="M95" s="4">
        <f t="shared" si="8"/>
        <v>1.333333333</v>
      </c>
      <c r="N95" s="4">
        <f t="shared" si="9"/>
        <v>1.333333333</v>
      </c>
      <c r="O95" s="4">
        <f t="shared" si="1"/>
        <v>816.5268802</v>
      </c>
      <c r="P95" s="4">
        <f t="shared" si="2"/>
        <v>748.3507357</v>
      </c>
      <c r="Q95" s="4">
        <f t="shared" si="3"/>
        <v>649.0530151</v>
      </c>
      <c r="V95" s="4">
        <f t="shared" si="4"/>
        <v>134.5268802</v>
      </c>
      <c r="W95" s="4">
        <f t="shared" si="5"/>
        <v>66.35073573</v>
      </c>
      <c r="X95" s="4">
        <f t="shared" si="6"/>
        <v>32.9469849</v>
      </c>
    </row>
    <row r="96">
      <c r="A96" s="3">
        <v>40812.0</v>
      </c>
      <c r="B96" s="2">
        <v>148.0</v>
      </c>
      <c r="C96" s="2">
        <v>1675.0</v>
      </c>
      <c r="D96" s="2">
        <v>929.0</v>
      </c>
      <c r="E96" s="2">
        <v>209.0</v>
      </c>
      <c r="F96" s="2">
        <v>799.0</v>
      </c>
      <c r="G96" s="2">
        <v>359.0</v>
      </c>
      <c r="H96" s="2">
        <v>162.0</v>
      </c>
      <c r="I96" s="2">
        <v>1675.0</v>
      </c>
      <c r="J96" s="2">
        <v>665.0</v>
      </c>
      <c r="K96" s="2">
        <v>318.0</v>
      </c>
      <c r="L96" s="4">
        <f t="shared" si="7"/>
        <v>589.3333333</v>
      </c>
      <c r="M96" s="4">
        <f t="shared" si="8"/>
        <v>1085.666667</v>
      </c>
      <c r="N96" s="4">
        <f t="shared" si="9"/>
        <v>1085.666667</v>
      </c>
      <c r="O96" s="4">
        <f t="shared" si="1"/>
        <v>803.0741922</v>
      </c>
      <c r="P96" s="4">
        <f t="shared" si="2"/>
        <v>728.445515</v>
      </c>
      <c r="Q96" s="4">
        <f t="shared" si="3"/>
        <v>665.5265076</v>
      </c>
      <c r="V96" s="4">
        <f t="shared" si="4"/>
        <v>871.9258078</v>
      </c>
      <c r="W96" s="4">
        <f t="shared" si="5"/>
        <v>946.554485</v>
      </c>
      <c r="X96" s="4">
        <f t="shared" si="6"/>
        <v>1009.473492</v>
      </c>
    </row>
    <row r="97">
      <c r="A97" s="3">
        <v>40819.0</v>
      </c>
      <c r="B97" s="2">
        <v>409.0</v>
      </c>
      <c r="C97" s="2">
        <v>835.0</v>
      </c>
      <c r="D97" s="2">
        <v>2569.0</v>
      </c>
      <c r="E97" s="2">
        <v>183.0</v>
      </c>
      <c r="F97" s="2">
        <v>589.0</v>
      </c>
      <c r="G97" s="2">
        <v>977.0</v>
      </c>
      <c r="H97" s="2">
        <v>51.0</v>
      </c>
      <c r="I97" s="2">
        <v>835.0</v>
      </c>
      <c r="J97" s="2">
        <v>1649.0</v>
      </c>
      <c r="K97" s="2">
        <v>322.0</v>
      </c>
      <c r="L97" s="4">
        <f t="shared" si="7"/>
        <v>975.6666667</v>
      </c>
      <c r="M97" s="4">
        <f t="shared" si="8"/>
        <v>-140.6666667</v>
      </c>
      <c r="N97" s="4">
        <f t="shared" si="9"/>
        <v>140.6666667</v>
      </c>
      <c r="O97" s="4">
        <f t="shared" si="1"/>
        <v>890.266773</v>
      </c>
      <c r="P97" s="4">
        <f t="shared" si="2"/>
        <v>1012.411861</v>
      </c>
      <c r="Q97" s="4">
        <f t="shared" si="3"/>
        <v>1170.263254</v>
      </c>
      <c r="V97" s="4">
        <f t="shared" si="4"/>
        <v>55.26677295</v>
      </c>
      <c r="W97" s="4">
        <f t="shared" si="5"/>
        <v>177.4118605</v>
      </c>
      <c r="X97" s="4">
        <f t="shared" si="6"/>
        <v>335.2632538</v>
      </c>
    </row>
    <row r="98">
      <c r="A98" s="3">
        <v>40826.0</v>
      </c>
      <c r="B98" s="2">
        <v>181.0</v>
      </c>
      <c r="C98" s="2">
        <v>884.0</v>
      </c>
      <c r="D98" s="2">
        <v>647.0</v>
      </c>
      <c r="E98" s="2">
        <v>106.0</v>
      </c>
      <c r="F98" s="2">
        <v>420.0</v>
      </c>
      <c r="G98" s="2">
        <v>739.0</v>
      </c>
      <c r="H98" s="2">
        <v>150.0</v>
      </c>
      <c r="I98" s="2">
        <v>884.0</v>
      </c>
      <c r="J98" s="2">
        <v>237.0</v>
      </c>
      <c r="K98" s="2">
        <v>443.0</v>
      </c>
      <c r="L98" s="4">
        <f t="shared" si="7"/>
        <v>1064</v>
      </c>
      <c r="M98" s="4">
        <f t="shared" si="8"/>
        <v>-180</v>
      </c>
      <c r="N98" s="4">
        <f t="shared" si="9"/>
        <v>180</v>
      </c>
      <c r="O98" s="4">
        <f t="shared" si="1"/>
        <v>884.7400957</v>
      </c>
      <c r="P98" s="4">
        <f t="shared" si="2"/>
        <v>959.1883024</v>
      </c>
      <c r="Q98" s="4">
        <f t="shared" si="3"/>
        <v>1002.631627</v>
      </c>
      <c r="V98" s="4">
        <f t="shared" si="4"/>
        <v>0.7400956575</v>
      </c>
      <c r="W98" s="4">
        <f t="shared" si="5"/>
        <v>75.18830236</v>
      </c>
      <c r="X98" s="4">
        <f t="shared" si="6"/>
        <v>118.6316269</v>
      </c>
    </row>
    <row r="99">
      <c r="A99" s="3">
        <v>40833.0</v>
      </c>
      <c r="B99" s="2">
        <v>268.0</v>
      </c>
      <c r="C99" s="2">
        <v>1164.0</v>
      </c>
      <c r="D99" s="2">
        <v>1045.0</v>
      </c>
      <c r="E99" s="2">
        <v>211.0</v>
      </c>
      <c r="F99" s="2">
        <v>829.0</v>
      </c>
      <c r="G99" s="2">
        <v>756.0</v>
      </c>
      <c r="H99" s="2">
        <v>109.0</v>
      </c>
      <c r="I99" s="2">
        <v>1164.0</v>
      </c>
      <c r="J99" s="2">
        <v>334.0</v>
      </c>
      <c r="K99" s="2">
        <v>276.0</v>
      </c>
      <c r="L99" s="4">
        <f t="shared" si="7"/>
        <v>1131.333333</v>
      </c>
      <c r="M99" s="4">
        <f t="shared" si="8"/>
        <v>32.66666667</v>
      </c>
      <c r="N99" s="4">
        <f t="shared" si="9"/>
        <v>32.66666667</v>
      </c>
      <c r="O99" s="4">
        <f t="shared" si="1"/>
        <v>884.6660861</v>
      </c>
      <c r="P99" s="4">
        <f t="shared" si="2"/>
        <v>936.6318116</v>
      </c>
      <c r="Q99" s="4">
        <f t="shared" si="3"/>
        <v>943.3158134</v>
      </c>
      <c r="V99" s="4">
        <f t="shared" si="4"/>
        <v>279.3339139</v>
      </c>
      <c r="W99" s="4">
        <f t="shared" si="5"/>
        <v>227.3681884</v>
      </c>
      <c r="X99" s="4">
        <f t="shared" si="6"/>
        <v>220.6841866</v>
      </c>
    </row>
    <row r="100">
      <c r="A100" s="3">
        <v>40840.0</v>
      </c>
      <c r="B100" s="2">
        <v>135.0</v>
      </c>
      <c r="C100" s="2">
        <v>2775.0</v>
      </c>
      <c r="D100" s="2">
        <v>500.0</v>
      </c>
      <c r="E100" s="2">
        <v>78.0</v>
      </c>
      <c r="F100" s="2">
        <v>778.0</v>
      </c>
      <c r="G100" s="2">
        <v>644.0</v>
      </c>
      <c r="H100" s="2">
        <v>431.0</v>
      </c>
      <c r="I100" s="2">
        <v>2775.0</v>
      </c>
      <c r="J100" s="2">
        <v>643.0</v>
      </c>
      <c r="K100" s="2">
        <v>314.0</v>
      </c>
      <c r="L100" s="4">
        <f t="shared" si="7"/>
        <v>961</v>
      </c>
      <c r="M100" s="4">
        <f t="shared" si="8"/>
        <v>1814</v>
      </c>
      <c r="N100" s="4">
        <f t="shared" si="9"/>
        <v>1814</v>
      </c>
      <c r="O100" s="4">
        <f t="shared" si="1"/>
        <v>912.5994775</v>
      </c>
      <c r="P100" s="4">
        <f t="shared" si="2"/>
        <v>1004.842268</v>
      </c>
      <c r="Q100" s="4">
        <f t="shared" si="3"/>
        <v>1053.657907</v>
      </c>
      <c r="V100" s="4">
        <f t="shared" si="4"/>
        <v>1862.400523</v>
      </c>
      <c r="W100" s="4">
        <f t="shared" si="5"/>
        <v>1770.157732</v>
      </c>
      <c r="X100" s="4">
        <f t="shared" si="6"/>
        <v>1721.342093</v>
      </c>
    </row>
    <row r="101">
      <c r="A101" s="3">
        <v>40847.0</v>
      </c>
      <c r="B101" s="2">
        <v>279.0</v>
      </c>
      <c r="C101" s="2">
        <v>1156.0</v>
      </c>
      <c r="D101" s="2">
        <v>1063.0</v>
      </c>
      <c r="E101" s="2">
        <v>102.0</v>
      </c>
      <c r="F101" s="2">
        <v>968.0</v>
      </c>
      <c r="G101" s="2">
        <v>1745.0</v>
      </c>
      <c r="H101" s="2">
        <v>166.0</v>
      </c>
      <c r="I101" s="2">
        <v>1156.0</v>
      </c>
      <c r="J101" s="2">
        <v>313.0</v>
      </c>
      <c r="K101" s="2">
        <v>223.0</v>
      </c>
      <c r="L101" s="4">
        <f t="shared" si="7"/>
        <v>1607.666667</v>
      </c>
      <c r="M101" s="4">
        <f t="shared" si="8"/>
        <v>-451.6666667</v>
      </c>
      <c r="N101" s="4">
        <f t="shared" si="9"/>
        <v>451.6666667</v>
      </c>
      <c r="O101" s="4">
        <f t="shared" si="1"/>
        <v>1098.83953</v>
      </c>
      <c r="P101" s="4">
        <f t="shared" si="2"/>
        <v>1535.889588</v>
      </c>
      <c r="Q101" s="4">
        <f t="shared" si="3"/>
        <v>1914.328953</v>
      </c>
      <c r="V101" s="4">
        <f t="shared" si="4"/>
        <v>57.16047027</v>
      </c>
      <c r="W101" s="4">
        <f t="shared" si="5"/>
        <v>379.8895877</v>
      </c>
      <c r="X101" s="4">
        <f t="shared" si="6"/>
        <v>758.3289534</v>
      </c>
    </row>
    <row r="102">
      <c r="A102" s="3">
        <v>40854.0</v>
      </c>
      <c r="B102" s="2">
        <v>167.0</v>
      </c>
      <c r="C102" s="2">
        <v>3900.0</v>
      </c>
      <c r="D102" s="2">
        <v>2100.0</v>
      </c>
      <c r="E102" s="2">
        <v>135.0</v>
      </c>
      <c r="F102" s="2">
        <v>1748.0</v>
      </c>
      <c r="G102" s="2">
        <v>1436.0</v>
      </c>
      <c r="H102" s="2">
        <v>482.0</v>
      </c>
      <c r="I102" s="2">
        <v>3900.0</v>
      </c>
      <c r="J102" s="2">
        <v>416.0</v>
      </c>
      <c r="K102" s="2">
        <v>556.0</v>
      </c>
      <c r="L102" s="4">
        <f t="shared" si="7"/>
        <v>1698.333333</v>
      </c>
      <c r="M102" s="4">
        <f t="shared" si="8"/>
        <v>2201.666667</v>
      </c>
      <c r="N102" s="4">
        <f t="shared" si="9"/>
        <v>2201.666667</v>
      </c>
      <c r="O102" s="4">
        <f t="shared" si="1"/>
        <v>1104.555577</v>
      </c>
      <c r="P102" s="4">
        <f t="shared" si="2"/>
        <v>1421.922711</v>
      </c>
      <c r="Q102" s="4">
        <f t="shared" si="3"/>
        <v>1535.164477</v>
      </c>
      <c r="V102" s="4">
        <f t="shared" si="4"/>
        <v>2795.444423</v>
      </c>
      <c r="W102" s="4">
        <f t="shared" si="5"/>
        <v>2478.077289</v>
      </c>
      <c r="X102" s="4">
        <f t="shared" si="6"/>
        <v>2364.835523</v>
      </c>
    </row>
    <row r="103">
      <c r="A103" s="3">
        <v>40861.0</v>
      </c>
      <c r="B103" s="2">
        <v>235.0</v>
      </c>
      <c r="C103" s="2">
        <v>3145.0</v>
      </c>
      <c r="D103" s="2">
        <v>1602.0</v>
      </c>
      <c r="E103" s="2">
        <v>218.0</v>
      </c>
      <c r="F103" s="2">
        <v>1326.0</v>
      </c>
      <c r="G103" s="2">
        <v>2161.0</v>
      </c>
      <c r="H103" s="2">
        <v>389.0</v>
      </c>
      <c r="I103" s="2">
        <v>3145.0</v>
      </c>
      <c r="J103" s="2">
        <v>522.0</v>
      </c>
      <c r="K103" s="2">
        <v>650.0</v>
      </c>
      <c r="L103" s="4">
        <f t="shared" si="7"/>
        <v>2610.333333</v>
      </c>
      <c r="M103" s="4">
        <f t="shared" si="8"/>
        <v>534.6666667</v>
      </c>
      <c r="N103" s="4">
        <f t="shared" si="9"/>
        <v>534.6666667</v>
      </c>
      <c r="O103" s="4">
        <f t="shared" si="1"/>
        <v>1384.100019</v>
      </c>
      <c r="P103" s="4">
        <f t="shared" si="2"/>
        <v>2165.345898</v>
      </c>
      <c r="Q103" s="4">
        <f t="shared" si="3"/>
        <v>2717.582238</v>
      </c>
      <c r="V103" s="4">
        <f t="shared" si="4"/>
        <v>1760.899981</v>
      </c>
      <c r="W103" s="4">
        <f t="shared" si="5"/>
        <v>979.654102</v>
      </c>
      <c r="X103" s="4">
        <f t="shared" si="6"/>
        <v>427.4177617</v>
      </c>
    </row>
    <row r="104">
      <c r="A104" s="3">
        <v>40868.0</v>
      </c>
      <c r="B104" s="2">
        <v>249.0</v>
      </c>
      <c r="C104" s="2">
        <v>2755.0</v>
      </c>
      <c r="D104" s="2">
        <v>753.0</v>
      </c>
      <c r="E104" s="2">
        <v>455.0</v>
      </c>
      <c r="F104" s="2">
        <v>1037.0</v>
      </c>
      <c r="G104" s="2">
        <v>1692.0</v>
      </c>
      <c r="H104" s="2">
        <v>959.0</v>
      </c>
      <c r="I104" s="2">
        <v>2755.0</v>
      </c>
      <c r="J104" s="2">
        <v>253.0</v>
      </c>
      <c r="K104" s="2">
        <v>276.0</v>
      </c>
      <c r="L104" s="4">
        <f t="shared" si="7"/>
        <v>2733.666667</v>
      </c>
      <c r="M104" s="4">
        <f t="shared" si="8"/>
        <v>21.33333333</v>
      </c>
      <c r="N104" s="4">
        <f t="shared" si="9"/>
        <v>21.33333333</v>
      </c>
      <c r="O104" s="4">
        <f t="shared" si="1"/>
        <v>1560.190017</v>
      </c>
      <c r="P104" s="4">
        <f t="shared" si="2"/>
        <v>2459.242129</v>
      </c>
      <c r="Q104" s="4">
        <f t="shared" si="3"/>
        <v>2931.291119</v>
      </c>
      <c r="V104" s="4">
        <f t="shared" si="4"/>
        <v>1194.809983</v>
      </c>
      <c r="W104" s="4">
        <f t="shared" si="5"/>
        <v>295.7578714</v>
      </c>
      <c r="X104" s="4">
        <f t="shared" si="6"/>
        <v>176.2911192</v>
      </c>
    </row>
    <row r="105">
      <c r="A105" s="3">
        <v>40875.0</v>
      </c>
      <c r="B105" s="2">
        <v>226.0</v>
      </c>
      <c r="C105" s="2">
        <v>3275.0</v>
      </c>
      <c r="D105" s="2">
        <v>1040.0</v>
      </c>
      <c r="E105" s="2">
        <v>105.0</v>
      </c>
      <c r="F105" s="2">
        <v>953.0</v>
      </c>
      <c r="G105" s="2">
        <v>1564.0</v>
      </c>
      <c r="H105" s="2">
        <v>314.0</v>
      </c>
      <c r="I105" s="2">
        <v>3275.0</v>
      </c>
      <c r="J105" s="2">
        <v>436.0</v>
      </c>
      <c r="K105" s="2">
        <v>331.0</v>
      </c>
      <c r="L105" s="4">
        <f t="shared" si="7"/>
        <v>3266.666667</v>
      </c>
      <c r="M105" s="4">
        <f t="shared" si="8"/>
        <v>8.333333333</v>
      </c>
      <c r="N105" s="4">
        <f t="shared" si="9"/>
        <v>8.333333333</v>
      </c>
      <c r="O105" s="4">
        <f t="shared" si="1"/>
        <v>1679.671015</v>
      </c>
      <c r="P105" s="4">
        <f t="shared" si="2"/>
        <v>2547.96949</v>
      </c>
      <c r="Q105" s="4">
        <f t="shared" si="3"/>
        <v>2843.14556</v>
      </c>
      <c r="V105" s="4">
        <f t="shared" si="4"/>
        <v>1595.328985</v>
      </c>
      <c r="W105" s="4">
        <f t="shared" si="5"/>
        <v>727.03051</v>
      </c>
      <c r="X105" s="4">
        <f t="shared" si="6"/>
        <v>431.8544404</v>
      </c>
    </row>
    <row r="106">
      <c r="T106" s="1" t="s">
        <v>21</v>
      </c>
      <c r="U106" s="5">
        <f>AVERAGE(N94:N105)</f>
        <v>555.6666667</v>
      </c>
    </row>
    <row r="107">
      <c r="T107" s="1" t="s">
        <v>22</v>
      </c>
      <c r="U107" s="5">
        <f>AVERAGE(V94:V105)</f>
        <v>906.8130492</v>
      </c>
    </row>
    <row r="108">
      <c r="T108" s="1" t="s">
        <v>23</v>
      </c>
      <c r="U108" s="5">
        <f>AVERAGE(W94:W105)</f>
        <v>698.1856191</v>
      </c>
    </row>
    <row r="109">
      <c r="T109" s="1" t="s">
        <v>24</v>
      </c>
      <c r="U109" s="5">
        <f>AVERAGE(X94:X105)</f>
        <v>646.2646222</v>
      </c>
    </row>
    <row r="111">
      <c r="V111" s="1" t="s">
        <v>25</v>
      </c>
      <c r="W111" s="1" t="s">
        <v>26</v>
      </c>
    </row>
    <row r="112">
      <c r="V112" s="4">
        <f>AVERAGE(C2:C105)</f>
        <v>799.7115385</v>
      </c>
      <c r="W112" s="4">
        <f>STDEV(C2:C105)</f>
        <v>903.032267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0.1</v>
      </c>
      <c r="V1" s="1" t="s">
        <v>18</v>
      </c>
      <c r="W1" s="1" t="s">
        <v>19</v>
      </c>
      <c r="X1" s="1" t="s">
        <v>20</v>
      </c>
    </row>
    <row r="2">
      <c r="A2" s="3">
        <v>40154.0</v>
      </c>
      <c r="B2" s="2">
        <v>0.0</v>
      </c>
      <c r="C2" s="2">
        <v>0.0</v>
      </c>
      <c r="D2" s="2">
        <v>1233.0</v>
      </c>
      <c r="E2" s="2">
        <v>19.0</v>
      </c>
      <c r="F2" s="2">
        <v>1213.0</v>
      </c>
      <c r="G2" s="2">
        <v>663.0</v>
      </c>
      <c r="H2" s="2">
        <v>175.0</v>
      </c>
      <c r="I2" s="2">
        <v>153.0</v>
      </c>
      <c r="J2" s="2">
        <v>0.0</v>
      </c>
      <c r="K2" s="2">
        <v>324.0</v>
      </c>
      <c r="O2" s="4">
        <f>(C2)</f>
        <v>0</v>
      </c>
      <c r="P2" s="4">
        <f>(C2)</f>
        <v>0</v>
      </c>
      <c r="Q2" s="4">
        <f>(C2)</f>
        <v>0</v>
      </c>
      <c r="S2" s="2">
        <v>0.3</v>
      </c>
    </row>
    <row r="3">
      <c r="A3" s="3">
        <v>40161.0</v>
      </c>
      <c r="B3" s="2">
        <v>0.0</v>
      </c>
      <c r="C3" s="2">
        <v>0.0</v>
      </c>
      <c r="D3" s="2">
        <v>1304.0</v>
      </c>
      <c r="E3" s="2">
        <v>52.0</v>
      </c>
      <c r="F3" s="2">
        <v>1324.0</v>
      </c>
      <c r="G3" s="2">
        <v>572.0</v>
      </c>
      <c r="H3" s="2">
        <v>173.0</v>
      </c>
      <c r="I3" s="2">
        <v>644.0</v>
      </c>
      <c r="J3" s="2">
        <v>0.0</v>
      </c>
      <c r="K3" s="2">
        <v>236.0</v>
      </c>
      <c r="O3" s="4">
        <f t="shared" ref="O3:O105" si="1">($S$1*C2+(1-$S$1)*O2)</f>
        <v>0</v>
      </c>
      <c r="P3" s="4">
        <f t="shared" ref="P3:P105" si="2">($S$2*C2+(1-$S$2)*P2)</f>
        <v>0</v>
      </c>
      <c r="Q3" s="4">
        <f t="shared" ref="Q3:Q105" si="3">($S$3*C2+(1-$S$3)*Q2)</f>
        <v>0</v>
      </c>
      <c r="S3" s="2">
        <v>0.5</v>
      </c>
      <c r="V3" s="4">
        <f t="shared" ref="V3:V105" si="4">ABS(C3-O3)</f>
        <v>0</v>
      </c>
      <c r="W3" s="4">
        <f t="shared" ref="W3:W105" si="5">ABS(C3-P3)</f>
        <v>0</v>
      </c>
      <c r="X3" s="4">
        <f t="shared" ref="X3:X105" si="6">ABS(C3-Q3)</f>
        <v>0</v>
      </c>
    </row>
    <row r="4">
      <c r="A4" s="3">
        <v>40168.0</v>
      </c>
      <c r="B4" s="2">
        <v>0.0</v>
      </c>
      <c r="C4" s="2">
        <v>0.0</v>
      </c>
      <c r="D4" s="2">
        <v>36.0</v>
      </c>
      <c r="E4" s="2">
        <v>1.0</v>
      </c>
      <c r="F4" s="2">
        <v>82.0</v>
      </c>
      <c r="G4" s="2">
        <v>69.0</v>
      </c>
      <c r="H4" s="2">
        <v>19.0</v>
      </c>
      <c r="I4" s="2">
        <v>2.0</v>
      </c>
      <c r="J4" s="2">
        <v>0.0</v>
      </c>
      <c r="K4" s="2">
        <v>111.0</v>
      </c>
      <c r="O4" s="4">
        <f t="shared" si="1"/>
        <v>0</v>
      </c>
      <c r="P4" s="4">
        <f t="shared" si="2"/>
        <v>0</v>
      </c>
      <c r="Q4" s="4">
        <f t="shared" si="3"/>
        <v>0</v>
      </c>
      <c r="V4" s="4">
        <f t="shared" si="4"/>
        <v>0</v>
      </c>
      <c r="W4" s="4">
        <f t="shared" si="5"/>
        <v>0</v>
      </c>
      <c r="X4" s="4">
        <f t="shared" si="6"/>
        <v>0</v>
      </c>
    </row>
    <row r="5">
      <c r="A5" s="3">
        <v>40175.0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f t="shared" ref="L5:L105" si="7">AVERAGE(C2:C4)</f>
        <v>0</v>
      </c>
      <c r="M5" s="4">
        <f t="shared" ref="M5:M105" si="8">(C5-L5)</f>
        <v>0</v>
      </c>
      <c r="N5" s="4">
        <f t="shared" ref="N5:N105" si="9">ABS(M5)</f>
        <v>0</v>
      </c>
      <c r="O5" s="4">
        <f t="shared" si="1"/>
        <v>0</v>
      </c>
      <c r="P5" s="4">
        <f t="shared" si="2"/>
        <v>0</v>
      </c>
      <c r="Q5" s="4">
        <f t="shared" si="3"/>
        <v>0</v>
      </c>
      <c r="V5" s="4">
        <f t="shared" si="4"/>
        <v>0</v>
      </c>
      <c r="W5" s="4">
        <f t="shared" si="5"/>
        <v>0</v>
      </c>
      <c r="X5" s="4">
        <f t="shared" si="6"/>
        <v>0</v>
      </c>
    </row>
    <row r="6">
      <c r="A6" s="3">
        <v>40182.0</v>
      </c>
      <c r="B6" s="2">
        <v>0.0</v>
      </c>
      <c r="C6" s="2">
        <v>0.0</v>
      </c>
      <c r="D6" s="2">
        <v>1152.0</v>
      </c>
      <c r="E6" s="2">
        <v>47.0</v>
      </c>
      <c r="F6" s="2">
        <v>168.0</v>
      </c>
      <c r="G6" s="2">
        <v>0.0</v>
      </c>
      <c r="H6" s="2">
        <v>17.0</v>
      </c>
      <c r="I6" s="2">
        <v>21.0</v>
      </c>
      <c r="J6" s="2">
        <v>0.0</v>
      </c>
      <c r="K6" s="2">
        <v>324.0</v>
      </c>
      <c r="L6" s="4">
        <f t="shared" si="7"/>
        <v>0</v>
      </c>
      <c r="M6" s="4">
        <f t="shared" si="8"/>
        <v>0</v>
      </c>
      <c r="N6" s="4">
        <f t="shared" si="9"/>
        <v>0</v>
      </c>
      <c r="O6" s="4">
        <f t="shared" si="1"/>
        <v>0</v>
      </c>
      <c r="P6" s="4">
        <f t="shared" si="2"/>
        <v>0</v>
      </c>
      <c r="Q6" s="4">
        <f t="shared" si="3"/>
        <v>0</v>
      </c>
      <c r="V6" s="4">
        <f t="shared" si="4"/>
        <v>0</v>
      </c>
      <c r="W6" s="4">
        <f t="shared" si="5"/>
        <v>0</v>
      </c>
      <c r="X6" s="4">
        <f t="shared" si="6"/>
        <v>0</v>
      </c>
    </row>
    <row r="7">
      <c r="A7" s="3">
        <v>40189.0</v>
      </c>
      <c r="B7" s="2">
        <v>0.0</v>
      </c>
      <c r="C7" s="2">
        <v>0.0</v>
      </c>
      <c r="D7" s="2">
        <v>928.0</v>
      </c>
      <c r="E7" s="2">
        <v>64.0</v>
      </c>
      <c r="F7" s="2">
        <v>233.0</v>
      </c>
      <c r="G7" s="2">
        <v>20.0</v>
      </c>
      <c r="H7" s="2">
        <v>23.0</v>
      </c>
      <c r="I7" s="2">
        <v>72.0</v>
      </c>
      <c r="J7" s="2">
        <v>0.0</v>
      </c>
      <c r="K7" s="2">
        <v>190.0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"/>
        <v>0</v>
      </c>
      <c r="P7" s="4">
        <f t="shared" si="2"/>
        <v>0</v>
      </c>
      <c r="Q7" s="4">
        <f t="shared" si="3"/>
        <v>0</v>
      </c>
      <c r="V7" s="4">
        <f t="shared" si="4"/>
        <v>0</v>
      </c>
      <c r="W7" s="4">
        <f t="shared" si="5"/>
        <v>0</v>
      </c>
      <c r="X7" s="4">
        <f t="shared" si="6"/>
        <v>0</v>
      </c>
    </row>
    <row r="8">
      <c r="A8" s="3">
        <v>40196.0</v>
      </c>
      <c r="B8" s="2">
        <v>0.0</v>
      </c>
      <c r="C8" s="2">
        <v>0.0</v>
      </c>
      <c r="D8" s="2">
        <v>627.0</v>
      </c>
      <c r="E8" s="2">
        <v>49.0</v>
      </c>
      <c r="F8" s="2">
        <v>897.0</v>
      </c>
      <c r="G8" s="2">
        <v>3.0</v>
      </c>
      <c r="H8" s="2">
        <v>0.0</v>
      </c>
      <c r="I8" s="2">
        <v>23.0</v>
      </c>
      <c r="J8" s="2">
        <v>0.0</v>
      </c>
      <c r="K8" s="2">
        <v>479.0</v>
      </c>
      <c r="L8" s="4">
        <f t="shared" si="7"/>
        <v>0</v>
      </c>
      <c r="M8" s="4">
        <f t="shared" si="8"/>
        <v>0</v>
      </c>
      <c r="N8" s="4">
        <f t="shared" si="9"/>
        <v>0</v>
      </c>
      <c r="O8" s="4">
        <f t="shared" si="1"/>
        <v>0</v>
      </c>
      <c r="P8" s="4">
        <f t="shared" si="2"/>
        <v>0</v>
      </c>
      <c r="Q8" s="4">
        <f t="shared" si="3"/>
        <v>0</v>
      </c>
      <c r="V8" s="4">
        <f t="shared" si="4"/>
        <v>0</v>
      </c>
      <c r="W8" s="4">
        <f t="shared" si="5"/>
        <v>0</v>
      </c>
      <c r="X8" s="4">
        <f t="shared" si="6"/>
        <v>0</v>
      </c>
    </row>
    <row r="9">
      <c r="A9" s="3">
        <v>40203.0</v>
      </c>
      <c r="B9" s="2">
        <v>0.0</v>
      </c>
      <c r="C9" s="2">
        <v>0.0</v>
      </c>
      <c r="D9" s="2">
        <v>864.0</v>
      </c>
      <c r="E9" s="2">
        <v>186.0</v>
      </c>
      <c r="F9" s="2">
        <v>211.0</v>
      </c>
      <c r="G9" s="2">
        <v>0.0</v>
      </c>
      <c r="H9" s="2">
        <v>0.0</v>
      </c>
      <c r="I9" s="2">
        <v>621.0</v>
      </c>
      <c r="J9" s="2">
        <v>114.0</v>
      </c>
      <c r="K9" s="2">
        <v>504.0</v>
      </c>
      <c r="L9" s="4">
        <f t="shared" si="7"/>
        <v>0</v>
      </c>
      <c r="M9" s="4">
        <f t="shared" si="8"/>
        <v>0</v>
      </c>
      <c r="N9" s="4">
        <f t="shared" si="9"/>
        <v>0</v>
      </c>
      <c r="O9" s="4">
        <f t="shared" si="1"/>
        <v>0</v>
      </c>
      <c r="P9" s="4">
        <f t="shared" si="2"/>
        <v>0</v>
      </c>
      <c r="Q9" s="4">
        <f t="shared" si="3"/>
        <v>0</v>
      </c>
      <c r="V9" s="4">
        <f t="shared" si="4"/>
        <v>0</v>
      </c>
      <c r="W9" s="4">
        <f t="shared" si="5"/>
        <v>0</v>
      </c>
      <c r="X9" s="4">
        <f t="shared" si="6"/>
        <v>0</v>
      </c>
    </row>
    <row r="10">
      <c r="A10" s="3">
        <v>40210.0</v>
      </c>
      <c r="B10" s="2">
        <v>0.0</v>
      </c>
      <c r="C10" s="2">
        <v>0.0</v>
      </c>
      <c r="D10" s="2">
        <v>488.0</v>
      </c>
      <c r="E10" s="2">
        <v>53.0</v>
      </c>
      <c r="F10" s="2">
        <v>274.0</v>
      </c>
      <c r="G10" s="2">
        <v>0.0</v>
      </c>
      <c r="H10" s="2">
        <v>24.0</v>
      </c>
      <c r="I10" s="2">
        <v>81.0</v>
      </c>
      <c r="J10" s="2">
        <v>338.0</v>
      </c>
      <c r="K10" s="2">
        <v>326.0</v>
      </c>
      <c r="L10" s="4">
        <f t="shared" si="7"/>
        <v>0</v>
      </c>
      <c r="M10" s="4">
        <f t="shared" si="8"/>
        <v>0</v>
      </c>
      <c r="N10" s="4">
        <f t="shared" si="9"/>
        <v>0</v>
      </c>
      <c r="O10" s="4">
        <f t="shared" si="1"/>
        <v>0</v>
      </c>
      <c r="P10" s="4">
        <f t="shared" si="2"/>
        <v>0</v>
      </c>
      <c r="Q10" s="4">
        <f t="shared" si="3"/>
        <v>0</v>
      </c>
      <c r="V10" s="4">
        <f t="shared" si="4"/>
        <v>0</v>
      </c>
      <c r="W10" s="4">
        <f t="shared" si="5"/>
        <v>0</v>
      </c>
      <c r="X10" s="4">
        <f t="shared" si="6"/>
        <v>0</v>
      </c>
    </row>
    <row r="11">
      <c r="A11" s="3">
        <v>40217.0</v>
      </c>
      <c r="B11" s="2">
        <v>0.0</v>
      </c>
      <c r="C11" s="2">
        <v>0.0</v>
      </c>
      <c r="D11" s="2">
        <v>547.0</v>
      </c>
      <c r="E11" s="2">
        <v>51.0</v>
      </c>
      <c r="F11" s="2">
        <v>512.0</v>
      </c>
      <c r="G11" s="2">
        <v>0.0</v>
      </c>
      <c r="H11" s="2">
        <v>0.0</v>
      </c>
      <c r="I11" s="2">
        <v>68.0</v>
      </c>
      <c r="J11" s="2">
        <v>314.0</v>
      </c>
      <c r="K11" s="2">
        <v>213.0</v>
      </c>
      <c r="L11" s="4">
        <f t="shared" si="7"/>
        <v>0</v>
      </c>
      <c r="M11" s="4">
        <f t="shared" si="8"/>
        <v>0</v>
      </c>
      <c r="N11" s="4">
        <f t="shared" si="9"/>
        <v>0</v>
      </c>
      <c r="O11" s="4">
        <f t="shared" si="1"/>
        <v>0</v>
      </c>
      <c r="P11" s="4">
        <f t="shared" si="2"/>
        <v>0</v>
      </c>
      <c r="Q11" s="4">
        <f t="shared" si="3"/>
        <v>0</v>
      </c>
      <c r="V11" s="4">
        <f t="shared" si="4"/>
        <v>0</v>
      </c>
      <c r="W11" s="4">
        <f t="shared" si="5"/>
        <v>0</v>
      </c>
      <c r="X11" s="4">
        <f t="shared" si="6"/>
        <v>0</v>
      </c>
    </row>
    <row r="12">
      <c r="A12" s="3">
        <v>40224.0</v>
      </c>
      <c r="B12" s="2">
        <v>0.0</v>
      </c>
      <c r="C12" s="2">
        <v>0.0</v>
      </c>
      <c r="D12" s="2">
        <v>1014.0</v>
      </c>
      <c r="E12" s="2">
        <v>159.0</v>
      </c>
      <c r="F12" s="2">
        <v>587.0</v>
      </c>
      <c r="G12" s="2">
        <v>0.0</v>
      </c>
      <c r="H12" s="2">
        <v>1.0</v>
      </c>
      <c r="I12" s="2">
        <v>19.0</v>
      </c>
      <c r="J12" s="2">
        <v>720.0</v>
      </c>
      <c r="K12" s="2">
        <v>442.0</v>
      </c>
      <c r="L12" s="4">
        <f t="shared" si="7"/>
        <v>0</v>
      </c>
      <c r="M12" s="4">
        <f t="shared" si="8"/>
        <v>0</v>
      </c>
      <c r="N12" s="4">
        <f t="shared" si="9"/>
        <v>0</v>
      </c>
      <c r="O12" s="4">
        <f t="shared" si="1"/>
        <v>0</v>
      </c>
      <c r="P12" s="4">
        <f t="shared" si="2"/>
        <v>0</v>
      </c>
      <c r="Q12" s="4">
        <f t="shared" si="3"/>
        <v>0</v>
      </c>
      <c r="V12" s="4">
        <f t="shared" si="4"/>
        <v>0</v>
      </c>
      <c r="W12" s="4">
        <f t="shared" si="5"/>
        <v>0</v>
      </c>
      <c r="X12" s="4">
        <f t="shared" si="6"/>
        <v>0</v>
      </c>
    </row>
    <row r="13">
      <c r="A13" s="3">
        <v>40231.0</v>
      </c>
      <c r="B13" s="2">
        <v>0.0</v>
      </c>
      <c r="C13" s="2">
        <v>0.0</v>
      </c>
      <c r="D13" s="2">
        <v>613.0</v>
      </c>
      <c r="E13" s="2">
        <v>79.0</v>
      </c>
      <c r="F13" s="2">
        <v>294.0</v>
      </c>
      <c r="G13" s="2">
        <v>0.0</v>
      </c>
      <c r="H13" s="2">
        <v>0.0</v>
      </c>
      <c r="I13" s="2">
        <v>1407.0</v>
      </c>
      <c r="J13" s="2">
        <v>551.0</v>
      </c>
      <c r="K13" s="2">
        <v>272.0</v>
      </c>
      <c r="L13" s="4">
        <f t="shared" si="7"/>
        <v>0</v>
      </c>
      <c r="M13" s="4">
        <f t="shared" si="8"/>
        <v>0</v>
      </c>
      <c r="N13" s="4">
        <f t="shared" si="9"/>
        <v>0</v>
      </c>
      <c r="O13" s="4">
        <f t="shared" si="1"/>
        <v>0</v>
      </c>
      <c r="P13" s="4">
        <f t="shared" si="2"/>
        <v>0</v>
      </c>
      <c r="Q13" s="4">
        <f t="shared" si="3"/>
        <v>0</v>
      </c>
      <c r="V13" s="4">
        <f t="shared" si="4"/>
        <v>0</v>
      </c>
      <c r="W13" s="4">
        <f t="shared" si="5"/>
        <v>0</v>
      </c>
      <c r="X13" s="4">
        <f t="shared" si="6"/>
        <v>0</v>
      </c>
    </row>
    <row r="14">
      <c r="A14" s="3">
        <v>40238.0</v>
      </c>
      <c r="B14" s="2">
        <v>0.0</v>
      </c>
      <c r="C14" s="2">
        <v>0.0</v>
      </c>
      <c r="D14" s="2">
        <v>754.0</v>
      </c>
      <c r="E14" s="2">
        <v>78.0</v>
      </c>
      <c r="F14" s="2">
        <v>735.0</v>
      </c>
      <c r="G14" s="2">
        <v>3.0</v>
      </c>
      <c r="H14" s="2">
        <v>2.0</v>
      </c>
      <c r="I14" s="2">
        <v>133.0</v>
      </c>
      <c r="J14" s="2">
        <v>306.0</v>
      </c>
      <c r="K14" s="2">
        <v>409.0</v>
      </c>
      <c r="L14" s="4">
        <f t="shared" si="7"/>
        <v>0</v>
      </c>
      <c r="M14" s="4">
        <f t="shared" si="8"/>
        <v>0</v>
      </c>
      <c r="N14" s="4">
        <f t="shared" si="9"/>
        <v>0</v>
      </c>
      <c r="O14" s="4">
        <f t="shared" si="1"/>
        <v>0</v>
      </c>
      <c r="P14" s="4">
        <f t="shared" si="2"/>
        <v>0</v>
      </c>
      <c r="Q14" s="4">
        <f t="shared" si="3"/>
        <v>0</v>
      </c>
      <c r="V14" s="4">
        <f t="shared" si="4"/>
        <v>0</v>
      </c>
      <c r="W14" s="4">
        <f t="shared" si="5"/>
        <v>0</v>
      </c>
      <c r="X14" s="4">
        <f t="shared" si="6"/>
        <v>0</v>
      </c>
    </row>
    <row r="15">
      <c r="A15" s="3">
        <v>40245.0</v>
      </c>
      <c r="B15" s="2">
        <v>0.0</v>
      </c>
      <c r="C15" s="2">
        <v>0.0</v>
      </c>
      <c r="D15" s="2">
        <v>800.0</v>
      </c>
      <c r="E15" s="2">
        <v>262.0</v>
      </c>
      <c r="F15" s="2">
        <v>917.0</v>
      </c>
      <c r="G15" s="2">
        <v>0.0</v>
      </c>
      <c r="H15" s="2">
        <v>0.0</v>
      </c>
      <c r="I15" s="2">
        <v>47.0</v>
      </c>
      <c r="J15" s="2">
        <v>405.0</v>
      </c>
      <c r="K15" s="2">
        <v>337.0</v>
      </c>
      <c r="L15" s="4">
        <f t="shared" si="7"/>
        <v>0</v>
      </c>
      <c r="M15" s="4">
        <f t="shared" si="8"/>
        <v>0</v>
      </c>
      <c r="N15" s="4">
        <f t="shared" si="9"/>
        <v>0</v>
      </c>
      <c r="O15" s="4">
        <f t="shared" si="1"/>
        <v>0</v>
      </c>
      <c r="P15" s="4">
        <f t="shared" si="2"/>
        <v>0</v>
      </c>
      <c r="Q15" s="4">
        <f t="shared" si="3"/>
        <v>0</v>
      </c>
      <c r="V15" s="4">
        <f t="shared" si="4"/>
        <v>0</v>
      </c>
      <c r="W15" s="4">
        <f t="shared" si="5"/>
        <v>0</v>
      </c>
      <c r="X15" s="4">
        <f t="shared" si="6"/>
        <v>0</v>
      </c>
    </row>
    <row r="16">
      <c r="A16" s="3">
        <v>40252.0</v>
      </c>
      <c r="B16" s="2">
        <v>194.0</v>
      </c>
      <c r="C16" s="2">
        <v>194.0</v>
      </c>
      <c r="D16" s="2">
        <v>555.0</v>
      </c>
      <c r="E16" s="2">
        <v>224.0</v>
      </c>
      <c r="F16" s="2">
        <v>551.0</v>
      </c>
      <c r="G16" s="2">
        <v>12.0</v>
      </c>
      <c r="H16" s="2">
        <v>0.0</v>
      </c>
      <c r="I16" s="2">
        <v>826.0</v>
      </c>
      <c r="J16" s="2">
        <v>179.0</v>
      </c>
      <c r="K16" s="2">
        <v>375.0</v>
      </c>
      <c r="L16" s="4">
        <f t="shared" si="7"/>
        <v>0</v>
      </c>
      <c r="M16" s="4">
        <f t="shared" si="8"/>
        <v>194</v>
      </c>
      <c r="N16" s="4">
        <f t="shared" si="9"/>
        <v>194</v>
      </c>
      <c r="O16" s="4">
        <f t="shared" si="1"/>
        <v>0</v>
      </c>
      <c r="P16" s="4">
        <f t="shared" si="2"/>
        <v>0</v>
      </c>
      <c r="Q16" s="4">
        <f t="shared" si="3"/>
        <v>0</v>
      </c>
      <c r="V16" s="4">
        <f t="shared" si="4"/>
        <v>194</v>
      </c>
      <c r="W16" s="4">
        <f t="shared" si="5"/>
        <v>194</v>
      </c>
      <c r="X16" s="4">
        <f t="shared" si="6"/>
        <v>194</v>
      </c>
    </row>
    <row r="17">
      <c r="A17" s="3">
        <v>40259.0</v>
      </c>
      <c r="B17" s="2">
        <v>410.0</v>
      </c>
      <c r="C17" s="2">
        <v>410.0</v>
      </c>
      <c r="D17" s="2">
        <v>930.0</v>
      </c>
      <c r="E17" s="2">
        <v>212.0</v>
      </c>
      <c r="F17" s="2">
        <v>808.0</v>
      </c>
      <c r="G17" s="2">
        <v>0.0</v>
      </c>
      <c r="H17" s="2">
        <v>0.0</v>
      </c>
      <c r="I17" s="2">
        <v>103.0</v>
      </c>
      <c r="J17" s="2">
        <v>467.0</v>
      </c>
      <c r="K17" s="2">
        <v>177.0</v>
      </c>
      <c r="L17" s="4">
        <f t="shared" si="7"/>
        <v>64.66666667</v>
      </c>
      <c r="M17" s="4">
        <f t="shared" si="8"/>
        <v>345.3333333</v>
      </c>
      <c r="N17" s="4">
        <f t="shared" si="9"/>
        <v>345.3333333</v>
      </c>
      <c r="O17" s="4">
        <f t="shared" si="1"/>
        <v>19.4</v>
      </c>
      <c r="P17" s="4">
        <f t="shared" si="2"/>
        <v>58.2</v>
      </c>
      <c r="Q17" s="4">
        <f t="shared" si="3"/>
        <v>97</v>
      </c>
      <c r="V17" s="4">
        <f t="shared" si="4"/>
        <v>390.6</v>
      </c>
      <c r="W17" s="4">
        <f t="shared" si="5"/>
        <v>351.8</v>
      </c>
      <c r="X17" s="4">
        <f t="shared" si="6"/>
        <v>313</v>
      </c>
    </row>
    <row r="18">
      <c r="A18" s="3">
        <v>40266.0</v>
      </c>
      <c r="B18" s="2">
        <v>186.0</v>
      </c>
      <c r="C18" s="2">
        <v>186.0</v>
      </c>
      <c r="D18" s="2">
        <v>588.0</v>
      </c>
      <c r="E18" s="2">
        <v>149.0</v>
      </c>
      <c r="F18" s="2">
        <v>331.0</v>
      </c>
      <c r="G18" s="2">
        <v>2.0</v>
      </c>
      <c r="H18" s="2">
        <v>450.0</v>
      </c>
      <c r="I18" s="2">
        <v>423.0</v>
      </c>
      <c r="J18" s="2">
        <v>331.0</v>
      </c>
      <c r="K18" s="2">
        <v>425.0</v>
      </c>
      <c r="L18" s="4">
        <f t="shared" si="7"/>
        <v>201.3333333</v>
      </c>
      <c r="M18" s="4">
        <f t="shared" si="8"/>
        <v>-15.33333333</v>
      </c>
      <c r="N18" s="4">
        <f t="shared" si="9"/>
        <v>15.33333333</v>
      </c>
      <c r="O18" s="4">
        <f t="shared" si="1"/>
        <v>58.46</v>
      </c>
      <c r="P18" s="4">
        <f t="shared" si="2"/>
        <v>163.74</v>
      </c>
      <c r="Q18" s="4">
        <f t="shared" si="3"/>
        <v>253.5</v>
      </c>
      <c r="V18" s="4">
        <f t="shared" si="4"/>
        <v>127.54</v>
      </c>
      <c r="W18" s="4">
        <f t="shared" si="5"/>
        <v>22.26</v>
      </c>
      <c r="X18" s="4">
        <f t="shared" si="6"/>
        <v>67.5</v>
      </c>
    </row>
    <row r="19">
      <c r="A19" s="3">
        <v>40273.0</v>
      </c>
      <c r="B19" s="2">
        <v>230.0</v>
      </c>
      <c r="C19" s="2">
        <v>230.0</v>
      </c>
      <c r="D19" s="2">
        <v>416.0</v>
      </c>
      <c r="E19" s="2">
        <v>179.0</v>
      </c>
      <c r="F19" s="2">
        <v>736.0</v>
      </c>
      <c r="G19" s="2">
        <v>0.0</v>
      </c>
      <c r="H19" s="2">
        <v>216.0</v>
      </c>
      <c r="I19" s="2">
        <v>716.0</v>
      </c>
      <c r="J19" s="2">
        <v>164.0</v>
      </c>
      <c r="K19" s="2">
        <v>298.0</v>
      </c>
      <c r="L19" s="4">
        <f t="shared" si="7"/>
        <v>263.3333333</v>
      </c>
      <c r="M19" s="4">
        <f t="shared" si="8"/>
        <v>-33.33333333</v>
      </c>
      <c r="N19" s="4">
        <f t="shared" si="9"/>
        <v>33.33333333</v>
      </c>
      <c r="O19" s="4">
        <f t="shared" si="1"/>
        <v>71.214</v>
      </c>
      <c r="P19" s="4">
        <f t="shared" si="2"/>
        <v>170.418</v>
      </c>
      <c r="Q19" s="4">
        <f t="shared" si="3"/>
        <v>219.75</v>
      </c>
      <c r="V19" s="4">
        <f t="shared" si="4"/>
        <v>158.786</v>
      </c>
      <c r="W19" s="4">
        <f t="shared" si="5"/>
        <v>59.582</v>
      </c>
      <c r="X19" s="4">
        <f t="shared" si="6"/>
        <v>10.25</v>
      </c>
    </row>
    <row r="20">
      <c r="A20" s="3">
        <v>40280.0</v>
      </c>
      <c r="B20" s="2">
        <v>293.0</v>
      </c>
      <c r="C20" s="2">
        <v>293.0</v>
      </c>
      <c r="D20" s="2">
        <v>1007.0</v>
      </c>
      <c r="E20" s="2">
        <v>386.0</v>
      </c>
      <c r="F20" s="2">
        <v>653.0</v>
      </c>
      <c r="G20" s="2">
        <v>0.0</v>
      </c>
      <c r="H20" s="2">
        <v>91.0</v>
      </c>
      <c r="I20" s="2">
        <v>224.0</v>
      </c>
      <c r="J20" s="2">
        <v>218.0</v>
      </c>
      <c r="K20" s="2">
        <v>477.0</v>
      </c>
      <c r="L20" s="4">
        <f t="shared" si="7"/>
        <v>275.3333333</v>
      </c>
      <c r="M20" s="4">
        <f t="shared" si="8"/>
        <v>17.66666667</v>
      </c>
      <c r="N20" s="4">
        <f t="shared" si="9"/>
        <v>17.66666667</v>
      </c>
      <c r="O20" s="4">
        <f t="shared" si="1"/>
        <v>87.0926</v>
      </c>
      <c r="P20" s="4">
        <f t="shared" si="2"/>
        <v>188.2926</v>
      </c>
      <c r="Q20" s="4">
        <f t="shared" si="3"/>
        <v>224.875</v>
      </c>
      <c r="V20" s="4">
        <f t="shared" si="4"/>
        <v>205.9074</v>
      </c>
      <c r="W20" s="4">
        <f t="shared" si="5"/>
        <v>104.7074</v>
      </c>
      <c r="X20" s="4">
        <f t="shared" si="6"/>
        <v>68.125</v>
      </c>
    </row>
    <row r="21">
      <c r="A21" s="3">
        <v>40287.0</v>
      </c>
      <c r="B21" s="2">
        <v>349.0</v>
      </c>
      <c r="C21" s="2">
        <v>349.0</v>
      </c>
      <c r="D21" s="2">
        <v>645.0</v>
      </c>
      <c r="E21" s="2">
        <v>525.0</v>
      </c>
      <c r="F21" s="2">
        <v>504.0</v>
      </c>
      <c r="G21" s="2">
        <v>1.0</v>
      </c>
      <c r="H21" s="2">
        <v>116.0</v>
      </c>
      <c r="I21" s="2">
        <v>378.0</v>
      </c>
      <c r="J21" s="2">
        <v>248.0</v>
      </c>
      <c r="K21" s="2">
        <v>297.0</v>
      </c>
      <c r="L21" s="4">
        <f t="shared" si="7"/>
        <v>236.3333333</v>
      </c>
      <c r="M21" s="4">
        <f t="shared" si="8"/>
        <v>112.6666667</v>
      </c>
      <c r="N21" s="4">
        <f t="shared" si="9"/>
        <v>112.6666667</v>
      </c>
      <c r="O21" s="4">
        <f t="shared" si="1"/>
        <v>107.68334</v>
      </c>
      <c r="P21" s="4">
        <f t="shared" si="2"/>
        <v>219.70482</v>
      </c>
      <c r="Q21" s="4">
        <f t="shared" si="3"/>
        <v>258.9375</v>
      </c>
      <c r="V21" s="4">
        <f t="shared" si="4"/>
        <v>241.31666</v>
      </c>
      <c r="W21" s="4">
        <f t="shared" si="5"/>
        <v>129.29518</v>
      </c>
      <c r="X21" s="4">
        <f t="shared" si="6"/>
        <v>90.0625</v>
      </c>
    </row>
    <row r="22">
      <c r="A22" s="3">
        <v>40294.0</v>
      </c>
      <c r="B22" s="2">
        <v>276.0</v>
      </c>
      <c r="C22" s="2">
        <v>276.0</v>
      </c>
      <c r="D22" s="2">
        <v>1539.0</v>
      </c>
      <c r="E22" s="2">
        <v>418.0</v>
      </c>
      <c r="F22" s="2">
        <v>919.0</v>
      </c>
      <c r="G22" s="2">
        <v>18.0</v>
      </c>
      <c r="H22" s="2">
        <v>55.0</v>
      </c>
      <c r="I22" s="2">
        <v>500.0</v>
      </c>
      <c r="J22" s="2">
        <v>386.0</v>
      </c>
      <c r="K22" s="2">
        <v>304.0</v>
      </c>
      <c r="L22" s="4">
        <f t="shared" si="7"/>
        <v>290.6666667</v>
      </c>
      <c r="M22" s="4">
        <f t="shared" si="8"/>
        <v>-14.66666667</v>
      </c>
      <c r="N22" s="4">
        <f t="shared" si="9"/>
        <v>14.66666667</v>
      </c>
      <c r="O22" s="4">
        <f t="shared" si="1"/>
        <v>131.815006</v>
      </c>
      <c r="P22" s="4">
        <f t="shared" si="2"/>
        <v>258.493374</v>
      </c>
      <c r="Q22" s="4">
        <f t="shared" si="3"/>
        <v>303.96875</v>
      </c>
      <c r="V22" s="4">
        <f t="shared" si="4"/>
        <v>144.184994</v>
      </c>
      <c r="W22" s="4">
        <f t="shared" si="5"/>
        <v>17.506626</v>
      </c>
      <c r="X22" s="4">
        <f t="shared" si="6"/>
        <v>27.96875</v>
      </c>
    </row>
    <row r="23">
      <c r="A23" s="3">
        <v>40301.0</v>
      </c>
      <c r="B23" s="2">
        <v>306.0</v>
      </c>
      <c r="C23" s="2">
        <v>306.0</v>
      </c>
      <c r="D23" s="2">
        <v>1207.0</v>
      </c>
      <c r="E23" s="2">
        <v>565.0</v>
      </c>
      <c r="F23" s="2">
        <v>342.0</v>
      </c>
      <c r="G23" s="2">
        <v>46.0</v>
      </c>
      <c r="H23" s="2">
        <v>62.0</v>
      </c>
      <c r="I23" s="2">
        <v>203.0</v>
      </c>
      <c r="J23" s="2">
        <v>751.0</v>
      </c>
      <c r="K23" s="2">
        <v>711.0</v>
      </c>
      <c r="L23" s="4">
        <f t="shared" si="7"/>
        <v>306</v>
      </c>
      <c r="M23" s="4">
        <f t="shared" si="8"/>
        <v>0</v>
      </c>
      <c r="N23" s="4">
        <f t="shared" si="9"/>
        <v>0</v>
      </c>
      <c r="O23" s="4">
        <f t="shared" si="1"/>
        <v>146.2335054</v>
      </c>
      <c r="P23" s="4">
        <f t="shared" si="2"/>
        <v>263.7453618</v>
      </c>
      <c r="Q23" s="4">
        <f t="shared" si="3"/>
        <v>289.984375</v>
      </c>
      <c r="V23" s="4">
        <f t="shared" si="4"/>
        <v>159.7664946</v>
      </c>
      <c r="W23" s="4">
        <f t="shared" si="5"/>
        <v>42.2546382</v>
      </c>
      <c r="X23" s="4">
        <f t="shared" si="6"/>
        <v>16.015625</v>
      </c>
    </row>
    <row r="24">
      <c r="A24" s="3">
        <v>40308.0</v>
      </c>
      <c r="B24" s="2">
        <v>130.0</v>
      </c>
      <c r="C24" s="2">
        <v>130.0</v>
      </c>
      <c r="D24" s="2">
        <v>987.0</v>
      </c>
      <c r="E24" s="2">
        <v>436.0</v>
      </c>
      <c r="F24" s="2">
        <v>907.0</v>
      </c>
      <c r="G24" s="2">
        <v>6.0</v>
      </c>
      <c r="H24" s="2">
        <v>16.0</v>
      </c>
      <c r="I24" s="2">
        <v>180.0</v>
      </c>
      <c r="J24" s="2">
        <v>290.0</v>
      </c>
      <c r="K24" s="2">
        <v>517.0</v>
      </c>
      <c r="L24" s="4">
        <f t="shared" si="7"/>
        <v>310.3333333</v>
      </c>
      <c r="M24" s="4">
        <f t="shared" si="8"/>
        <v>-180.3333333</v>
      </c>
      <c r="N24" s="4">
        <f t="shared" si="9"/>
        <v>180.3333333</v>
      </c>
      <c r="O24" s="4">
        <f t="shared" si="1"/>
        <v>162.2101549</v>
      </c>
      <c r="P24" s="4">
        <f t="shared" si="2"/>
        <v>276.4217533</v>
      </c>
      <c r="Q24" s="4">
        <f t="shared" si="3"/>
        <v>297.9921875</v>
      </c>
      <c r="V24" s="4">
        <f t="shared" si="4"/>
        <v>32.21015486</v>
      </c>
      <c r="W24" s="4">
        <f t="shared" si="5"/>
        <v>146.4217533</v>
      </c>
      <c r="X24" s="4">
        <f t="shared" si="6"/>
        <v>167.9921875</v>
      </c>
    </row>
    <row r="25">
      <c r="A25" s="3">
        <v>40315.0</v>
      </c>
      <c r="B25" s="2">
        <v>28.0</v>
      </c>
      <c r="C25" s="2">
        <v>28.0</v>
      </c>
      <c r="D25" s="2">
        <v>621.0</v>
      </c>
      <c r="E25" s="2">
        <v>450.0</v>
      </c>
      <c r="F25" s="2">
        <v>283.0</v>
      </c>
      <c r="G25" s="2">
        <v>6.0</v>
      </c>
      <c r="H25" s="2">
        <v>87.0</v>
      </c>
      <c r="I25" s="2">
        <v>192.0</v>
      </c>
      <c r="J25" s="2">
        <v>512.0</v>
      </c>
      <c r="K25" s="2">
        <v>265.0</v>
      </c>
      <c r="L25" s="4">
        <f t="shared" si="7"/>
        <v>237.3333333</v>
      </c>
      <c r="M25" s="4">
        <f t="shared" si="8"/>
        <v>-209.3333333</v>
      </c>
      <c r="N25" s="4">
        <f t="shared" si="9"/>
        <v>209.3333333</v>
      </c>
      <c r="O25" s="4">
        <f t="shared" si="1"/>
        <v>158.9891394</v>
      </c>
      <c r="P25" s="4">
        <f t="shared" si="2"/>
        <v>232.4952273</v>
      </c>
      <c r="Q25" s="4">
        <f t="shared" si="3"/>
        <v>213.9960938</v>
      </c>
      <c r="V25" s="4">
        <f t="shared" si="4"/>
        <v>130.9891394</v>
      </c>
      <c r="W25" s="4">
        <f t="shared" si="5"/>
        <v>204.4952273</v>
      </c>
      <c r="X25" s="4">
        <f t="shared" si="6"/>
        <v>185.9960938</v>
      </c>
    </row>
    <row r="26">
      <c r="A26" s="3">
        <v>40322.0</v>
      </c>
      <c r="B26" s="2">
        <v>15.0</v>
      </c>
      <c r="C26" s="2">
        <v>15.0</v>
      </c>
      <c r="D26" s="2">
        <v>760.0</v>
      </c>
      <c r="E26" s="2">
        <v>671.0</v>
      </c>
      <c r="F26" s="2">
        <v>560.0</v>
      </c>
      <c r="G26" s="2">
        <v>0.0</v>
      </c>
      <c r="H26" s="2">
        <v>69.0</v>
      </c>
      <c r="I26" s="2">
        <v>218.0</v>
      </c>
      <c r="J26" s="2">
        <v>279.0</v>
      </c>
      <c r="K26" s="2">
        <v>674.0</v>
      </c>
      <c r="L26" s="4">
        <f t="shared" si="7"/>
        <v>154.6666667</v>
      </c>
      <c r="M26" s="4">
        <f t="shared" si="8"/>
        <v>-139.6666667</v>
      </c>
      <c r="N26" s="4">
        <f t="shared" si="9"/>
        <v>139.6666667</v>
      </c>
      <c r="O26" s="4">
        <f t="shared" si="1"/>
        <v>145.8902254</v>
      </c>
      <c r="P26" s="4">
        <f t="shared" si="2"/>
        <v>171.1466591</v>
      </c>
      <c r="Q26" s="4">
        <f t="shared" si="3"/>
        <v>120.9980469</v>
      </c>
      <c r="V26" s="4">
        <f t="shared" si="4"/>
        <v>130.8902254</v>
      </c>
      <c r="W26" s="4">
        <f t="shared" si="5"/>
        <v>156.1466591</v>
      </c>
      <c r="X26" s="4">
        <f t="shared" si="6"/>
        <v>105.9980469</v>
      </c>
    </row>
    <row r="27">
      <c r="A27" s="3">
        <v>40329.0</v>
      </c>
      <c r="B27" s="2">
        <v>93.0</v>
      </c>
      <c r="C27" s="2">
        <v>93.0</v>
      </c>
      <c r="D27" s="2">
        <v>727.0</v>
      </c>
      <c r="E27" s="2">
        <v>301.0</v>
      </c>
      <c r="F27" s="2">
        <v>309.0</v>
      </c>
      <c r="G27" s="2">
        <v>4.0</v>
      </c>
      <c r="H27" s="2">
        <v>29.0</v>
      </c>
      <c r="I27" s="2">
        <v>145.0</v>
      </c>
      <c r="J27" s="2">
        <v>236.0</v>
      </c>
      <c r="K27" s="2">
        <v>300.0</v>
      </c>
      <c r="L27" s="4">
        <f t="shared" si="7"/>
        <v>57.66666667</v>
      </c>
      <c r="M27" s="4">
        <f t="shared" si="8"/>
        <v>35.33333333</v>
      </c>
      <c r="N27" s="4">
        <f t="shared" si="9"/>
        <v>35.33333333</v>
      </c>
      <c r="O27" s="4">
        <f t="shared" si="1"/>
        <v>132.8012029</v>
      </c>
      <c r="P27" s="4">
        <f t="shared" si="2"/>
        <v>124.3026614</v>
      </c>
      <c r="Q27" s="4">
        <f t="shared" si="3"/>
        <v>67.99902344</v>
      </c>
      <c r="V27" s="4">
        <f t="shared" si="4"/>
        <v>39.80120289</v>
      </c>
      <c r="W27" s="4">
        <f t="shared" si="5"/>
        <v>31.30266137</v>
      </c>
      <c r="X27" s="4">
        <f t="shared" si="6"/>
        <v>25.00097656</v>
      </c>
    </row>
    <row r="28">
      <c r="A28" s="3">
        <v>40336.0</v>
      </c>
      <c r="B28" s="2">
        <v>454.0</v>
      </c>
      <c r="C28" s="2">
        <v>454.0</v>
      </c>
      <c r="D28" s="2">
        <v>973.0</v>
      </c>
      <c r="E28" s="2">
        <v>716.0</v>
      </c>
      <c r="F28" s="2">
        <v>264.0</v>
      </c>
      <c r="G28" s="2">
        <v>3.0</v>
      </c>
      <c r="H28" s="2">
        <v>220.0</v>
      </c>
      <c r="I28" s="2">
        <v>617.0</v>
      </c>
      <c r="J28" s="2">
        <v>429.0</v>
      </c>
      <c r="K28" s="2">
        <v>408.0</v>
      </c>
      <c r="L28" s="4">
        <f t="shared" si="7"/>
        <v>45.33333333</v>
      </c>
      <c r="M28" s="4">
        <f t="shared" si="8"/>
        <v>408.6666667</v>
      </c>
      <c r="N28" s="4">
        <f t="shared" si="9"/>
        <v>408.6666667</v>
      </c>
      <c r="O28" s="4">
        <f t="shared" si="1"/>
        <v>128.8210826</v>
      </c>
      <c r="P28" s="4">
        <f t="shared" si="2"/>
        <v>114.911863</v>
      </c>
      <c r="Q28" s="4">
        <f t="shared" si="3"/>
        <v>80.49951172</v>
      </c>
      <c r="V28" s="4">
        <f t="shared" si="4"/>
        <v>325.1789174</v>
      </c>
      <c r="W28" s="4">
        <f t="shared" si="5"/>
        <v>339.088137</v>
      </c>
      <c r="X28" s="4">
        <f t="shared" si="6"/>
        <v>373.5004883</v>
      </c>
    </row>
    <row r="29">
      <c r="A29" s="3">
        <v>40343.0</v>
      </c>
      <c r="B29" s="2">
        <v>432.0</v>
      </c>
      <c r="C29" s="2">
        <v>432.0</v>
      </c>
      <c r="D29" s="2">
        <v>696.0</v>
      </c>
      <c r="E29" s="2">
        <v>142.0</v>
      </c>
      <c r="F29" s="2">
        <v>569.0</v>
      </c>
      <c r="G29" s="2">
        <v>28.0</v>
      </c>
      <c r="H29" s="2">
        <v>25.0</v>
      </c>
      <c r="I29" s="2">
        <v>625.0</v>
      </c>
      <c r="J29" s="2">
        <v>362.0</v>
      </c>
      <c r="K29" s="2">
        <v>458.0</v>
      </c>
      <c r="L29" s="4">
        <f t="shared" si="7"/>
        <v>187.3333333</v>
      </c>
      <c r="M29" s="4">
        <f t="shared" si="8"/>
        <v>244.6666667</v>
      </c>
      <c r="N29" s="4">
        <f t="shared" si="9"/>
        <v>244.6666667</v>
      </c>
      <c r="O29" s="4">
        <f t="shared" si="1"/>
        <v>161.3389743</v>
      </c>
      <c r="P29" s="4">
        <f t="shared" si="2"/>
        <v>216.6383041</v>
      </c>
      <c r="Q29" s="4">
        <f t="shared" si="3"/>
        <v>267.2497559</v>
      </c>
      <c r="V29" s="4">
        <f t="shared" si="4"/>
        <v>270.6610257</v>
      </c>
      <c r="W29" s="4">
        <f t="shared" si="5"/>
        <v>215.3616959</v>
      </c>
      <c r="X29" s="4">
        <f t="shared" si="6"/>
        <v>164.7502441</v>
      </c>
    </row>
    <row r="30">
      <c r="A30" s="3">
        <v>40350.0</v>
      </c>
      <c r="B30" s="2">
        <v>151.0</v>
      </c>
      <c r="C30" s="2">
        <v>151.0</v>
      </c>
      <c r="D30" s="2">
        <v>750.0</v>
      </c>
      <c r="E30" s="2">
        <v>52.0</v>
      </c>
      <c r="F30" s="2">
        <v>252.0</v>
      </c>
      <c r="G30" s="2">
        <v>305.0</v>
      </c>
      <c r="H30" s="2">
        <v>35.0</v>
      </c>
      <c r="I30" s="2">
        <v>168.0</v>
      </c>
      <c r="J30" s="2">
        <v>460.0</v>
      </c>
      <c r="K30" s="2">
        <v>511.0</v>
      </c>
      <c r="L30" s="4">
        <f t="shared" si="7"/>
        <v>326.3333333</v>
      </c>
      <c r="M30" s="4">
        <f t="shared" si="8"/>
        <v>-175.3333333</v>
      </c>
      <c r="N30" s="4">
        <f t="shared" si="9"/>
        <v>175.3333333</v>
      </c>
      <c r="O30" s="4">
        <f t="shared" si="1"/>
        <v>188.4050769</v>
      </c>
      <c r="P30" s="4">
        <f t="shared" si="2"/>
        <v>281.2468128</v>
      </c>
      <c r="Q30" s="4">
        <f t="shared" si="3"/>
        <v>349.6248779</v>
      </c>
      <c r="V30" s="4">
        <f t="shared" si="4"/>
        <v>37.40507691</v>
      </c>
      <c r="W30" s="4">
        <f t="shared" si="5"/>
        <v>130.2468128</v>
      </c>
      <c r="X30" s="4">
        <f t="shared" si="6"/>
        <v>198.6248779</v>
      </c>
    </row>
    <row r="31">
      <c r="A31" s="3">
        <v>40357.0</v>
      </c>
      <c r="B31" s="2">
        <v>387.0</v>
      </c>
      <c r="C31" s="2">
        <v>387.0</v>
      </c>
      <c r="D31" s="2">
        <v>1415.0</v>
      </c>
      <c r="E31" s="2">
        <v>51.0</v>
      </c>
      <c r="F31" s="2">
        <v>692.0</v>
      </c>
      <c r="G31" s="2">
        <v>44.0</v>
      </c>
      <c r="H31" s="2">
        <v>22.0</v>
      </c>
      <c r="I31" s="2">
        <v>365.0</v>
      </c>
      <c r="J31" s="2">
        <v>598.0</v>
      </c>
      <c r="K31" s="2">
        <v>534.0</v>
      </c>
      <c r="L31" s="4">
        <f t="shared" si="7"/>
        <v>345.6666667</v>
      </c>
      <c r="M31" s="4">
        <f t="shared" si="8"/>
        <v>41.33333333</v>
      </c>
      <c r="N31" s="4">
        <f t="shared" si="9"/>
        <v>41.33333333</v>
      </c>
      <c r="O31" s="4">
        <f t="shared" si="1"/>
        <v>184.6645692</v>
      </c>
      <c r="P31" s="4">
        <f t="shared" si="2"/>
        <v>242.172769</v>
      </c>
      <c r="Q31" s="4">
        <f t="shared" si="3"/>
        <v>250.312439</v>
      </c>
      <c r="V31" s="4">
        <f t="shared" si="4"/>
        <v>202.3354308</v>
      </c>
      <c r="W31" s="4">
        <f t="shared" si="5"/>
        <v>144.827231</v>
      </c>
      <c r="X31" s="4">
        <f t="shared" si="6"/>
        <v>136.687561</v>
      </c>
    </row>
    <row r="32">
      <c r="A32" s="3">
        <v>40364.0</v>
      </c>
      <c r="B32" s="2">
        <v>150.0</v>
      </c>
      <c r="C32" s="2">
        <v>150.0</v>
      </c>
      <c r="D32" s="2">
        <v>654.0</v>
      </c>
      <c r="E32" s="2">
        <v>52.0</v>
      </c>
      <c r="F32" s="2">
        <v>874.0</v>
      </c>
      <c r="G32" s="2">
        <v>14.0</v>
      </c>
      <c r="H32" s="2">
        <v>88.0</v>
      </c>
      <c r="I32" s="2">
        <v>278.0</v>
      </c>
      <c r="J32" s="2">
        <v>331.0</v>
      </c>
      <c r="K32" s="2">
        <v>211.0</v>
      </c>
      <c r="L32" s="4">
        <f t="shared" si="7"/>
        <v>323.3333333</v>
      </c>
      <c r="M32" s="4">
        <f t="shared" si="8"/>
        <v>-173.3333333</v>
      </c>
      <c r="N32" s="4">
        <f t="shared" si="9"/>
        <v>173.3333333</v>
      </c>
      <c r="O32" s="4">
        <f t="shared" si="1"/>
        <v>204.8981123</v>
      </c>
      <c r="P32" s="4">
        <f t="shared" si="2"/>
        <v>285.6209383</v>
      </c>
      <c r="Q32" s="4">
        <f t="shared" si="3"/>
        <v>318.6562195</v>
      </c>
      <c r="V32" s="4">
        <f t="shared" si="4"/>
        <v>54.8981123</v>
      </c>
      <c r="W32" s="4">
        <f t="shared" si="5"/>
        <v>135.6209383</v>
      </c>
      <c r="X32" s="4">
        <f t="shared" si="6"/>
        <v>168.6562195</v>
      </c>
    </row>
    <row r="33">
      <c r="A33" s="3">
        <v>40371.0</v>
      </c>
      <c r="B33" s="2">
        <v>160.0</v>
      </c>
      <c r="C33" s="2">
        <v>160.0</v>
      </c>
      <c r="D33" s="2">
        <v>865.0</v>
      </c>
      <c r="E33" s="2">
        <v>44.0</v>
      </c>
      <c r="F33" s="2">
        <v>400.0</v>
      </c>
      <c r="G33" s="2">
        <v>3.0</v>
      </c>
      <c r="H33" s="2">
        <v>6.0</v>
      </c>
      <c r="I33" s="2">
        <v>766.0</v>
      </c>
      <c r="J33" s="2">
        <v>240.0</v>
      </c>
      <c r="K33" s="2">
        <v>575.0</v>
      </c>
      <c r="L33" s="4">
        <f t="shared" si="7"/>
        <v>229.3333333</v>
      </c>
      <c r="M33" s="4">
        <f t="shared" si="8"/>
        <v>-69.33333333</v>
      </c>
      <c r="N33" s="4">
        <f t="shared" si="9"/>
        <v>69.33333333</v>
      </c>
      <c r="O33" s="4">
        <f t="shared" si="1"/>
        <v>199.4083011</v>
      </c>
      <c r="P33" s="4">
        <f t="shared" si="2"/>
        <v>244.9346568</v>
      </c>
      <c r="Q33" s="4">
        <f t="shared" si="3"/>
        <v>234.3281097</v>
      </c>
      <c r="V33" s="4">
        <f t="shared" si="4"/>
        <v>39.40830107</v>
      </c>
      <c r="W33" s="4">
        <f t="shared" si="5"/>
        <v>84.93465681</v>
      </c>
      <c r="X33" s="4">
        <f t="shared" si="6"/>
        <v>74.32810974</v>
      </c>
    </row>
    <row r="34">
      <c r="A34" s="3">
        <v>40378.0</v>
      </c>
      <c r="B34" s="2">
        <v>453.0</v>
      </c>
      <c r="C34" s="2">
        <v>453.0</v>
      </c>
      <c r="D34" s="2">
        <v>1268.0</v>
      </c>
      <c r="E34" s="2">
        <v>52.0</v>
      </c>
      <c r="F34" s="2">
        <v>1043.0</v>
      </c>
      <c r="G34" s="2">
        <v>50.0</v>
      </c>
      <c r="H34" s="2">
        <v>8.0</v>
      </c>
      <c r="I34" s="2">
        <v>691.0</v>
      </c>
      <c r="J34" s="2">
        <v>729.0</v>
      </c>
      <c r="K34" s="2">
        <v>487.0</v>
      </c>
      <c r="L34" s="4">
        <f t="shared" si="7"/>
        <v>232.3333333</v>
      </c>
      <c r="M34" s="4">
        <f t="shared" si="8"/>
        <v>220.6666667</v>
      </c>
      <c r="N34" s="4">
        <f t="shared" si="9"/>
        <v>220.6666667</v>
      </c>
      <c r="O34" s="4">
        <f t="shared" si="1"/>
        <v>195.467471</v>
      </c>
      <c r="P34" s="4">
        <f t="shared" si="2"/>
        <v>219.4542598</v>
      </c>
      <c r="Q34" s="4">
        <f t="shared" si="3"/>
        <v>197.1640549</v>
      </c>
      <c r="V34" s="4">
        <f t="shared" si="4"/>
        <v>257.532529</v>
      </c>
      <c r="W34" s="4">
        <f t="shared" si="5"/>
        <v>233.5457402</v>
      </c>
      <c r="X34" s="4">
        <f t="shared" si="6"/>
        <v>255.8359451</v>
      </c>
    </row>
    <row r="35">
      <c r="A35" s="3">
        <v>40385.0</v>
      </c>
      <c r="B35" s="2">
        <v>577.0</v>
      </c>
      <c r="C35" s="2">
        <v>577.0</v>
      </c>
      <c r="D35" s="2">
        <v>618.0</v>
      </c>
      <c r="E35" s="2">
        <v>34.0</v>
      </c>
      <c r="F35" s="2">
        <v>621.0</v>
      </c>
      <c r="G35" s="2">
        <v>128.0</v>
      </c>
      <c r="H35" s="2">
        <v>5.0</v>
      </c>
      <c r="I35" s="2">
        <v>265.0</v>
      </c>
      <c r="J35" s="2">
        <v>171.0</v>
      </c>
      <c r="K35" s="2">
        <v>454.0</v>
      </c>
      <c r="L35" s="4">
        <f t="shared" si="7"/>
        <v>254.3333333</v>
      </c>
      <c r="M35" s="4">
        <f t="shared" si="8"/>
        <v>322.6666667</v>
      </c>
      <c r="N35" s="4">
        <f t="shared" si="9"/>
        <v>322.6666667</v>
      </c>
      <c r="O35" s="4">
        <f t="shared" si="1"/>
        <v>221.2207239</v>
      </c>
      <c r="P35" s="4">
        <f t="shared" si="2"/>
        <v>289.5179818</v>
      </c>
      <c r="Q35" s="4">
        <f t="shared" si="3"/>
        <v>325.0820274</v>
      </c>
      <c r="V35" s="4">
        <f t="shared" si="4"/>
        <v>355.7792761</v>
      </c>
      <c r="W35" s="4">
        <f t="shared" si="5"/>
        <v>287.4820182</v>
      </c>
      <c r="X35" s="4">
        <f t="shared" si="6"/>
        <v>251.9179726</v>
      </c>
    </row>
    <row r="36">
      <c r="A36" s="3">
        <v>40392.0</v>
      </c>
      <c r="B36" s="2">
        <v>294.0</v>
      </c>
      <c r="C36" s="2">
        <v>294.0</v>
      </c>
      <c r="D36" s="2">
        <v>726.0</v>
      </c>
      <c r="E36" s="2">
        <v>57.0</v>
      </c>
      <c r="F36" s="2">
        <v>648.0</v>
      </c>
      <c r="G36" s="2">
        <v>142.0</v>
      </c>
      <c r="H36" s="2">
        <v>17.0</v>
      </c>
      <c r="I36" s="2">
        <v>95.0</v>
      </c>
      <c r="J36" s="2">
        <v>354.0</v>
      </c>
      <c r="K36" s="2">
        <v>694.0</v>
      </c>
      <c r="L36" s="4">
        <f t="shared" si="7"/>
        <v>396.6666667</v>
      </c>
      <c r="M36" s="4">
        <f t="shared" si="8"/>
        <v>-102.6666667</v>
      </c>
      <c r="N36" s="4">
        <f t="shared" si="9"/>
        <v>102.6666667</v>
      </c>
      <c r="O36" s="4">
        <f t="shared" si="1"/>
        <v>256.7986515</v>
      </c>
      <c r="P36" s="4">
        <f t="shared" si="2"/>
        <v>375.7625873</v>
      </c>
      <c r="Q36" s="4">
        <f t="shared" si="3"/>
        <v>451.0410137</v>
      </c>
      <c r="V36" s="4">
        <f t="shared" si="4"/>
        <v>37.20134852</v>
      </c>
      <c r="W36" s="4">
        <f t="shared" si="5"/>
        <v>81.76258728</v>
      </c>
      <c r="X36" s="4">
        <f t="shared" si="6"/>
        <v>157.0410137</v>
      </c>
    </row>
    <row r="37">
      <c r="A37" s="3">
        <v>40399.0</v>
      </c>
      <c r="B37" s="2">
        <v>224.0</v>
      </c>
      <c r="C37" s="2">
        <v>224.0</v>
      </c>
      <c r="D37" s="2">
        <v>893.0</v>
      </c>
      <c r="E37" s="2">
        <v>188.0</v>
      </c>
      <c r="F37" s="2">
        <v>758.0</v>
      </c>
      <c r="G37" s="2">
        <v>74.0</v>
      </c>
      <c r="H37" s="2">
        <v>45.0</v>
      </c>
      <c r="I37" s="2">
        <v>552.0</v>
      </c>
      <c r="J37" s="2">
        <v>460.0</v>
      </c>
      <c r="K37" s="2">
        <v>608.0</v>
      </c>
      <c r="L37" s="4">
        <f t="shared" si="7"/>
        <v>441.3333333</v>
      </c>
      <c r="M37" s="4">
        <f t="shared" si="8"/>
        <v>-217.3333333</v>
      </c>
      <c r="N37" s="4">
        <f t="shared" si="9"/>
        <v>217.3333333</v>
      </c>
      <c r="O37" s="4">
        <f t="shared" si="1"/>
        <v>260.5187863</v>
      </c>
      <c r="P37" s="4">
        <f t="shared" si="2"/>
        <v>351.2338111</v>
      </c>
      <c r="Q37" s="4">
        <f t="shared" si="3"/>
        <v>372.5205069</v>
      </c>
      <c r="V37" s="4">
        <f t="shared" si="4"/>
        <v>36.51878633</v>
      </c>
      <c r="W37" s="4">
        <f t="shared" si="5"/>
        <v>127.2338111</v>
      </c>
      <c r="X37" s="4">
        <f t="shared" si="6"/>
        <v>148.5205069</v>
      </c>
    </row>
    <row r="38">
      <c r="A38" s="3">
        <v>40406.0</v>
      </c>
      <c r="B38" s="2">
        <v>177.0</v>
      </c>
      <c r="C38" s="2">
        <v>177.0</v>
      </c>
      <c r="D38" s="2">
        <v>189.0</v>
      </c>
      <c r="E38" s="2">
        <v>351.0</v>
      </c>
      <c r="F38" s="2">
        <v>664.0</v>
      </c>
      <c r="G38" s="2">
        <v>19.0</v>
      </c>
      <c r="H38" s="2">
        <v>37.0</v>
      </c>
      <c r="I38" s="2">
        <v>1025.0</v>
      </c>
      <c r="J38" s="2">
        <v>677.0</v>
      </c>
      <c r="K38" s="2">
        <v>940.0</v>
      </c>
      <c r="L38" s="4">
        <f t="shared" si="7"/>
        <v>365</v>
      </c>
      <c r="M38" s="4">
        <f t="shared" si="8"/>
        <v>-188</v>
      </c>
      <c r="N38" s="4">
        <f t="shared" si="9"/>
        <v>188</v>
      </c>
      <c r="O38" s="4">
        <f t="shared" si="1"/>
        <v>256.8669077</v>
      </c>
      <c r="P38" s="4">
        <f t="shared" si="2"/>
        <v>313.0636678</v>
      </c>
      <c r="Q38" s="4">
        <f t="shared" si="3"/>
        <v>298.2602534</v>
      </c>
      <c r="V38" s="4">
        <f t="shared" si="4"/>
        <v>79.8669077</v>
      </c>
      <c r="W38" s="4">
        <f t="shared" si="5"/>
        <v>136.0636678</v>
      </c>
      <c r="X38" s="4">
        <f t="shared" si="6"/>
        <v>121.2602534</v>
      </c>
    </row>
    <row r="39">
      <c r="A39" s="3">
        <v>40413.0</v>
      </c>
      <c r="B39" s="2">
        <v>254.0</v>
      </c>
      <c r="C39" s="2">
        <v>254.0</v>
      </c>
      <c r="D39" s="2">
        <v>1.0</v>
      </c>
      <c r="E39" s="2">
        <v>9.0</v>
      </c>
      <c r="F39" s="2">
        <v>1000.0</v>
      </c>
      <c r="G39" s="2">
        <v>27.0</v>
      </c>
      <c r="H39" s="2">
        <v>70.0</v>
      </c>
      <c r="I39" s="2">
        <v>880.0</v>
      </c>
      <c r="J39" s="2">
        <v>338.0</v>
      </c>
      <c r="K39" s="2">
        <v>450.0</v>
      </c>
      <c r="L39" s="4">
        <f t="shared" si="7"/>
        <v>231.6666667</v>
      </c>
      <c r="M39" s="4">
        <f t="shared" si="8"/>
        <v>22.33333333</v>
      </c>
      <c r="N39" s="4">
        <f t="shared" si="9"/>
        <v>22.33333333</v>
      </c>
      <c r="O39" s="4">
        <f t="shared" si="1"/>
        <v>248.8802169</v>
      </c>
      <c r="P39" s="4">
        <f t="shared" si="2"/>
        <v>272.2445674</v>
      </c>
      <c r="Q39" s="4">
        <f t="shared" si="3"/>
        <v>237.6301267</v>
      </c>
      <c r="V39" s="4">
        <f t="shared" si="4"/>
        <v>5.119783073</v>
      </c>
      <c r="W39" s="4">
        <f t="shared" si="5"/>
        <v>18.24456744</v>
      </c>
      <c r="X39" s="4">
        <f t="shared" si="6"/>
        <v>16.36987329</v>
      </c>
    </row>
    <row r="40">
      <c r="A40" s="3">
        <v>40420.0</v>
      </c>
      <c r="B40" s="2">
        <v>445.0</v>
      </c>
      <c r="C40" s="2">
        <v>445.0</v>
      </c>
      <c r="D40" s="2">
        <v>1889.0</v>
      </c>
      <c r="E40" s="2">
        <v>8.0</v>
      </c>
      <c r="F40" s="2">
        <v>963.0</v>
      </c>
      <c r="G40" s="2">
        <v>3.0</v>
      </c>
      <c r="H40" s="2">
        <v>110.0</v>
      </c>
      <c r="I40" s="2">
        <v>135.0</v>
      </c>
      <c r="J40" s="2">
        <v>652.0</v>
      </c>
      <c r="K40" s="2">
        <v>375.0</v>
      </c>
      <c r="L40" s="4">
        <f t="shared" si="7"/>
        <v>218.3333333</v>
      </c>
      <c r="M40" s="4">
        <f t="shared" si="8"/>
        <v>226.6666667</v>
      </c>
      <c r="N40" s="4">
        <f t="shared" si="9"/>
        <v>226.6666667</v>
      </c>
      <c r="O40" s="4">
        <f t="shared" si="1"/>
        <v>249.3921952</v>
      </c>
      <c r="P40" s="4">
        <f t="shared" si="2"/>
        <v>266.7711972</v>
      </c>
      <c r="Q40" s="4">
        <f t="shared" si="3"/>
        <v>245.8150634</v>
      </c>
      <c r="V40" s="4">
        <f t="shared" si="4"/>
        <v>195.6078048</v>
      </c>
      <c r="W40" s="4">
        <f t="shared" si="5"/>
        <v>178.2288028</v>
      </c>
      <c r="X40" s="4">
        <f t="shared" si="6"/>
        <v>199.1849366</v>
      </c>
    </row>
    <row r="41">
      <c r="A41" s="3">
        <v>40427.0</v>
      </c>
      <c r="B41" s="2">
        <v>299.0</v>
      </c>
      <c r="C41" s="2">
        <v>299.0</v>
      </c>
      <c r="D41" s="2">
        <v>1313.0</v>
      </c>
      <c r="E41" s="2">
        <v>6.0</v>
      </c>
      <c r="F41" s="2">
        <v>387.0</v>
      </c>
      <c r="G41" s="2">
        <v>6.0</v>
      </c>
      <c r="H41" s="2">
        <v>68.0</v>
      </c>
      <c r="I41" s="2">
        <v>270.0</v>
      </c>
      <c r="J41" s="2">
        <v>617.0</v>
      </c>
      <c r="K41" s="2">
        <v>483.0</v>
      </c>
      <c r="L41" s="4">
        <f t="shared" si="7"/>
        <v>292</v>
      </c>
      <c r="M41" s="4">
        <f t="shared" si="8"/>
        <v>7</v>
      </c>
      <c r="N41" s="4">
        <f t="shared" si="9"/>
        <v>7</v>
      </c>
      <c r="O41" s="4">
        <f t="shared" si="1"/>
        <v>268.9529757</v>
      </c>
      <c r="P41" s="4">
        <f t="shared" si="2"/>
        <v>320.239838</v>
      </c>
      <c r="Q41" s="4">
        <f t="shared" si="3"/>
        <v>345.4075317</v>
      </c>
      <c r="V41" s="4">
        <f t="shared" si="4"/>
        <v>30.04702429</v>
      </c>
      <c r="W41" s="4">
        <f t="shared" si="5"/>
        <v>21.23983804</v>
      </c>
      <c r="X41" s="4">
        <f t="shared" si="6"/>
        <v>46.40753168</v>
      </c>
    </row>
    <row r="42">
      <c r="A42" s="3">
        <v>40434.0</v>
      </c>
      <c r="B42" s="2">
        <v>370.0</v>
      </c>
      <c r="C42" s="2">
        <v>370.0</v>
      </c>
      <c r="D42" s="2">
        <v>1118.0</v>
      </c>
      <c r="E42" s="2">
        <v>0.0</v>
      </c>
      <c r="F42" s="2">
        <v>619.0</v>
      </c>
      <c r="G42" s="2">
        <v>344.0</v>
      </c>
      <c r="H42" s="2">
        <v>38.0</v>
      </c>
      <c r="I42" s="2">
        <v>534.0</v>
      </c>
      <c r="J42" s="2">
        <v>305.0</v>
      </c>
      <c r="K42" s="2">
        <v>304.0</v>
      </c>
      <c r="L42" s="4">
        <f t="shared" si="7"/>
        <v>332.6666667</v>
      </c>
      <c r="M42" s="4">
        <f t="shared" si="8"/>
        <v>37.33333333</v>
      </c>
      <c r="N42" s="4">
        <f t="shared" si="9"/>
        <v>37.33333333</v>
      </c>
      <c r="O42" s="4">
        <f t="shared" si="1"/>
        <v>271.9576781</v>
      </c>
      <c r="P42" s="4">
        <f t="shared" si="2"/>
        <v>313.8678866</v>
      </c>
      <c r="Q42" s="4">
        <f t="shared" si="3"/>
        <v>322.2037658</v>
      </c>
      <c r="V42" s="4">
        <f t="shared" si="4"/>
        <v>98.04232186</v>
      </c>
      <c r="W42" s="4">
        <f t="shared" si="5"/>
        <v>56.13211337</v>
      </c>
      <c r="X42" s="4">
        <f t="shared" si="6"/>
        <v>47.79623416</v>
      </c>
    </row>
    <row r="43">
      <c r="A43" s="3">
        <v>40441.0</v>
      </c>
      <c r="B43" s="2">
        <v>624.0</v>
      </c>
      <c r="C43" s="2">
        <v>624.0</v>
      </c>
      <c r="D43" s="2">
        <v>1381.0</v>
      </c>
      <c r="E43" s="2">
        <v>99.0</v>
      </c>
      <c r="F43" s="2">
        <v>1792.0</v>
      </c>
      <c r="G43" s="2">
        <v>425.0</v>
      </c>
      <c r="H43" s="2">
        <v>180.0</v>
      </c>
      <c r="I43" s="2">
        <v>1709.0</v>
      </c>
      <c r="J43" s="2">
        <v>352.0</v>
      </c>
      <c r="K43" s="2">
        <v>605.0</v>
      </c>
      <c r="L43" s="4">
        <f t="shared" si="7"/>
        <v>371.3333333</v>
      </c>
      <c r="M43" s="4">
        <f t="shared" si="8"/>
        <v>252.6666667</v>
      </c>
      <c r="N43" s="4">
        <f t="shared" si="9"/>
        <v>252.6666667</v>
      </c>
      <c r="O43" s="4">
        <f t="shared" si="1"/>
        <v>281.7619103</v>
      </c>
      <c r="P43" s="4">
        <f t="shared" si="2"/>
        <v>330.7075206</v>
      </c>
      <c r="Q43" s="4">
        <f t="shared" si="3"/>
        <v>346.1018829</v>
      </c>
      <c r="V43" s="4">
        <f t="shared" si="4"/>
        <v>342.2380897</v>
      </c>
      <c r="W43" s="4">
        <f t="shared" si="5"/>
        <v>293.2924794</v>
      </c>
      <c r="X43" s="4">
        <f t="shared" si="6"/>
        <v>277.8981171</v>
      </c>
    </row>
    <row r="44">
      <c r="A44" s="3">
        <v>40448.0</v>
      </c>
      <c r="B44" s="2">
        <v>385.0</v>
      </c>
      <c r="C44" s="2">
        <v>385.0</v>
      </c>
      <c r="D44" s="2">
        <v>1597.0</v>
      </c>
      <c r="E44" s="2">
        <v>916.0</v>
      </c>
      <c r="F44" s="2">
        <v>773.0</v>
      </c>
      <c r="G44" s="2">
        <v>495.0</v>
      </c>
      <c r="H44" s="2">
        <v>239.0</v>
      </c>
      <c r="I44" s="2">
        <v>284.0</v>
      </c>
      <c r="J44" s="2">
        <v>518.0</v>
      </c>
      <c r="K44" s="2">
        <v>358.0</v>
      </c>
      <c r="L44" s="4">
        <f t="shared" si="7"/>
        <v>431</v>
      </c>
      <c r="M44" s="4">
        <f t="shared" si="8"/>
        <v>-46</v>
      </c>
      <c r="N44" s="4">
        <f t="shared" si="9"/>
        <v>46</v>
      </c>
      <c r="O44" s="4">
        <f t="shared" si="1"/>
        <v>315.9857193</v>
      </c>
      <c r="P44" s="4">
        <f t="shared" si="2"/>
        <v>418.6952644</v>
      </c>
      <c r="Q44" s="4">
        <f t="shared" si="3"/>
        <v>485.0509415</v>
      </c>
      <c r="V44" s="4">
        <f t="shared" si="4"/>
        <v>69.01428071</v>
      </c>
      <c r="W44" s="4">
        <f t="shared" si="5"/>
        <v>33.69526445</v>
      </c>
      <c r="X44" s="4">
        <f t="shared" si="6"/>
        <v>100.0509415</v>
      </c>
    </row>
    <row r="45">
      <c r="A45" s="3">
        <v>40455.0</v>
      </c>
      <c r="B45" s="2">
        <v>507.0</v>
      </c>
      <c r="C45" s="2">
        <v>507.0</v>
      </c>
      <c r="D45" s="2">
        <v>956.0</v>
      </c>
      <c r="E45" s="2">
        <v>262.0</v>
      </c>
      <c r="F45" s="2">
        <v>753.0</v>
      </c>
      <c r="G45" s="2">
        <v>1516.0</v>
      </c>
      <c r="H45" s="2">
        <v>542.0</v>
      </c>
      <c r="I45" s="2">
        <v>919.0</v>
      </c>
      <c r="J45" s="2">
        <v>258.0</v>
      </c>
      <c r="K45" s="2">
        <v>250.0</v>
      </c>
      <c r="L45" s="4">
        <f t="shared" si="7"/>
        <v>459.6666667</v>
      </c>
      <c r="M45" s="4">
        <f t="shared" si="8"/>
        <v>47.33333333</v>
      </c>
      <c r="N45" s="4">
        <f t="shared" si="9"/>
        <v>47.33333333</v>
      </c>
      <c r="O45" s="4">
        <f t="shared" si="1"/>
        <v>322.8871474</v>
      </c>
      <c r="P45" s="4">
        <f t="shared" si="2"/>
        <v>408.5866851</v>
      </c>
      <c r="Q45" s="4">
        <f t="shared" si="3"/>
        <v>435.0254707</v>
      </c>
      <c r="V45" s="4">
        <f t="shared" si="4"/>
        <v>184.1128526</v>
      </c>
      <c r="W45" s="4">
        <f t="shared" si="5"/>
        <v>98.41331489</v>
      </c>
      <c r="X45" s="4">
        <f t="shared" si="6"/>
        <v>71.97452927</v>
      </c>
    </row>
    <row r="46">
      <c r="A46" s="3">
        <v>40462.0</v>
      </c>
      <c r="B46" s="2">
        <v>322.0</v>
      </c>
      <c r="C46" s="2">
        <v>322.0</v>
      </c>
      <c r="D46" s="2">
        <v>1857.0</v>
      </c>
      <c r="E46" s="2">
        <v>333.0</v>
      </c>
      <c r="F46" s="2">
        <v>2277.0</v>
      </c>
      <c r="G46" s="2">
        <v>530.0</v>
      </c>
      <c r="H46" s="2">
        <v>152.0</v>
      </c>
      <c r="I46" s="2">
        <v>345.0</v>
      </c>
      <c r="J46" s="2">
        <v>917.0</v>
      </c>
      <c r="K46" s="2">
        <v>524.0</v>
      </c>
      <c r="L46" s="4">
        <f t="shared" si="7"/>
        <v>505.3333333</v>
      </c>
      <c r="M46" s="4">
        <f t="shared" si="8"/>
        <v>-183.3333333</v>
      </c>
      <c r="N46" s="4">
        <f t="shared" si="9"/>
        <v>183.3333333</v>
      </c>
      <c r="O46" s="4">
        <f t="shared" si="1"/>
        <v>341.2984326</v>
      </c>
      <c r="P46" s="4">
        <f t="shared" si="2"/>
        <v>438.1106796</v>
      </c>
      <c r="Q46" s="4">
        <f t="shared" si="3"/>
        <v>471.0127354</v>
      </c>
      <c r="V46" s="4">
        <f t="shared" si="4"/>
        <v>19.29843263</v>
      </c>
      <c r="W46" s="4">
        <f t="shared" si="5"/>
        <v>116.1106796</v>
      </c>
      <c r="X46" s="4">
        <f t="shared" si="6"/>
        <v>149.0127354</v>
      </c>
    </row>
    <row r="47">
      <c r="A47" s="3">
        <v>40469.0</v>
      </c>
      <c r="B47" s="2">
        <v>386.0</v>
      </c>
      <c r="C47" s="2">
        <v>386.0</v>
      </c>
      <c r="D47" s="2">
        <v>783.0</v>
      </c>
      <c r="E47" s="2">
        <v>167.0</v>
      </c>
      <c r="F47" s="2">
        <v>1736.0</v>
      </c>
      <c r="G47" s="2">
        <v>406.0</v>
      </c>
      <c r="H47" s="2">
        <v>228.0</v>
      </c>
      <c r="I47" s="2">
        <v>1239.0</v>
      </c>
      <c r="J47" s="2">
        <v>144.0</v>
      </c>
      <c r="K47" s="2">
        <v>141.0</v>
      </c>
      <c r="L47" s="4">
        <f t="shared" si="7"/>
        <v>404.6666667</v>
      </c>
      <c r="M47" s="4">
        <f t="shared" si="8"/>
        <v>-18.66666667</v>
      </c>
      <c r="N47" s="4">
        <f t="shared" si="9"/>
        <v>18.66666667</v>
      </c>
      <c r="O47" s="4">
        <f t="shared" si="1"/>
        <v>339.3685894</v>
      </c>
      <c r="P47" s="4">
        <f t="shared" si="2"/>
        <v>403.2774757</v>
      </c>
      <c r="Q47" s="4">
        <f t="shared" si="3"/>
        <v>396.5063677</v>
      </c>
      <c r="V47" s="4">
        <f t="shared" si="4"/>
        <v>46.63141064</v>
      </c>
      <c r="W47" s="4">
        <f t="shared" si="5"/>
        <v>17.27747571</v>
      </c>
      <c r="X47" s="4">
        <f t="shared" si="6"/>
        <v>10.50636768</v>
      </c>
    </row>
    <row r="48">
      <c r="A48" s="3">
        <v>40476.0</v>
      </c>
      <c r="B48" s="2">
        <v>638.0</v>
      </c>
      <c r="C48" s="2">
        <v>638.0</v>
      </c>
      <c r="D48" s="2">
        <v>515.0</v>
      </c>
      <c r="E48" s="2">
        <v>155.0</v>
      </c>
      <c r="F48" s="2">
        <v>1039.0</v>
      </c>
      <c r="G48" s="2">
        <v>469.0</v>
      </c>
      <c r="H48" s="2">
        <v>175.0</v>
      </c>
      <c r="I48" s="2">
        <v>2582.0</v>
      </c>
      <c r="J48" s="2">
        <v>137.0</v>
      </c>
      <c r="K48" s="2">
        <v>276.0</v>
      </c>
      <c r="L48" s="4">
        <f t="shared" si="7"/>
        <v>405</v>
      </c>
      <c r="M48" s="4">
        <f t="shared" si="8"/>
        <v>233</v>
      </c>
      <c r="N48" s="4">
        <f t="shared" si="9"/>
        <v>233</v>
      </c>
      <c r="O48" s="4">
        <f t="shared" si="1"/>
        <v>344.0317304</v>
      </c>
      <c r="P48" s="4">
        <f t="shared" si="2"/>
        <v>398.094233</v>
      </c>
      <c r="Q48" s="4">
        <f t="shared" si="3"/>
        <v>391.2531838</v>
      </c>
      <c r="V48" s="4">
        <f t="shared" si="4"/>
        <v>293.9682696</v>
      </c>
      <c r="W48" s="4">
        <f t="shared" si="5"/>
        <v>239.905767</v>
      </c>
      <c r="X48" s="4">
        <f t="shared" si="6"/>
        <v>246.7468162</v>
      </c>
    </row>
    <row r="49">
      <c r="A49" s="3">
        <v>40483.0</v>
      </c>
      <c r="B49" s="2">
        <v>227.0</v>
      </c>
      <c r="C49" s="2">
        <v>227.0</v>
      </c>
      <c r="D49" s="2">
        <v>793.0</v>
      </c>
      <c r="E49" s="2">
        <v>58.0</v>
      </c>
      <c r="F49" s="2">
        <v>992.0</v>
      </c>
      <c r="G49" s="2">
        <v>1549.0</v>
      </c>
      <c r="H49" s="2">
        <v>123.0</v>
      </c>
      <c r="I49" s="2">
        <v>926.0</v>
      </c>
      <c r="J49" s="2">
        <v>347.0</v>
      </c>
      <c r="K49" s="2">
        <v>530.0</v>
      </c>
      <c r="L49" s="4">
        <f t="shared" si="7"/>
        <v>448.6666667</v>
      </c>
      <c r="M49" s="4">
        <f t="shared" si="8"/>
        <v>-221.6666667</v>
      </c>
      <c r="N49" s="4">
        <f t="shared" si="9"/>
        <v>221.6666667</v>
      </c>
      <c r="O49" s="4">
        <f t="shared" si="1"/>
        <v>373.4285574</v>
      </c>
      <c r="P49" s="4">
        <f t="shared" si="2"/>
        <v>470.0659631</v>
      </c>
      <c r="Q49" s="4">
        <f t="shared" si="3"/>
        <v>514.6265919</v>
      </c>
      <c r="V49" s="4">
        <f t="shared" si="4"/>
        <v>146.4285574</v>
      </c>
      <c r="W49" s="4">
        <f t="shared" si="5"/>
        <v>243.0659631</v>
      </c>
      <c r="X49" s="4">
        <f t="shared" si="6"/>
        <v>287.6265919</v>
      </c>
    </row>
    <row r="50">
      <c r="A50" s="3">
        <v>40490.0</v>
      </c>
      <c r="B50" s="2">
        <v>570.0</v>
      </c>
      <c r="C50" s="2">
        <v>570.0</v>
      </c>
      <c r="D50" s="2">
        <v>2127.0</v>
      </c>
      <c r="E50" s="2">
        <v>98.0</v>
      </c>
      <c r="F50" s="2">
        <v>5584.0</v>
      </c>
      <c r="G50" s="2">
        <v>1675.0</v>
      </c>
      <c r="H50" s="2">
        <v>517.0</v>
      </c>
      <c r="I50" s="2">
        <v>4115.0</v>
      </c>
      <c r="J50" s="2">
        <v>659.0</v>
      </c>
      <c r="K50" s="2">
        <v>264.0</v>
      </c>
      <c r="L50" s="4">
        <f t="shared" si="7"/>
        <v>417</v>
      </c>
      <c r="M50" s="4">
        <f t="shared" si="8"/>
        <v>153</v>
      </c>
      <c r="N50" s="4">
        <f t="shared" si="9"/>
        <v>153</v>
      </c>
      <c r="O50" s="4">
        <f t="shared" si="1"/>
        <v>358.7857016</v>
      </c>
      <c r="P50" s="4">
        <f t="shared" si="2"/>
        <v>397.1461742</v>
      </c>
      <c r="Q50" s="4">
        <f t="shared" si="3"/>
        <v>370.813296</v>
      </c>
      <c r="V50" s="4">
        <f t="shared" si="4"/>
        <v>211.2142984</v>
      </c>
      <c r="W50" s="4">
        <f t="shared" si="5"/>
        <v>172.8538258</v>
      </c>
      <c r="X50" s="4">
        <f t="shared" si="6"/>
        <v>199.186704</v>
      </c>
    </row>
    <row r="51">
      <c r="A51" s="3">
        <v>40497.0</v>
      </c>
      <c r="B51" s="2">
        <v>461.0</v>
      </c>
      <c r="C51" s="2">
        <v>461.0</v>
      </c>
      <c r="D51" s="2">
        <v>1215.0</v>
      </c>
      <c r="E51" s="2">
        <v>286.0</v>
      </c>
      <c r="F51" s="2">
        <v>1263.0</v>
      </c>
      <c r="G51" s="2">
        <v>1791.0</v>
      </c>
      <c r="H51" s="2">
        <v>304.0</v>
      </c>
      <c r="I51" s="2">
        <v>1746.0</v>
      </c>
      <c r="J51" s="2">
        <v>699.0</v>
      </c>
      <c r="K51" s="2">
        <v>669.0</v>
      </c>
      <c r="L51" s="4">
        <f t="shared" si="7"/>
        <v>478.3333333</v>
      </c>
      <c r="M51" s="4">
        <f t="shared" si="8"/>
        <v>-17.33333333</v>
      </c>
      <c r="N51" s="4">
        <f t="shared" si="9"/>
        <v>17.33333333</v>
      </c>
      <c r="O51" s="4">
        <f t="shared" si="1"/>
        <v>379.9071315</v>
      </c>
      <c r="P51" s="4">
        <f t="shared" si="2"/>
        <v>449.0023219</v>
      </c>
      <c r="Q51" s="4">
        <f t="shared" si="3"/>
        <v>470.406648</v>
      </c>
      <c r="V51" s="4">
        <f t="shared" si="4"/>
        <v>81.09286852</v>
      </c>
      <c r="W51" s="4">
        <f t="shared" si="5"/>
        <v>11.99767808</v>
      </c>
      <c r="X51" s="4">
        <f t="shared" si="6"/>
        <v>9.40664798</v>
      </c>
    </row>
    <row r="52">
      <c r="A52" s="3">
        <v>40504.0</v>
      </c>
      <c r="B52" s="2">
        <v>493.0</v>
      </c>
      <c r="C52" s="2">
        <v>493.0</v>
      </c>
      <c r="D52" s="2">
        <v>1223.0</v>
      </c>
      <c r="E52" s="2">
        <v>67.0</v>
      </c>
      <c r="F52" s="2">
        <v>787.0</v>
      </c>
      <c r="G52" s="2">
        <v>1716.0</v>
      </c>
      <c r="H52" s="2">
        <v>343.0</v>
      </c>
      <c r="I52" s="2">
        <v>2207.0</v>
      </c>
      <c r="J52" s="2">
        <v>273.0</v>
      </c>
      <c r="K52" s="2">
        <v>327.0</v>
      </c>
      <c r="L52" s="4">
        <f t="shared" si="7"/>
        <v>419.3333333</v>
      </c>
      <c r="M52" s="4">
        <f t="shared" si="8"/>
        <v>73.66666667</v>
      </c>
      <c r="N52" s="4">
        <f t="shared" si="9"/>
        <v>73.66666667</v>
      </c>
      <c r="O52" s="4">
        <f t="shared" si="1"/>
        <v>388.0164183</v>
      </c>
      <c r="P52" s="4">
        <f t="shared" si="2"/>
        <v>452.6016253</v>
      </c>
      <c r="Q52" s="4">
        <f t="shared" si="3"/>
        <v>465.703324</v>
      </c>
      <c r="V52" s="4">
        <f t="shared" si="4"/>
        <v>104.9835817</v>
      </c>
      <c r="W52" s="4">
        <f t="shared" si="5"/>
        <v>40.39837466</v>
      </c>
      <c r="X52" s="4">
        <f t="shared" si="6"/>
        <v>27.29667601</v>
      </c>
    </row>
    <row r="53">
      <c r="A53" s="3">
        <v>40511.0</v>
      </c>
      <c r="B53" s="2">
        <v>928.0</v>
      </c>
      <c r="C53" s="2">
        <v>928.0</v>
      </c>
      <c r="D53" s="2">
        <v>1767.0</v>
      </c>
      <c r="E53" s="2">
        <v>69.0</v>
      </c>
      <c r="F53" s="2">
        <v>1192.0</v>
      </c>
      <c r="G53" s="2">
        <v>1149.0</v>
      </c>
      <c r="H53" s="2">
        <v>848.0</v>
      </c>
      <c r="I53" s="2">
        <v>683.0</v>
      </c>
      <c r="J53" s="2">
        <v>262.0</v>
      </c>
      <c r="K53" s="2">
        <v>293.0</v>
      </c>
      <c r="L53" s="4">
        <f t="shared" si="7"/>
        <v>508</v>
      </c>
      <c r="M53" s="4">
        <f t="shared" si="8"/>
        <v>420</v>
      </c>
      <c r="N53" s="4">
        <f t="shared" si="9"/>
        <v>420</v>
      </c>
      <c r="O53" s="4">
        <f t="shared" si="1"/>
        <v>398.5147765</v>
      </c>
      <c r="P53" s="4">
        <f t="shared" si="2"/>
        <v>464.7211377</v>
      </c>
      <c r="Q53" s="4">
        <f t="shared" si="3"/>
        <v>479.351662</v>
      </c>
      <c r="V53" s="4">
        <f t="shared" si="4"/>
        <v>529.4852235</v>
      </c>
      <c r="W53" s="4">
        <f t="shared" si="5"/>
        <v>463.2788623</v>
      </c>
      <c r="X53" s="4">
        <f t="shared" si="6"/>
        <v>448.648338</v>
      </c>
    </row>
    <row r="54">
      <c r="A54" s="3">
        <v>40518.0</v>
      </c>
      <c r="B54" s="2">
        <v>850.0</v>
      </c>
      <c r="C54" s="2">
        <v>850.0</v>
      </c>
      <c r="D54" s="2">
        <v>852.0</v>
      </c>
      <c r="E54" s="2">
        <v>165.0</v>
      </c>
      <c r="F54" s="2">
        <v>789.0</v>
      </c>
      <c r="G54" s="2">
        <v>1054.0</v>
      </c>
      <c r="H54" s="2">
        <v>337.0</v>
      </c>
      <c r="I54" s="2">
        <v>1012.0</v>
      </c>
      <c r="J54" s="2">
        <v>270.0</v>
      </c>
      <c r="K54" s="2">
        <v>283.0</v>
      </c>
      <c r="L54" s="4">
        <f t="shared" si="7"/>
        <v>627.3333333</v>
      </c>
      <c r="M54" s="4">
        <f t="shared" si="8"/>
        <v>222.6666667</v>
      </c>
      <c r="N54" s="4">
        <f t="shared" si="9"/>
        <v>222.6666667</v>
      </c>
      <c r="O54" s="4">
        <f t="shared" si="1"/>
        <v>451.4632989</v>
      </c>
      <c r="P54" s="4">
        <f t="shared" si="2"/>
        <v>603.7047964</v>
      </c>
      <c r="Q54" s="4">
        <f t="shared" si="3"/>
        <v>703.675831</v>
      </c>
      <c r="V54" s="4">
        <f t="shared" si="4"/>
        <v>398.5367011</v>
      </c>
      <c r="W54" s="4">
        <f t="shared" si="5"/>
        <v>246.2952036</v>
      </c>
      <c r="X54" s="4">
        <f t="shared" si="6"/>
        <v>146.324169</v>
      </c>
    </row>
    <row r="55">
      <c r="A55" s="3">
        <v>40525.0</v>
      </c>
      <c r="B55" s="2">
        <v>434.0</v>
      </c>
      <c r="C55" s="2">
        <v>434.0</v>
      </c>
      <c r="D55" s="2">
        <v>417.0</v>
      </c>
      <c r="E55" s="2">
        <v>29.0</v>
      </c>
      <c r="F55" s="2">
        <v>638.0</v>
      </c>
      <c r="G55" s="2">
        <v>597.0</v>
      </c>
      <c r="H55" s="2">
        <v>589.0</v>
      </c>
      <c r="I55" s="2">
        <v>981.0</v>
      </c>
      <c r="J55" s="2">
        <v>107.0</v>
      </c>
      <c r="K55" s="2">
        <v>187.0</v>
      </c>
      <c r="L55" s="4">
        <f t="shared" si="7"/>
        <v>757</v>
      </c>
      <c r="M55" s="4">
        <f t="shared" si="8"/>
        <v>-323</v>
      </c>
      <c r="N55" s="4">
        <f t="shared" si="9"/>
        <v>323</v>
      </c>
      <c r="O55" s="4">
        <f t="shared" si="1"/>
        <v>491.316969</v>
      </c>
      <c r="P55" s="4">
        <f t="shared" si="2"/>
        <v>677.5933575</v>
      </c>
      <c r="Q55" s="4">
        <f t="shared" si="3"/>
        <v>776.8379155</v>
      </c>
      <c r="V55" s="4">
        <f t="shared" si="4"/>
        <v>57.31696897</v>
      </c>
      <c r="W55" s="4">
        <f t="shared" si="5"/>
        <v>243.5933575</v>
      </c>
      <c r="X55" s="4">
        <f t="shared" si="6"/>
        <v>342.8379155</v>
      </c>
    </row>
    <row r="56">
      <c r="A56" s="3">
        <v>40532.0</v>
      </c>
      <c r="B56" s="2">
        <v>177.0</v>
      </c>
      <c r="C56" s="2">
        <v>177.0</v>
      </c>
      <c r="D56" s="2">
        <v>180.0</v>
      </c>
      <c r="E56" s="2">
        <v>23.0</v>
      </c>
      <c r="F56" s="2">
        <v>40.0</v>
      </c>
      <c r="G56" s="2">
        <v>125.0</v>
      </c>
      <c r="H56" s="2">
        <v>60.0</v>
      </c>
      <c r="I56" s="2">
        <v>252.0</v>
      </c>
      <c r="J56" s="2">
        <v>9.0</v>
      </c>
      <c r="K56" s="2">
        <v>44.0</v>
      </c>
      <c r="L56" s="4">
        <f t="shared" si="7"/>
        <v>737.3333333</v>
      </c>
      <c r="M56" s="4">
        <f t="shared" si="8"/>
        <v>-560.3333333</v>
      </c>
      <c r="N56" s="4">
        <f t="shared" si="9"/>
        <v>560.3333333</v>
      </c>
      <c r="O56" s="4">
        <f t="shared" si="1"/>
        <v>485.5852721</v>
      </c>
      <c r="P56" s="4">
        <f t="shared" si="2"/>
        <v>604.5153502</v>
      </c>
      <c r="Q56" s="4">
        <f t="shared" si="3"/>
        <v>605.4189577</v>
      </c>
      <c r="V56" s="4">
        <f t="shared" si="4"/>
        <v>308.5852721</v>
      </c>
      <c r="W56" s="4">
        <f t="shared" si="5"/>
        <v>427.5153502</v>
      </c>
      <c r="X56" s="4">
        <f t="shared" si="6"/>
        <v>428.4189577</v>
      </c>
    </row>
    <row r="57">
      <c r="A57" s="3">
        <v>40539.0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f t="shared" si="7"/>
        <v>487</v>
      </c>
      <c r="M57" s="4">
        <f t="shared" si="8"/>
        <v>-487</v>
      </c>
      <c r="N57" s="4">
        <f t="shared" si="9"/>
        <v>487</v>
      </c>
      <c r="O57" s="4">
        <f t="shared" si="1"/>
        <v>454.7267449</v>
      </c>
      <c r="P57" s="4">
        <f t="shared" si="2"/>
        <v>476.2607452</v>
      </c>
      <c r="Q57" s="4">
        <f t="shared" si="3"/>
        <v>391.2094789</v>
      </c>
      <c r="V57" s="4">
        <f t="shared" si="4"/>
        <v>454.7267449</v>
      </c>
      <c r="W57" s="4">
        <f t="shared" si="5"/>
        <v>476.2607452</v>
      </c>
      <c r="X57" s="4">
        <f t="shared" si="6"/>
        <v>391.2094789</v>
      </c>
    </row>
    <row r="58">
      <c r="A58" s="3">
        <v>40546.0</v>
      </c>
      <c r="B58" s="2">
        <v>251.0</v>
      </c>
      <c r="C58" s="2">
        <v>251.0</v>
      </c>
      <c r="D58" s="2">
        <v>1274.0</v>
      </c>
      <c r="E58" s="2">
        <v>145.0</v>
      </c>
      <c r="F58" s="2">
        <v>480.0</v>
      </c>
      <c r="G58" s="2">
        <v>16.0</v>
      </c>
      <c r="H58" s="2">
        <v>861.0</v>
      </c>
      <c r="I58" s="2">
        <v>797.0</v>
      </c>
      <c r="J58" s="2">
        <v>523.0</v>
      </c>
      <c r="K58" s="2">
        <v>362.0</v>
      </c>
      <c r="L58" s="4">
        <f t="shared" si="7"/>
        <v>203.6666667</v>
      </c>
      <c r="M58" s="4">
        <f t="shared" si="8"/>
        <v>47.33333333</v>
      </c>
      <c r="N58" s="4">
        <f t="shared" si="9"/>
        <v>47.33333333</v>
      </c>
      <c r="O58" s="4">
        <f t="shared" si="1"/>
        <v>409.2540704</v>
      </c>
      <c r="P58" s="4">
        <f t="shared" si="2"/>
        <v>333.3825216</v>
      </c>
      <c r="Q58" s="4">
        <f t="shared" si="3"/>
        <v>195.6047394</v>
      </c>
      <c r="V58" s="4">
        <f t="shared" si="4"/>
        <v>158.2540704</v>
      </c>
      <c r="W58" s="4">
        <f t="shared" si="5"/>
        <v>82.38252162</v>
      </c>
      <c r="X58" s="4">
        <f t="shared" si="6"/>
        <v>55.39526056</v>
      </c>
    </row>
    <row r="59">
      <c r="A59" s="3">
        <v>40553.0</v>
      </c>
      <c r="B59" s="2">
        <v>404.0</v>
      </c>
      <c r="C59" s="2">
        <v>404.0</v>
      </c>
      <c r="D59" s="2">
        <v>225.0</v>
      </c>
      <c r="E59" s="2">
        <v>85.0</v>
      </c>
      <c r="F59" s="2">
        <v>442.0</v>
      </c>
      <c r="G59" s="2">
        <v>6.0</v>
      </c>
      <c r="H59" s="2">
        <v>175.0</v>
      </c>
      <c r="I59" s="2">
        <v>344.0</v>
      </c>
      <c r="J59" s="2">
        <v>323.0</v>
      </c>
      <c r="K59" s="2">
        <v>642.0</v>
      </c>
      <c r="L59" s="4">
        <f t="shared" si="7"/>
        <v>142.6666667</v>
      </c>
      <c r="M59" s="4">
        <f t="shared" si="8"/>
        <v>261.3333333</v>
      </c>
      <c r="N59" s="4">
        <f t="shared" si="9"/>
        <v>261.3333333</v>
      </c>
      <c r="O59" s="4">
        <f t="shared" si="1"/>
        <v>393.4286633</v>
      </c>
      <c r="P59" s="4">
        <f t="shared" si="2"/>
        <v>308.6677651</v>
      </c>
      <c r="Q59" s="4">
        <f t="shared" si="3"/>
        <v>223.3023697</v>
      </c>
      <c r="V59" s="4">
        <f t="shared" si="4"/>
        <v>10.57133666</v>
      </c>
      <c r="W59" s="4">
        <f t="shared" si="5"/>
        <v>95.33223487</v>
      </c>
      <c r="X59" s="4">
        <f t="shared" si="6"/>
        <v>180.6976303</v>
      </c>
    </row>
    <row r="60">
      <c r="A60" s="3">
        <v>40560.0</v>
      </c>
      <c r="B60" s="2">
        <v>138.0</v>
      </c>
      <c r="C60" s="2">
        <v>138.0</v>
      </c>
      <c r="D60" s="2">
        <v>594.0</v>
      </c>
      <c r="E60" s="2">
        <v>69.0</v>
      </c>
      <c r="F60" s="2">
        <v>139.0</v>
      </c>
      <c r="G60" s="2">
        <v>2.0</v>
      </c>
      <c r="H60" s="2">
        <v>165.0</v>
      </c>
      <c r="I60" s="2">
        <v>261.0</v>
      </c>
      <c r="J60" s="2">
        <v>73.0</v>
      </c>
      <c r="K60" s="2">
        <v>128.0</v>
      </c>
      <c r="L60" s="4">
        <f t="shared" si="7"/>
        <v>218.3333333</v>
      </c>
      <c r="M60" s="4">
        <f t="shared" si="8"/>
        <v>-80.33333333</v>
      </c>
      <c r="N60" s="4">
        <f t="shared" si="9"/>
        <v>80.33333333</v>
      </c>
      <c r="O60" s="4">
        <f t="shared" si="1"/>
        <v>394.485797</v>
      </c>
      <c r="P60" s="4">
        <f t="shared" si="2"/>
        <v>337.2674356</v>
      </c>
      <c r="Q60" s="4">
        <f t="shared" si="3"/>
        <v>313.6511849</v>
      </c>
      <c r="V60" s="4">
        <f t="shared" si="4"/>
        <v>256.485797</v>
      </c>
      <c r="W60" s="4">
        <f t="shared" si="5"/>
        <v>199.2674356</v>
      </c>
      <c r="X60" s="4">
        <f t="shared" si="6"/>
        <v>175.6511849</v>
      </c>
    </row>
    <row r="61">
      <c r="A61" s="3">
        <v>40567.0</v>
      </c>
      <c r="B61" s="2">
        <v>228.0</v>
      </c>
      <c r="C61" s="2">
        <v>228.0</v>
      </c>
      <c r="D61" s="2">
        <v>502.0</v>
      </c>
      <c r="E61" s="2">
        <v>171.0</v>
      </c>
      <c r="F61" s="2">
        <v>344.0</v>
      </c>
      <c r="G61" s="2">
        <v>0.0</v>
      </c>
      <c r="H61" s="2">
        <v>105.0</v>
      </c>
      <c r="I61" s="2">
        <v>351.0</v>
      </c>
      <c r="J61" s="2">
        <v>199.0</v>
      </c>
      <c r="K61" s="2">
        <v>171.0</v>
      </c>
      <c r="L61" s="4">
        <f t="shared" si="7"/>
        <v>264.3333333</v>
      </c>
      <c r="M61" s="4">
        <f t="shared" si="8"/>
        <v>-36.33333333</v>
      </c>
      <c r="N61" s="4">
        <f t="shared" si="9"/>
        <v>36.33333333</v>
      </c>
      <c r="O61" s="4">
        <f t="shared" si="1"/>
        <v>368.8372173</v>
      </c>
      <c r="P61" s="4">
        <f t="shared" si="2"/>
        <v>277.4872049</v>
      </c>
      <c r="Q61" s="4">
        <f t="shared" si="3"/>
        <v>225.8255924</v>
      </c>
      <c r="V61" s="4">
        <f t="shared" si="4"/>
        <v>140.8372173</v>
      </c>
      <c r="W61" s="4">
        <f t="shared" si="5"/>
        <v>49.48720492</v>
      </c>
      <c r="X61" s="4">
        <f t="shared" si="6"/>
        <v>2.17440757</v>
      </c>
    </row>
    <row r="62">
      <c r="A62" s="3">
        <v>40574.0</v>
      </c>
      <c r="B62" s="2">
        <v>149.0</v>
      </c>
      <c r="C62" s="2">
        <v>149.0</v>
      </c>
      <c r="D62" s="2">
        <v>965.0</v>
      </c>
      <c r="E62" s="2">
        <v>232.0</v>
      </c>
      <c r="F62" s="2">
        <v>937.0</v>
      </c>
      <c r="G62" s="2">
        <v>0.0</v>
      </c>
      <c r="H62" s="2">
        <v>99.0</v>
      </c>
      <c r="I62" s="2">
        <v>107.0</v>
      </c>
      <c r="J62" s="2">
        <v>225.0</v>
      </c>
      <c r="K62" s="2">
        <v>417.0</v>
      </c>
      <c r="L62" s="4">
        <f t="shared" si="7"/>
        <v>256.6666667</v>
      </c>
      <c r="M62" s="4">
        <f t="shared" si="8"/>
        <v>-107.6666667</v>
      </c>
      <c r="N62" s="4">
        <f t="shared" si="9"/>
        <v>107.6666667</v>
      </c>
      <c r="O62" s="4">
        <f t="shared" si="1"/>
        <v>354.7534956</v>
      </c>
      <c r="P62" s="4">
        <f t="shared" si="2"/>
        <v>262.6410434</v>
      </c>
      <c r="Q62" s="4">
        <f t="shared" si="3"/>
        <v>226.9127962</v>
      </c>
      <c r="V62" s="4">
        <f t="shared" si="4"/>
        <v>205.7534956</v>
      </c>
      <c r="W62" s="4">
        <f t="shared" si="5"/>
        <v>113.6410434</v>
      </c>
      <c r="X62" s="4">
        <f t="shared" si="6"/>
        <v>77.91279621</v>
      </c>
    </row>
    <row r="63">
      <c r="A63" s="3">
        <v>40581.0</v>
      </c>
      <c r="B63" s="2">
        <v>137.0</v>
      </c>
      <c r="C63" s="2">
        <v>137.0</v>
      </c>
      <c r="D63" s="2">
        <v>288.0</v>
      </c>
      <c r="E63" s="2">
        <v>291.0</v>
      </c>
      <c r="F63" s="2">
        <v>160.0</v>
      </c>
      <c r="G63" s="2">
        <v>0.0</v>
      </c>
      <c r="H63" s="2">
        <v>192.0</v>
      </c>
      <c r="I63" s="2">
        <v>239.0</v>
      </c>
      <c r="J63" s="2">
        <v>95.0</v>
      </c>
      <c r="K63" s="2">
        <v>255.0</v>
      </c>
      <c r="L63" s="4">
        <f t="shared" si="7"/>
        <v>171.6666667</v>
      </c>
      <c r="M63" s="4">
        <f t="shared" si="8"/>
        <v>-34.66666667</v>
      </c>
      <c r="N63" s="4">
        <f t="shared" si="9"/>
        <v>34.66666667</v>
      </c>
      <c r="O63" s="4">
        <f t="shared" si="1"/>
        <v>334.178146</v>
      </c>
      <c r="P63" s="4">
        <f t="shared" si="2"/>
        <v>228.5487304</v>
      </c>
      <c r="Q63" s="4">
        <f t="shared" si="3"/>
        <v>187.9563981</v>
      </c>
      <c r="V63" s="4">
        <f t="shared" si="4"/>
        <v>197.178146</v>
      </c>
      <c r="W63" s="4">
        <f t="shared" si="5"/>
        <v>91.54873041</v>
      </c>
      <c r="X63" s="4">
        <f t="shared" si="6"/>
        <v>50.95639811</v>
      </c>
    </row>
    <row r="64">
      <c r="A64" s="3">
        <v>40588.0</v>
      </c>
      <c r="B64" s="2">
        <v>399.0</v>
      </c>
      <c r="C64" s="2">
        <v>399.0</v>
      </c>
      <c r="D64" s="2">
        <v>985.0</v>
      </c>
      <c r="E64" s="2">
        <v>189.0</v>
      </c>
      <c r="F64" s="2">
        <v>588.0</v>
      </c>
      <c r="G64" s="2">
        <v>2.0</v>
      </c>
      <c r="H64" s="2">
        <v>305.0</v>
      </c>
      <c r="I64" s="2">
        <v>1040.0</v>
      </c>
      <c r="J64" s="2">
        <v>409.0</v>
      </c>
      <c r="K64" s="2">
        <v>291.0</v>
      </c>
      <c r="L64" s="4">
        <f t="shared" si="7"/>
        <v>171.3333333</v>
      </c>
      <c r="M64" s="4">
        <f t="shared" si="8"/>
        <v>227.6666667</v>
      </c>
      <c r="N64" s="4">
        <f t="shared" si="9"/>
        <v>227.6666667</v>
      </c>
      <c r="O64" s="4">
        <f t="shared" si="1"/>
        <v>314.4603314</v>
      </c>
      <c r="P64" s="4">
        <f t="shared" si="2"/>
        <v>201.0841113</v>
      </c>
      <c r="Q64" s="4">
        <f t="shared" si="3"/>
        <v>162.4781991</v>
      </c>
      <c r="V64" s="4">
        <f t="shared" si="4"/>
        <v>84.53966859</v>
      </c>
      <c r="W64" s="4">
        <f t="shared" si="5"/>
        <v>197.9158887</v>
      </c>
      <c r="X64" s="4">
        <f t="shared" si="6"/>
        <v>236.5218009</v>
      </c>
    </row>
    <row r="65">
      <c r="A65" s="3">
        <v>40595.0</v>
      </c>
      <c r="B65" s="2">
        <v>203.0</v>
      </c>
      <c r="C65" s="2">
        <v>203.0</v>
      </c>
      <c r="D65" s="2">
        <v>810.0</v>
      </c>
      <c r="E65" s="2">
        <v>157.0</v>
      </c>
      <c r="F65" s="2">
        <v>328.0</v>
      </c>
      <c r="G65" s="2">
        <v>2.0</v>
      </c>
      <c r="H65" s="2">
        <v>75.0</v>
      </c>
      <c r="I65" s="2">
        <v>1312.0</v>
      </c>
      <c r="J65" s="2">
        <v>260.0</v>
      </c>
      <c r="K65" s="2">
        <v>369.0</v>
      </c>
      <c r="L65" s="4">
        <f t="shared" si="7"/>
        <v>228.3333333</v>
      </c>
      <c r="M65" s="4">
        <f t="shared" si="8"/>
        <v>-25.33333333</v>
      </c>
      <c r="N65" s="4">
        <f t="shared" si="9"/>
        <v>25.33333333</v>
      </c>
      <c r="O65" s="4">
        <f t="shared" si="1"/>
        <v>322.9142983</v>
      </c>
      <c r="P65" s="4">
        <f t="shared" si="2"/>
        <v>260.4588779</v>
      </c>
      <c r="Q65" s="4">
        <f t="shared" si="3"/>
        <v>280.7390995</v>
      </c>
      <c r="V65" s="4">
        <f t="shared" si="4"/>
        <v>119.9142983</v>
      </c>
      <c r="W65" s="4">
        <f t="shared" si="5"/>
        <v>57.4588779</v>
      </c>
      <c r="X65" s="4">
        <f t="shared" si="6"/>
        <v>77.73909953</v>
      </c>
    </row>
    <row r="66">
      <c r="A66" s="3">
        <v>40602.0</v>
      </c>
      <c r="B66" s="2">
        <v>348.0</v>
      </c>
      <c r="C66" s="2">
        <v>348.0</v>
      </c>
      <c r="D66" s="2">
        <v>624.0</v>
      </c>
      <c r="E66" s="2">
        <v>255.0</v>
      </c>
      <c r="F66" s="2">
        <v>213.0</v>
      </c>
      <c r="G66" s="2">
        <v>45.0</v>
      </c>
      <c r="H66" s="2">
        <v>39.0</v>
      </c>
      <c r="I66" s="2">
        <v>370.0</v>
      </c>
      <c r="J66" s="2">
        <v>174.0</v>
      </c>
      <c r="K66" s="2">
        <v>175.0</v>
      </c>
      <c r="L66" s="4">
        <f t="shared" si="7"/>
        <v>246.3333333</v>
      </c>
      <c r="M66" s="4">
        <f t="shared" si="8"/>
        <v>101.6666667</v>
      </c>
      <c r="N66" s="4">
        <f t="shared" si="9"/>
        <v>101.6666667</v>
      </c>
      <c r="O66" s="4">
        <f t="shared" si="1"/>
        <v>310.9228684</v>
      </c>
      <c r="P66" s="4">
        <f t="shared" si="2"/>
        <v>243.2212145</v>
      </c>
      <c r="Q66" s="4">
        <f t="shared" si="3"/>
        <v>241.8695498</v>
      </c>
      <c r="V66" s="4">
        <f t="shared" si="4"/>
        <v>37.07713155</v>
      </c>
      <c r="W66" s="4">
        <f t="shared" si="5"/>
        <v>104.7787855</v>
      </c>
      <c r="X66" s="4">
        <f t="shared" si="6"/>
        <v>106.1304502</v>
      </c>
    </row>
    <row r="67">
      <c r="A67" s="3">
        <v>40609.0</v>
      </c>
      <c r="B67" s="2">
        <v>190.0</v>
      </c>
      <c r="C67" s="2">
        <v>190.0</v>
      </c>
      <c r="D67" s="2">
        <v>738.0</v>
      </c>
      <c r="E67" s="2">
        <v>205.0</v>
      </c>
      <c r="F67" s="2">
        <v>642.0</v>
      </c>
      <c r="G67" s="2">
        <v>1.0</v>
      </c>
      <c r="H67" s="2">
        <v>270.0</v>
      </c>
      <c r="I67" s="2">
        <v>779.0</v>
      </c>
      <c r="J67" s="2">
        <v>374.0</v>
      </c>
      <c r="K67" s="2">
        <v>148.0</v>
      </c>
      <c r="L67" s="4">
        <f t="shared" si="7"/>
        <v>316.6666667</v>
      </c>
      <c r="M67" s="4">
        <f t="shared" si="8"/>
        <v>-126.6666667</v>
      </c>
      <c r="N67" s="4">
        <f t="shared" si="9"/>
        <v>126.6666667</v>
      </c>
      <c r="O67" s="4">
        <f t="shared" si="1"/>
        <v>314.6305816</v>
      </c>
      <c r="P67" s="4">
        <f t="shared" si="2"/>
        <v>274.6548502</v>
      </c>
      <c r="Q67" s="4">
        <f t="shared" si="3"/>
        <v>294.9347749</v>
      </c>
      <c r="V67" s="4">
        <f t="shared" si="4"/>
        <v>124.6305816</v>
      </c>
      <c r="W67" s="4">
        <f t="shared" si="5"/>
        <v>84.65485017</v>
      </c>
      <c r="X67" s="4">
        <f t="shared" si="6"/>
        <v>104.9347749</v>
      </c>
    </row>
    <row r="68">
      <c r="A68" s="3">
        <v>40616.0</v>
      </c>
      <c r="B68" s="2">
        <v>308.0</v>
      </c>
      <c r="C68" s="2">
        <v>308.0</v>
      </c>
      <c r="D68" s="2">
        <v>1546.0</v>
      </c>
      <c r="E68" s="2">
        <v>606.0</v>
      </c>
      <c r="F68" s="2">
        <v>963.0</v>
      </c>
      <c r="G68" s="2">
        <v>0.0</v>
      </c>
      <c r="H68" s="2">
        <v>108.0</v>
      </c>
      <c r="I68" s="2">
        <v>583.0</v>
      </c>
      <c r="J68" s="2">
        <v>1083.0</v>
      </c>
      <c r="K68" s="2">
        <v>278.0</v>
      </c>
      <c r="L68" s="4">
        <f t="shared" si="7"/>
        <v>247</v>
      </c>
      <c r="M68" s="4">
        <f t="shared" si="8"/>
        <v>61</v>
      </c>
      <c r="N68" s="4">
        <f t="shared" si="9"/>
        <v>61</v>
      </c>
      <c r="O68" s="4">
        <f t="shared" si="1"/>
        <v>302.1675234</v>
      </c>
      <c r="P68" s="4">
        <f t="shared" si="2"/>
        <v>249.2583951</v>
      </c>
      <c r="Q68" s="4">
        <f t="shared" si="3"/>
        <v>242.4673874</v>
      </c>
      <c r="V68" s="4">
        <f t="shared" si="4"/>
        <v>5.832476559</v>
      </c>
      <c r="W68" s="4">
        <f t="shared" si="5"/>
        <v>58.74160488</v>
      </c>
      <c r="X68" s="4">
        <f t="shared" si="6"/>
        <v>65.53261256</v>
      </c>
    </row>
    <row r="69">
      <c r="A69" s="3">
        <v>40623.0</v>
      </c>
      <c r="B69" s="2">
        <v>327.0</v>
      </c>
      <c r="C69" s="2">
        <v>327.0</v>
      </c>
      <c r="D69" s="2">
        <v>1379.0</v>
      </c>
      <c r="E69" s="2">
        <v>325.0</v>
      </c>
      <c r="F69" s="2">
        <v>391.0</v>
      </c>
      <c r="G69" s="2">
        <v>42.0</v>
      </c>
      <c r="H69" s="2">
        <v>22.0</v>
      </c>
      <c r="I69" s="2">
        <v>237.0</v>
      </c>
      <c r="J69" s="2">
        <v>586.0</v>
      </c>
      <c r="K69" s="2">
        <v>379.0</v>
      </c>
      <c r="L69" s="4">
        <f t="shared" si="7"/>
        <v>282</v>
      </c>
      <c r="M69" s="4">
        <f t="shared" si="8"/>
        <v>45</v>
      </c>
      <c r="N69" s="4">
        <f t="shared" si="9"/>
        <v>45</v>
      </c>
      <c r="O69" s="4">
        <f t="shared" si="1"/>
        <v>302.7507711</v>
      </c>
      <c r="P69" s="4">
        <f t="shared" si="2"/>
        <v>266.8808766</v>
      </c>
      <c r="Q69" s="4">
        <f t="shared" si="3"/>
        <v>275.2336937</v>
      </c>
      <c r="V69" s="4">
        <f t="shared" si="4"/>
        <v>24.2492289</v>
      </c>
      <c r="W69" s="4">
        <f t="shared" si="5"/>
        <v>60.11912342</v>
      </c>
      <c r="X69" s="4">
        <f t="shared" si="6"/>
        <v>51.76630628</v>
      </c>
    </row>
    <row r="70">
      <c r="A70" s="3">
        <v>40630.0</v>
      </c>
      <c r="B70" s="2">
        <v>282.0</v>
      </c>
      <c r="C70" s="2">
        <v>282.0</v>
      </c>
      <c r="D70" s="2">
        <v>1103.0</v>
      </c>
      <c r="E70" s="2">
        <v>368.0</v>
      </c>
      <c r="F70" s="2">
        <v>585.0</v>
      </c>
      <c r="G70" s="2">
        <v>3.0</v>
      </c>
      <c r="H70" s="2">
        <v>85.0</v>
      </c>
      <c r="I70" s="2">
        <v>1030.0</v>
      </c>
      <c r="J70" s="2">
        <v>665.0</v>
      </c>
      <c r="K70" s="2">
        <v>587.0</v>
      </c>
      <c r="L70" s="4">
        <f t="shared" si="7"/>
        <v>275</v>
      </c>
      <c r="M70" s="4">
        <f t="shared" si="8"/>
        <v>7</v>
      </c>
      <c r="N70" s="4">
        <f t="shared" si="9"/>
        <v>7</v>
      </c>
      <c r="O70" s="4">
        <f t="shared" si="1"/>
        <v>305.175694</v>
      </c>
      <c r="P70" s="4">
        <f t="shared" si="2"/>
        <v>284.9166136</v>
      </c>
      <c r="Q70" s="4">
        <f t="shared" si="3"/>
        <v>301.1168469</v>
      </c>
      <c r="V70" s="4">
        <f t="shared" si="4"/>
        <v>23.17569399</v>
      </c>
      <c r="W70" s="4">
        <f t="shared" si="5"/>
        <v>2.916613609</v>
      </c>
      <c r="X70" s="4">
        <f t="shared" si="6"/>
        <v>19.11684686</v>
      </c>
    </row>
    <row r="71">
      <c r="A71" s="3">
        <v>40637.0</v>
      </c>
      <c r="B71" s="2">
        <v>274.0</v>
      </c>
      <c r="C71" s="2">
        <v>274.0</v>
      </c>
      <c r="D71" s="2">
        <v>975.0</v>
      </c>
      <c r="E71" s="2">
        <v>460.0</v>
      </c>
      <c r="F71" s="2">
        <v>753.0</v>
      </c>
      <c r="G71" s="2">
        <v>9.0</v>
      </c>
      <c r="H71" s="2">
        <v>14.0</v>
      </c>
      <c r="I71" s="2">
        <v>564.0</v>
      </c>
      <c r="J71" s="2">
        <v>125.0</v>
      </c>
      <c r="K71" s="2">
        <v>247.0</v>
      </c>
      <c r="L71" s="4">
        <f t="shared" si="7"/>
        <v>305.6666667</v>
      </c>
      <c r="M71" s="4">
        <f t="shared" si="8"/>
        <v>-31.66666667</v>
      </c>
      <c r="N71" s="4">
        <f t="shared" si="9"/>
        <v>31.66666667</v>
      </c>
      <c r="O71" s="4">
        <f t="shared" si="1"/>
        <v>302.8581246</v>
      </c>
      <c r="P71" s="4">
        <f t="shared" si="2"/>
        <v>284.0416295</v>
      </c>
      <c r="Q71" s="4">
        <f t="shared" si="3"/>
        <v>291.5584234</v>
      </c>
      <c r="V71" s="4">
        <f t="shared" si="4"/>
        <v>28.85812459</v>
      </c>
      <c r="W71" s="4">
        <f t="shared" si="5"/>
        <v>10.04162953</v>
      </c>
      <c r="X71" s="4">
        <f t="shared" si="6"/>
        <v>17.55842343</v>
      </c>
    </row>
    <row r="72">
      <c r="A72" s="3">
        <v>40644.0</v>
      </c>
      <c r="B72" s="2">
        <v>362.0</v>
      </c>
      <c r="C72" s="2">
        <v>362.0</v>
      </c>
      <c r="D72" s="2">
        <v>616.0</v>
      </c>
      <c r="E72" s="2">
        <v>542.0</v>
      </c>
      <c r="F72" s="2">
        <v>815.0</v>
      </c>
      <c r="G72" s="2">
        <v>0.0</v>
      </c>
      <c r="H72" s="2">
        <v>5.0</v>
      </c>
      <c r="I72" s="2">
        <v>784.0</v>
      </c>
      <c r="J72" s="2">
        <v>119.0</v>
      </c>
      <c r="K72" s="2">
        <v>305.0</v>
      </c>
      <c r="L72" s="4">
        <f t="shared" si="7"/>
        <v>294.3333333</v>
      </c>
      <c r="M72" s="4">
        <f t="shared" si="8"/>
        <v>67.66666667</v>
      </c>
      <c r="N72" s="4">
        <f t="shared" si="9"/>
        <v>67.66666667</v>
      </c>
      <c r="O72" s="4">
        <f t="shared" si="1"/>
        <v>299.9723121</v>
      </c>
      <c r="P72" s="4">
        <f t="shared" si="2"/>
        <v>281.0291407</v>
      </c>
      <c r="Q72" s="4">
        <f t="shared" si="3"/>
        <v>282.7792117</v>
      </c>
      <c r="V72" s="4">
        <f t="shared" si="4"/>
        <v>62.02768787</v>
      </c>
      <c r="W72" s="4">
        <f t="shared" si="5"/>
        <v>80.97085933</v>
      </c>
      <c r="X72" s="4">
        <f t="shared" si="6"/>
        <v>79.22078828</v>
      </c>
    </row>
    <row r="73">
      <c r="A73" s="3">
        <v>40651.0</v>
      </c>
      <c r="B73" s="2">
        <v>186.0</v>
      </c>
      <c r="C73" s="2">
        <v>186.0</v>
      </c>
      <c r="D73" s="2">
        <v>549.0</v>
      </c>
      <c r="E73" s="2">
        <v>548.0</v>
      </c>
      <c r="F73" s="2">
        <v>612.0</v>
      </c>
      <c r="G73" s="2">
        <v>1.0</v>
      </c>
      <c r="H73" s="2">
        <v>4.0</v>
      </c>
      <c r="I73" s="2">
        <v>232.0</v>
      </c>
      <c r="J73" s="2">
        <v>155.0</v>
      </c>
      <c r="K73" s="2">
        <v>368.0</v>
      </c>
      <c r="L73" s="4">
        <f t="shared" si="7"/>
        <v>306</v>
      </c>
      <c r="M73" s="4">
        <f t="shared" si="8"/>
        <v>-120</v>
      </c>
      <c r="N73" s="4">
        <f t="shared" si="9"/>
        <v>120</v>
      </c>
      <c r="O73" s="4">
        <f t="shared" si="1"/>
        <v>306.1750809</v>
      </c>
      <c r="P73" s="4">
        <f t="shared" si="2"/>
        <v>305.3203985</v>
      </c>
      <c r="Q73" s="4">
        <f t="shared" si="3"/>
        <v>322.3896059</v>
      </c>
      <c r="V73" s="4">
        <f t="shared" si="4"/>
        <v>120.1750809</v>
      </c>
      <c r="W73" s="4">
        <f t="shared" si="5"/>
        <v>119.3203985</v>
      </c>
      <c r="X73" s="4">
        <f t="shared" si="6"/>
        <v>136.3896059</v>
      </c>
    </row>
    <row r="74">
      <c r="A74" s="3">
        <v>40658.0</v>
      </c>
      <c r="B74" s="2">
        <v>175.0</v>
      </c>
      <c r="C74" s="2">
        <v>175.0</v>
      </c>
      <c r="D74" s="2">
        <v>385.0</v>
      </c>
      <c r="E74" s="2">
        <v>276.0</v>
      </c>
      <c r="F74" s="2">
        <v>264.0</v>
      </c>
      <c r="G74" s="2">
        <v>0.0</v>
      </c>
      <c r="H74" s="2">
        <v>5.0</v>
      </c>
      <c r="I74" s="2">
        <v>310.0</v>
      </c>
      <c r="J74" s="2">
        <v>282.0</v>
      </c>
      <c r="K74" s="2">
        <v>164.0</v>
      </c>
      <c r="L74" s="4">
        <f t="shared" si="7"/>
        <v>274</v>
      </c>
      <c r="M74" s="4">
        <f t="shared" si="8"/>
        <v>-99</v>
      </c>
      <c r="N74" s="4">
        <f t="shared" si="9"/>
        <v>99</v>
      </c>
      <c r="O74" s="4">
        <f t="shared" si="1"/>
        <v>294.1575728</v>
      </c>
      <c r="P74" s="4">
        <f t="shared" si="2"/>
        <v>269.5242789</v>
      </c>
      <c r="Q74" s="4">
        <f t="shared" si="3"/>
        <v>254.1948029</v>
      </c>
      <c r="V74" s="4">
        <f t="shared" si="4"/>
        <v>119.1575728</v>
      </c>
      <c r="W74" s="4">
        <f t="shared" si="5"/>
        <v>94.52427893</v>
      </c>
      <c r="X74" s="4">
        <f t="shared" si="6"/>
        <v>79.19480293</v>
      </c>
    </row>
    <row r="75">
      <c r="A75" s="3">
        <v>40665.0</v>
      </c>
      <c r="B75" s="2">
        <v>171.0</v>
      </c>
      <c r="C75" s="2">
        <v>171.0</v>
      </c>
      <c r="D75" s="2">
        <v>380.0</v>
      </c>
      <c r="E75" s="2">
        <v>984.0</v>
      </c>
      <c r="F75" s="2">
        <v>594.0</v>
      </c>
      <c r="G75" s="2">
        <v>4.0</v>
      </c>
      <c r="H75" s="2">
        <v>109.0</v>
      </c>
      <c r="I75" s="2">
        <v>372.0</v>
      </c>
      <c r="J75" s="2">
        <v>154.0</v>
      </c>
      <c r="K75" s="2">
        <v>289.0</v>
      </c>
      <c r="L75" s="4">
        <f t="shared" si="7"/>
        <v>241</v>
      </c>
      <c r="M75" s="4">
        <f t="shared" si="8"/>
        <v>-70</v>
      </c>
      <c r="N75" s="4">
        <f t="shared" si="9"/>
        <v>70</v>
      </c>
      <c r="O75" s="4">
        <f t="shared" si="1"/>
        <v>282.2418155</v>
      </c>
      <c r="P75" s="4">
        <f t="shared" si="2"/>
        <v>241.1669952</v>
      </c>
      <c r="Q75" s="4">
        <f t="shared" si="3"/>
        <v>214.5974015</v>
      </c>
      <c r="V75" s="4">
        <f t="shared" si="4"/>
        <v>111.2418155</v>
      </c>
      <c r="W75" s="4">
        <f t="shared" si="5"/>
        <v>70.16699525</v>
      </c>
      <c r="X75" s="4">
        <f t="shared" si="6"/>
        <v>43.59740146</v>
      </c>
    </row>
    <row r="76">
      <c r="A76" s="3">
        <v>40672.0</v>
      </c>
      <c r="B76" s="2">
        <v>366.0</v>
      </c>
      <c r="C76" s="2">
        <v>366.0</v>
      </c>
      <c r="D76" s="2">
        <v>1206.0</v>
      </c>
      <c r="E76" s="2">
        <v>752.0</v>
      </c>
      <c r="F76" s="2">
        <v>1201.0</v>
      </c>
      <c r="G76" s="2">
        <v>13.0</v>
      </c>
      <c r="H76" s="2">
        <v>187.0</v>
      </c>
      <c r="I76" s="2">
        <v>381.0</v>
      </c>
      <c r="J76" s="2">
        <v>401.0</v>
      </c>
      <c r="K76" s="2">
        <v>885.0</v>
      </c>
      <c r="L76" s="4">
        <f t="shared" si="7"/>
        <v>177.3333333</v>
      </c>
      <c r="M76" s="4">
        <f t="shared" si="8"/>
        <v>188.6666667</v>
      </c>
      <c r="N76" s="4">
        <f t="shared" si="9"/>
        <v>188.6666667</v>
      </c>
      <c r="O76" s="4">
        <f t="shared" si="1"/>
        <v>271.117634</v>
      </c>
      <c r="P76" s="4">
        <f t="shared" si="2"/>
        <v>220.1168967</v>
      </c>
      <c r="Q76" s="4">
        <f t="shared" si="3"/>
        <v>192.7987007</v>
      </c>
      <c r="V76" s="4">
        <f t="shared" si="4"/>
        <v>94.88236601</v>
      </c>
      <c r="W76" s="4">
        <f t="shared" si="5"/>
        <v>145.8831033</v>
      </c>
      <c r="X76" s="4">
        <f t="shared" si="6"/>
        <v>173.2012993</v>
      </c>
    </row>
    <row r="77">
      <c r="A77" s="3">
        <v>40679.0</v>
      </c>
      <c r="B77" s="2">
        <v>305.0</v>
      </c>
      <c r="C77" s="2">
        <v>305.0</v>
      </c>
      <c r="D77" s="2">
        <v>978.0</v>
      </c>
      <c r="E77" s="2">
        <v>754.0</v>
      </c>
      <c r="F77" s="2">
        <v>595.0</v>
      </c>
      <c r="G77" s="2">
        <v>0.0</v>
      </c>
      <c r="H77" s="2">
        <v>44.0</v>
      </c>
      <c r="I77" s="2">
        <v>1300.0</v>
      </c>
      <c r="J77" s="2">
        <v>169.0</v>
      </c>
      <c r="K77" s="2">
        <v>445.0</v>
      </c>
      <c r="L77" s="4">
        <f t="shared" si="7"/>
        <v>237.3333333</v>
      </c>
      <c r="M77" s="4">
        <f t="shared" si="8"/>
        <v>67.66666667</v>
      </c>
      <c r="N77" s="4">
        <f t="shared" si="9"/>
        <v>67.66666667</v>
      </c>
      <c r="O77" s="4">
        <f t="shared" si="1"/>
        <v>280.6058706</v>
      </c>
      <c r="P77" s="4">
        <f t="shared" si="2"/>
        <v>263.8818277</v>
      </c>
      <c r="Q77" s="4">
        <f t="shared" si="3"/>
        <v>279.3993504</v>
      </c>
      <c r="V77" s="4">
        <f t="shared" si="4"/>
        <v>24.39412941</v>
      </c>
      <c r="W77" s="4">
        <f t="shared" si="5"/>
        <v>41.11817233</v>
      </c>
      <c r="X77" s="4">
        <f t="shared" si="6"/>
        <v>25.60064963</v>
      </c>
    </row>
    <row r="78">
      <c r="A78" s="3">
        <v>40686.0</v>
      </c>
      <c r="B78" s="2">
        <v>169.0</v>
      </c>
      <c r="C78" s="2">
        <v>169.0</v>
      </c>
      <c r="D78" s="2">
        <v>933.0</v>
      </c>
      <c r="E78" s="2">
        <v>839.0</v>
      </c>
      <c r="F78" s="2">
        <v>565.0</v>
      </c>
      <c r="G78" s="2">
        <v>0.0</v>
      </c>
      <c r="H78" s="2">
        <v>72.0</v>
      </c>
      <c r="I78" s="2">
        <v>4562.0</v>
      </c>
      <c r="J78" s="2">
        <v>558.0</v>
      </c>
      <c r="K78" s="2">
        <v>684.0</v>
      </c>
      <c r="L78" s="4">
        <f t="shared" si="7"/>
        <v>280.6666667</v>
      </c>
      <c r="M78" s="4">
        <f t="shared" si="8"/>
        <v>-111.6666667</v>
      </c>
      <c r="N78" s="4">
        <f t="shared" si="9"/>
        <v>111.6666667</v>
      </c>
      <c r="O78" s="4">
        <f t="shared" si="1"/>
        <v>283.0452835</v>
      </c>
      <c r="P78" s="4">
        <f t="shared" si="2"/>
        <v>276.2172794</v>
      </c>
      <c r="Q78" s="4">
        <f t="shared" si="3"/>
        <v>292.1996752</v>
      </c>
      <c r="V78" s="4">
        <f t="shared" si="4"/>
        <v>114.0452835</v>
      </c>
      <c r="W78" s="4">
        <f t="shared" si="5"/>
        <v>107.2172794</v>
      </c>
      <c r="X78" s="4">
        <f t="shared" si="6"/>
        <v>123.1996752</v>
      </c>
    </row>
    <row r="79">
      <c r="A79" s="3">
        <v>40693.0</v>
      </c>
      <c r="B79" s="2">
        <v>263.0</v>
      </c>
      <c r="C79" s="2">
        <v>263.0</v>
      </c>
      <c r="D79" s="2">
        <v>273.0</v>
      </c>
      <c r="E79" s="2">
        <v>434.0</v>
      </c>
      <c r="F79" s="2">
        <v>384.0</v>
      </c>
      <c r="G79" s="2">
        <v>0.0</v>
      </c>
      <c r="H79" s="2">
        <v>27.0</v>
      </c>
      <c r="I79" s="2">
        <v>533.0</v>
      </c>
      <c r="J79" s="2">
        <v>410.0</v>
      </c>
      <c r="K79" s="2">
        <v>184.0</v>
      </c>
      <c r="L79" s="4">
        <f t="shared" si="7"/>
        <v>280</v>
      </c>
      <c r="M79" s="4">
        <f t="shared" si="8"/>
        <v>-17</v>
      </c>
      <c r="N79" s="4">
        <f t="shared" si="9"/>
        <v>17</v>
      </c>
      <c r="O79" s="4">
        <f t="shared" si="1"/>
        <v>271.6407552</v>
      </c>
      <c r="P79" s="4">
        <f t="shared" si="2"/>
        <v>244.0520956</v>
      </c>
      <c r="Q79" s="4">
        <f t="shared" si="3"/>
        <v>230.5998376</v>
      </c>
      <c r="V79" s="4">
        <f t="shared" si="4"/>
        <v>8.640755177</v>
      </c>
      <c r="W79" s="4">
        <f t="shared" si="5"/>
        <v>18.94790444</v>
      </c>
      <c r="X79" s="4">
        <f t="shared" si="6"/>
        <v>32.40016241</v>
      </c>
    </row>
    <row r="80">
      <c r="A80" s="3">
        <v>40700.0</v>
      </c>
      <c r="B80" s="2">
        <v>207.0</v>
      </c>
      <c r="C80" s="2">
        <v>207.0</v>
      </c>
      <c r="D80" s="2">
        <v>883.0</v>
      </c>
      <c r="E80" s="2">
        <v>651.0</v>
      </c>
      <c r="F80" s="2">
        <v>292.0</v>
      </c>
      <c r="G80" s="2">
        <v>2.0</v>
      </c>
      <c r="H80" s="2">
        <v>91.0</v>
      </c>
      <c r="I80" s="2">
        <v>410.0</v>
      </c>
      <c r="J80" s="2">
        <v>478.0</v>
      </c>
      <c r="K80" s="2">
        <v>585.0</v>
      </c>
      <c r="L80" s="4">
        <f t="shared" si="7"/>
        <v>245.6666667</v>
      </c>
      <c r="M80" s="4">
        <f t="shared" si="8"/>
        <v>-38.66666667</v>
      </c>
      <c r="N80" s="4">
        <f t="shared" si="9"/>
        <v>38.66666667</v>
      </c>
      <c r="O80" s="4">
        <f t="shared" si="1"/>
        <v>270.7766797</v>
      </c>
      <c r="P80" s="4">
        <f t="shared" si="2"/>
        <v>249.7364669</v>
      </c>
      <c r="Q80" s="4">
        <f t="shared" si="3"/>
        <v>246.7999188</v>
      </c>
      <c r="V80" s="4">
        <f t="shared" si="4"/>
        <v>63.77667966</v>
      </c>
      <c r="W80" s="4">
        <f t="shared" si="5"/>
        <v>42.73646689</v>
      </c>
      <c r="X80" s="4">
        <f t="shared" si="6"/>
        <v>39.7999188</v>
      </c>
    </row>
    <row r="81">
      <c r="A81" s="3">
        <v>40707.0</v>
      </c>
      <c r="B81" s="2">
        <v>173.0</v>
      </c>
      <c r="C81" s="2">
        <v>173.0</v>
      </c>
      <c r="D81" s="2">
        <v>959.0</v>
      </c>
      <c r="E81" s="2">
        <v>507.0</v>
      </c>
      <c r="F81" s="2">
        <v>446.0</v>
      </c>
      <c r="G81" s="2">
        <v>1.0</v>
      </c>
      <c r="H81" s="2">
        <v>113.0</v>
      </c>
      <c r="I81" s="2">
        <v>437.0</v>
      </c>
      <c r="J81" s="2">
        <v>243.0</v>
      </c>
      <c r="K81" s="2">
        <v>448.0</v>
      </c>
      <c r="L81" s="4">
        <f t="shared" si="7"/>
        <v>213</v>
      </c>
      <c r="M81" s="4">
        <f t="shared" si="8"/>
        <v>-40</v>
      </c>
      <c r="N81" s="4">
        <f t="shared" si="9"/>
        <v>40</v>
      </c>
      <c r="O81" s="4">
        <f t="shared" si="1"/>
        <v>264.3990117</v>
      </c>
      <c r="P81" s="4">
        <f t="shared" si="2"/>
        <v>236.9155268</v>
      </c>
      <c r="Q81" s="4">
        <f t="shared" si="3"/>
        <v>226.8999594</v>
      </c>
      <c r="V81" s="4">
        <f t="shared" si="4"/>
        <v>91.39901169</v>
      </c>
      <c r="W81" s="4">
        <f t="shared" si="5"/>
        <v>63.91552682</v>
      </c>
      <c r="X81" s="4">
        <f t="shared" si="6"/>
        <v>53.8999594</v>
      </c>
    </row>
    <row r="82">
      <c r="A82" s="3">
        <v>40714.0</v>
      </c>
      <c r="B82" s="2">
        <v>143.0</v>
      </c>
      <c r="C82" s="2">
        <v>143.0</v>
      </c>
      <c r="D82" s="2">
        <v>841.0</v>
      </c>
      <c r="E82" s="2">
        <v>598.0</v>
      </c>
      <c r="F82" s="2">
        <v>270.0</v>
      </c>
      <c r="G82" s="2">
        <v>6.0</v>
      </c>
      <c r="H82" s="2">
        <v>60.0</v>
      </c>
      <c r="I82" s="2">
        <v>345.0</v>
      </c>
      <c r="J82" s="2">
        <v>611.0</v>
      </c>
      <c r="K82" s="2">
        <v>238.0</v>
      </c>
      <c r="L82" s="4">
        <f t="shared" si="7"/>
        <v>214.3333333</v>
      </c>
      <c r="M82" s="4">
        <f t="shared" si="8"/>
        <v>-71.33333333</v>
      </c>
      <c r="N82" s="4">
        <f t="shared" si="9"/>
        <v>71.33333333</v>
      </c>
      <c r="O82" s="4">
        <f t="shared" si="1"/>
        <v>255.2591105</v>
      </c>
      <c r="P82" s="4">
        <f t="shared" si="2"/>
        <v>217.7408688</v>
      </c>
      <c r="Q82" s="4">
        <f t="shared" si="3"/>
        <v>199.9499797</v>
      </c>
      <c r="V82" s="4">
        <f t="shared" si="4"/>
        <v>112.2591105</v>
      </c>
      <c r="W82" s="4">
        <f t="shared" si="5"/>
        <v>74.74086878</v>
      </c>
      <c r="X82" s="4">
        <f t="shared" si="6"/>
        <v>56.9499797</v>
      </c>
    </row>
    <row r="83">
      <c r="A83" s="3">
        <v>40721.0</v>
      </c>
      <c r="B83" s="2">
        <v>79.0</v>
      </c>
      <c r="C83" s="2">
        <v>79.0</v>
      </c>
      <c r="D83" s="2">
        <v>815.0</v>
      </c>
      <c r="E83" s="2">
        <v>276.0</v>
      </c>
      <c r="F83" s="2">
        <v>292.0</v>
      </c>
      <c r="G83" s="2">
        <v>365.0</v>
      </c>
      <c r="H83" s="2">
        <v>113.0</v>
      </c>
      <c r="I83" s="2">
        <v>430.0</v>
      </c>
      <c r="J83" s="2">
        <v>456.0</v>
      </c>
      <c r="K83" s="2">
        <v>303.0</v>
      </c>
      <c r="L83" s="4">
        <f t="shared" si="7"/>
        <v>174.3333333</v>
      </c>
      <c r="M83" s="4">
        <f t="shared" si="8"/>
        <v>-95.33333333</v>
      </c>
      <c r="N83" s="4">
        <f t="shared" si="9"/>
        <v>95.33333333</v>
      </c>
      <c r="O83" s="4">
        <f t="shared" si="1"/>
        <v>244.0331995</v>
      </c>
      <c r="P83" s="4">
        <f t="shared" si="2"/>
        <v>195.3186081</v>
      </c>
      <c r="Q83" s="4">
        <f t="shared" si="3"/>
        <v>171.4749898</v>
      </c>
      <c r="V83" s="4">
        <f t="shared" si="4"/>
        <v>165.0331995</v>
      </c>
      <c r="W83" s="4">
        <f t="shared" si="5"/>
        <v>116.3186081</v>
      </c>
      <c r="X83" s="4">
        <f t="shared" si="6"/>
        <v>92.47498985</v>
      </c>
    </row>
    <row r="84">
      <c r="A84" s="3">
        <v>40728.0</v>
      </c>
      <c r="B84" s="2">
        <v>131.0</v>
      </c>
      <c r="C84" s="2">
        <v>131.0</v>
      </c>
      <c r="D84" s="2">
        <v>1364.0</v>
      </c>
      <c r="E84" s="2">
        <v>901.0</v>
      </c>
      <c r="F84" s="2">
        <v>460.0</v>
      </c>
      <c r="G84" s="2">
        <v>18.0</v>
      </c>
      <c r="H84" s="2">
        <v>23.0</v>
      </c>
      <c r="I84" s="2">
        <v>636.0</v>
      </c>
      <c r="J84" s="2">
        <v>452.0</v>
      </c>
      <c r="K84" s="2">
        <v>440.0</v>
      </c>
      <c r="L84" s="4">
        <f t="shared" si="7"/>
        <v>131.6666667</v>
      </c>
      <c r="M84" s="4">
        <f t="shared" si="8"/>
        <v>-0.6666666667</v>
      </c>
      <c r="N84" s="4">
        <f t="shared" si="9"/>
        <v>0.6666666667</v>
      </c>
      <c r="O84" s="4">
        <f t="shared" si="1"/>
        <v>227.5298795</v>
      </c>
      <c r="P84" s="4">
        <f t="shared" si="2"/>
        <v>160.4230257</v>
      </c>
      <c r="Q84" s="4">
        <f t="shared" si="3"/>
        <v>125.2374949</v>
      </c>
      <c r="V84" s="4">
        <f t="shared" si="4"/>
        <v>96.52987952</v>
      </c>
      <c r="W84" s="4">
        <f t="shared" si="5"/>
        <v>29.4230257</v>
      </c>
      <c r="X84" s="4">
        <f t="shared" si="6"/>
        <v>5.762505075</v>
      </c>
    </row>
    <row r="85">
      <c r="A85" s="3">
        <v>40735.0</v>
      </c>
      <c r="B85" s="2">
        <v>292.0</v>
      </c>
      <c r="C85" s="2">
        <v>292.0</v>
      </c>
      <c r="D85" s="2">
        <v>421.0</v>
      </c>
      <c r="E85" s="2">
        <v>354.0</v>
      </c>
      <c r="F85" s="2">
        <v>372.0</v>
      </c>
      <c r="G85" s="2">
        <v>10.0</v>
      </c>
      <c r="H85" s="2">
        <v>33.0</v>
      </c>
      <c r="I85" s="2">
        <v>157.0</v>
      </c>
      <c r="J85" s="2">
        <v>315.0</v>
      </c>
      <c r="K85" s="2">
        <v>231.0</v>
      </c>
      <c r="L85" s="4">
        <f t="shared" si="7"/>
        <v>117.6666667</v>
      </c>
      <c r="M85" s="4">
        <f t="shared" si="8"/>
        <v>174.3333333</v>
      </c>
      <c r="N85" s="4">
        <f t="shared" si="9"/>
        <v>174.3333333</v>
      </c>
      <c r="O85" s="4">
        <f t="shared" si="1"/>
        <v>217.8768916</v>
      </c>
      <c r="P85" s="4">
        <f t="shared" si="2"/>
        <v>151.596118</v>
      </c>
      <c r="Q85" s="4">
        <f t="shared" si="3"/>
        <v>128.1187475</v>
      </c>
      <c r="V85" s="4">
        <f t="shared" si="4"/>
        <v>74.12310843</v>
      </c>
      <c r="W85" s="4">
        <f t="shared" si="5"/>
        <v>140.403882</v>
      </c>
      <c r="X85" s="4">
        <f t="shared" si="6"/>
        <v>163.8812525</v>
      </c>
    </row>
    <row r="86">
      <c r="A86" s="3">
        <v>40742.0</v>
      </c>
      <c r="B86" s="2">
        <v>340.0</v>
      </c>
      <c r="C86" s="2">
        <v>340.0</v>
      </c>
      <c r="D86" s="2">
        <v>732.0</v>
      </c>
      <c r="E86" s="2">
        <v>927.0</v>
      </c>
      <c r="F86" s="2">
        <v>519.0</v>
      </c>
      <c r="G86" s="2">
        <v>32.0</v>
      </c>
      <c r="H86" s="2">
        <v>133.0</v>
      </c>
      <c r="I86" s="2">
        <v>621.0</v>
      </c>
      <c r="J86" s="2">
        <v>307.0</v>
      </c>
      <c r="K86" s="2">
        <v>495.0</v>
      </c>
      <c r="L86" s="4">
        <f t="shared" si="7"/>
        <v>167.3333333</v>
      </c>
      <c r="M86" s="4">
        <f t="shared" si="8"/>
        <v>172.6666667</v>
      </c>
      <c r="N86" s="4">
        <f t="shared" si="9"/>
        <v>172.6666667</v>
      </c>
      <c r="O86" s="4">
        <f t="shared" si="1"/>
        <v>225.2892024</v>
      </c>
      <c r="P86" s="4">
        <f t="shared" si="2"/>
        <v>193.7172826</v>
      </c>
      <c r="Q86" s="4">
        <f t="shared" si="3"/>
        <v>210.0593737</v>
      </c>
      <c r="V86" s="4">
        <f t="shared" si="4"/>
        <v>114.7107976</v>
      </c>
      <c r="W86" s="4">
        <f t="shared" si="5"/>
        <v>146.2827174</v>
      </c>
      <c r="X86" s="4">
        <f t="shared" si="6"/>
        <v>129.9406263</v>
      </c>
    </row>
    <row r="87">
      <c r="A87" s="3">
        <v>40749.0</v>
      </c>
      <c r="B87" s="2">
        <v>341.0</v>
      </c>
      <c r="C87" s="2">
        <v>341.0</v>
      </c>
      <c r="D87" s="2">
        <v>440.0</v>
      </c>
      <c r="E87" s="2">
        <v>520.0</v>
      </c>
      <c r="F87" s="2">
        <v>478.0</v>
      </c>
      <c r="G87" s="2">
        <v>287.0</v>
      </c>
      <c r="H87" s="2">
        <v>651.0</v>
      </c>
      <c r="I87" s="2">
        <v>436.0</v>
      </c>
      <c r="J87" s="2">
        <v>403.0</v>
      </c>
      <c r="K87" s="2">
        <v>385.0</v>
      </c>
      <c r="L87" s="4">
        <f t="shared" si="7"/>
        <v>254.3333333</v>
      </c>
      <c r="M87" s="4">
        <f t="shared" si="8"/>
        <v>86.66666667</v>
      </c>
      <c r="N87" s="4">
        <f t="shared" si="9"/>
        <v>86.66666667</v>
      </c>
      <c r="O87" s="4">
        <f t="shared" si="1"/>
        <v>236.7602822</v>
      </c>
      <c r="P87" s="4">
        <f t="shared" si="2"/>
        <v>237.6020978</v>
      </c>
      <c r="Q87" s="4">
        <f t="shared" si="3"/>
        <v>275.0296869</v>
      </c>
      <c r="V87" s="4">
        <f t="shared" si="4"/>
        <v>104.2397178</v>
      </c>
      <c r="W87" s="4">
        <f t="shared" si="5"/>
        <v>103.3979022</v>
      </c>
      <c r="X87" s="4">
        <f t="shared" si="6"/>
        <v>65.97031313</v>
      </c>
    </row>
    <row r="88">
      <c r="A88" s="3">
        <v>40756.0</v>
      </c>
      <c r="B88" s="2">
        <v>148.0</v>
      </c>
      <c r="C88" s="2">
        <v>148.0</v>
      </c>
      <c r="D88" s="2">
        <v>1040.0</v>
      </c>
      <c r="E88" s="2">
        <v>423.0</v>
      </c>
      <c r="F88" s="2">
        <v>3800.0</v>
      </c>
      <c r="G88" s="2">
        <v>161.0</v>
      </c>
      <c r="H88" s="2">
        <v>87.0</v>
      </c>
      <c r="I88" s="2">
        <v>2178.0</v>
      </c>
      <c r="J88" s="2">
        <v>382.0</v>
      </c>
      <c r="K88" s="2">
        <v>603.0</v>
      </c>
      <c r="L88" s="4">
        <f t="shared" si="7"/>
        <v>324.3333333</v>
      </c>
      <c r="M88" s="4">
        <f t="shared" si="8"/>
        <v>-176.3333333</v>
      </c>
      <c r="N88" s="4">
        <f t="shared" si="9"/>
        <v>176.3333333</v>
      </c>
      <c r="O88" s="4">
        <f t="shared" si="1"/>
        <v>247.184254</v>
      </c>
      <c r="P88" s="4">
        <f t="shared" si="2"/>
        <v>268.6214685</v>
      </c>
      <c r="Q88" s="4">
        <f t="shared" si="3"/>
        <v>308.0148434</v>
      </c>
      <c r="V88" s="4">
        <f t="shared" si="4"/>
        <v>99.18425396</v>
      </c>
      <c r="W88" s="4">
        <f t="shared" si="5"/>
        <v>120.6214685</v>
      </c>
      <c r="X88" s="4">
        <f t="shared" si="6"/>
        <v>160.0148434</v>
      </c>
    </row>
    <row r="89">
      <c r="A89" s="3">
        <v>40763.0</v>
      </c>
      <c r="B89" s="2">
        <v>177.0</v>
      </c>
      <c r="C89" s="2">
        <v>177.0</v>
      </c>
      <c r="D89" s="2">
        <v>1373.0</v>
      </c>
      <c r="E89" s="2">
        <v>280.0</v>
      </c>
      <c r="F89" s="2">
        <v>1323.0</v>
      </c>
      <c r="G89" s="2">
        <v>22.0</v>
      </c>
      <c r="H89" s="2">
        <v>135.0</v>
      </c>
      <c r="I89" s="2">
        <v>1735.0</v>
      </c>
      <c r="J89" s="2">
        <v>551.0</v>
      </c>
      <c r="K89" s="2">
        <v>725.0</v>
      </c>
      <c r="L89" s="4">
        <f t="shared" si="7"/>
        <v>276.3333333</v>
      </c>
      <c r="M89" s="4">
        <f t="shared" si="8"/>
        <v>-99.33333333</v>
      </c>
      <c r="N89" s="4">
        <f t="shared" si="9"/>
        <v>99.33333333</v>
      </c>
      <c r="O89" s="4">
        <f t="shared" si="1"/>
        <v>237.2658286</v>
      </c>
      <c r="P89" s="4">
        <f t="shared" si="2"/>
        <v>232.4350279</v>
      </c>
      <c r="Q89" s="4">
        <f t="shared" si="3"/>
        <v>228.0074217</v>
      </c>
      <c r="V89" s="4">
        <f t="shared" si="4"/>
        <v>60.26582856</v>
      </c>
      <c r="W89" s="4">
        <f t="shared" si="5"/>
        <v>55.43502793</v>
      </c>
      <c r="X89" s="4">
        <f t="shared" si="6"/>
        <v>51.00742172</v>
      </c>
    </row>
    <row r="90">
      <c r="A90" s="3">
        <v>40770.0</v>
      </c>
      <c r="B90" s="2">
        <v>210.0</v>
      </c>
      <c r="C90" s="2">
        <v>210.0</v>
      </c>
      <c r="D90" s="2">
        <v>1356.0</v>
      </c>
      <c r="E90" s="2">
        <v>402.0</v>
      </c>
      <c r="F90" s="2">
        <v>556.0</v>
      </c>
      <c r="G90" s="2">
        <v>36.0</v>
      </c>
      <c r="H90" s="2">
        <v>62.0</v>
      </c>
      <c r="I90" s="2">
        <v>518.0</v>
      </c>
      <c r="J90" s="2">
        <v>586.0</v>
      </c>
      <c r="K90" s="2">
        <v>423.0</v>
      </c>
      <c r="L90" s="4">
        <f t="shared" si="7"/>
        <v>222</v>
      </c>
      <c r="M90" s="4">
        <f t="shared" si="8"/>
        <v>-12</v>
      </c>
      <c r="N90" s="4">
        <f t="shared" si="9"/>
        <v>12</v>
      </c>
      <c r="O90" s="4">
        <f t="shared" si="1"/>
        <v>231.2392457</v>
      </c>
      <c r="P90" s="4">
        <f t="shared" si="2"/>
        <v>215.8045196</v>
      </c>
      <c r="Q90" s="4">
        <f t="shared" si="3"/>
        <v>202.5037109</v>
      </c>
      <c r="V90" s="4">
        <f t="shared" si="4"/>
        <v>21.2392457</v>
      </c>
      <c r="W90" s="4">
        <f t="shared" si="5"/>
        <v>5.804519551</v>
      </c>
      <c r="X90" s="4">
        <f t="shared" si="6"/>
        <v>7.496289142</v>
      </c>
    </row>
    <row r="91">
      <c r="A91" s="3">
        <v>40777.0</v>
      </c>
      <c r="B91" s="2">
        <v>241.0</v>
      </c>
      <c r="C91" s="2">
        <v>241.0</v>
      </c>
      <c r="D91" s="2">
        <v>1518.0</v>
      </c>
      <c r="E91" s="2">
        <v>470.0</v>
      </c>
      <c r="F91" s="2">
        <v>850.0</v>
      </c>
      <c r="G91" s="2">
        <v>28.0</v>
      </c>
      <c r="H91" s="2">
        <v>110.0</v>
      </c>
      <c r="I91" s="2">
        <v>826.0</v>
      </c>
      <c r="J91" s="2">
        <v>619.0</v>
      </c>
      <c r="K91" s="2">
        <v>340.0</v>
      </c>
      <c r="L91" s="4">
        <f t="shared" si="7"/>
        <v>178.3333333</v>
      </c>
      <c r="M91" s="4">
        <f t="shared" si="8"/>
        <v>62.66666667</v>
      </c>
      <c r="N91" s="4">
        <f t="shared" si="9"/>
        <v>62.66666667</v>
      </c>
      <c r="O91" s="4">
        <f t="shared" si="1"/>
        <v>229.1153211</v>
      </c>
      <c r="P91" s="4">
        <f t="shared" si="2"/>
        <v>214.0631637</v>
      </c>
      <c r="Q91" s="4">
        <f t="shared" si="3"/>
        <v>206.2518554</v>
      </c>
      <c r="V91" s="4">
        <f t="shared" si="4"/>
        <v>11.88467887</v>
      </c>
      <c r="W91" s="4">
        <f t="shared" si="5"/>
        <v>26.93683631</v>
      </c>
      <c r="X91" s="4">
        <f t="shared" si="6"/>
        <v>34.74814457</v>
      </c>
    </row>
    <row r="92">
      <c r="A92" s="3">
        <v>40784.0</v>
      </c>
      <c r="B92" s="2">
        <v>146.0</v>
      </c>
      <c r="C92" s="2">
        <v>146.0</v>
      </c>
      <c r="D92" s="2">
        <v>717.0</v>
      </c>
      <c r="E92" s="2">
        <v>207.0</v>
      </c>
      <c r="F92" s="2">
        <v>216.0</v>
      </c>
      <c r="G92" s="2">
        <v>192.0</v>
      </c>
      <c r="H92" s="2">
        <v>210.0</v>
      </c>
      <c r="I92" s="2">
        <v>956.0</v>
      </c>
      <c r="J92" s="2">
        <v>248.0</v>
      </c>
      <c r="K92" s="2">
        <v>202.0</v>
      </c>
      <c r="L92" s="4">
        <f t="shared" si="7"/>
        <v>209.3333333</v>
      </c>
      <c r="M92" s="4">
        <f t="shared" si="8"/>
        <v>-63.33333333</v>
      </c>
      <c r="N92" s="4">
        <f t="shared" si="9"/>
        <v>63.33333333</v>
      </c>
      <c r="O92" s="4">
        <f t="shared" si="1"/>
        <v>230.303789</v>
      </c>
      <c r="P92" s="4">
        <f t="shared" si="2"/>
        <v>222.1442146</v>
      </c>
      <c r="Q92" s="4">
        <f t="shared" si="3"/>
        <v>223.6259277</v>
      </c>
      <c r="V92" s="4">
        <f t="shared" si="4"/>
        <v>84.30378902</v>
      </c>
      <c r="W92" s="4">
        <f t="shared" si="5"/>
        <v>76.14421458</v>
      </c>
      <c r="X92" s="4">
        <f t="shared" si="6"/>
        <v>77.62592771</v>
      </c>
    </row>
    <row r="93">
      <c r="A93" s="3">
        <v>40791.0</v>
      </c>
      <c r="B93" s="2">
        <v>149.0</v>
      </c>
      <c r="C93" s="2">
        <v>149.0</v>
      </c>
      <c r="D93" s="2">
        <v>556.0</v>
      </c>
      <c r="E93" s="2">
        <v>300.0</v>
      </c>
      <c r="F93" s="2">
        <v>488.0</v>
      </c>
      <c r="G93" s="2">
        <v>455.0</v>
      </c>
      <c r="H93" s="2">
        <v>70.0</v>
      </c>
      <c r="I93" s="2">
        <v>516.0</v>
      </c>
      <c r="J93" s="2">
        <v>657.0</v>
      </c>
      <c r="K93" s="2">
        <v>424.0</v>
      </c>
      <c r="L93" s="4">
        <f t="shared" si="7"/>
        <v>199</v>
      </c>
      <c r="M93" s="4">
        <f t="shared" si="8"/>
        <v>-50</v>
      </c>
      <c r="N93" s="4">
        <f t="shared" si="9"/>
        <v>50</v>
      </c>
      <c r="O93" s="4">
        <f t="shared" si="1"/>
        <v>221.8734101</v>
      </c>
      <c r="P93" s="4">
        <f t="shared" si="2"/>
        <v>199.3009502</v>
      </c>
      <c r="Q93" s="4">
        <f t="shared" si="3"/>
        <v>184.8129639</v>
      </c>
      <c r="V93" s="4">
        <f t="shared" si="4"/>
        <v>72.87341012</v>
      </c>
      <c r="W93" s="4">
        <f t="shared" si="5"/>
        <v>50.30095021</v>
      </c>
      <c r="X93" s="4">
        <f t="shared" si="6"/>
        <v>35.81296386</v>
      </c>
    </row>
    <row r="94">
      <c r="A94" s="3">
        <v>40798.0</v>
      </c>
      <c r="B94" s="2">
        <v>218.0</v>
      </c>
      <c r="C94" s="2">
        <v>218.0</v>
      </c>
      <c r="D94" s="2">
        <v>743.0</v>
      </c>
      <c r="E94" s="2">
        <v>334.0</v>
      </c>
      <c r="F94" s="2">
        <v>908.0</v>
      </c>
      <c r="G94" s="2">
        <v>561.0</v>
      </c>
      <c r="H94" s="2">
        <v>262.0</v>
      </c>
      <c r="I94" s="2">
        <v>570.0</v>
      </c>
      <c r="J94" s="2">
        <v>478.0</v>
      </c>
      <c r="K94" s="2">
        <v>329.0</v>
      </c>
      <c r="L94" s="4">
        <f t="shared" si="7"/>
        <v>178.6666667</v>
      </c>
      <c r="M94" s="4">
        <f t="shared" si="8"/>
        <v>39.33333333</v>
      </c>
      <c r="N94" s="4">
        <f t="shared" si="9"/>
        <v>39.33333333</v>
      </c>
      <c r="O94" s="4">
        <f t="shared" si="1"/>
        <v>214.5860691</v>
      </c>
      <c r="P94" s="4">
        <f t="shared" si="2"/>
        <v>184.2106651</v>
      </c>
      <c r="Q94" s="4">
        <f t="shared" si="3"/>
        <v>166.9064819</v>
      </c>
      <c r="V94" s="4">
        <f t="shared" si="4"/>
        <v>3.413930893</v>
      </c>
      <c r="W94" s="4">
        <f t="shared" si="5"/>
        <v>33.78933486</v>
      </c>
      <c r="X94" s="4">
        <f t="shared" si="6"/>
        <v>51.09351807</v>
      </c>
    </row>
    <row r="95">
      <c r="A95" s="3">
        <v>40805.0</v>
      </c>
      <c r="B95" s="2">
        <v>147.0</v>
      </c>
      <c r="C95" s="2">
        <v>147.0</v>
      </c>
      <c r="D95" s="2">
        <v>1667.0</v>
      </c>
      <c r="E95" s="2">
        <v>158.0</v>
      </c>
      <c r="F95" s="2">
        <v>677.0</v>
      </c>
      <c r="G95" s="2">
        <v>602.0</v>
      </c>
      <c r="H95" s="2">
        <v>28.0</v>
      </c>
      <c r="I95" s="2">
        <v>682.0</v>
      </c>
      <c r="J95" s="2">
        <v>809.0</v>
      </c>
      <c r="K95" s="2">
        <v>482.0</v>
      </c>
      <c r="L95" s="4">
        <f t="shared" si="7"/>
        <v>171</v>
      </c>
      <c r="M95" s="4">
        <f t="shared" si="8"/>
        <v>-24</v>
      </c>
      <c r="N95" s="4">
        <f t="shared" si="9"/>
        <v>24</v>
      </c>
      <c r="O95" s="4">
        <f t="shared" si="1"/>
        <v>214.9274622</v>
      </c>
      <c r="P95" s="4">
        <f t="shared" si="2"/>
        <v>194.3474656</v>
      </c>
      <c r="Q95" s="4">
        <f t="shared" si="3"/>
        <v>192.453241</v>
      </c>
      <c r="V95" s="4">
        <f t="shared" si="4"/>
        <v>67.9274622</v>
      </c>
      <c r="W95" s="4">
        <f t="shared" si="5"/>
        <v>47.3474656</v>
      </c>
      <c r="X95" s="4">
        <f t="shared" si="6"/>
        <v>45.45324096</v>
      </c>
    </row>
    <row r="96">
      <c r="A96" s="3">
        <v>40812.0</v>
      </c>
      <c r="B96" s="2">
        <v>148.0</v>
      </c>
      <c r="C96" s="2">
        <v>148.0</v>
      </c>
      <c r="D96" s="2">
        <v>929.0</v>
      </c>
      <c r="E96" s="2">
        <v>209.0</v>
      </c>
      <c r="F96" s="2">
        <v>799.0</v>
      </c>
      <c r="G96" s="2">
        <v>359.0</v>
      </c>
      <c r="H96" s="2">
        <v>162.0</v>
      </c>
      <c r="I96" s="2">
        <v>1675.0</v>
      </c>
      <c r="J96" s="2">
        <v>665.0</v>
      </c>
      <c r="K96" s="2">
        <v>318.0</v>
      </c>
      <c r="L96" s="4">
        <f t="shared" si="7"/>
        <v>171.3333333</v>
      </c>
      <c r="M96" s="4">
        <f t="shared" si="8"/>
        <v>-23.33333333</v>
      </c>
      <c r="N96" s="4">
        <f t="shared" si="9"/>
        <v>23.33333333</v>
      </c>
      <c r="O96" s="4">
        <f t="shared" si="1"/>
        <v>208.134716</v>
      </c>
      <c r="P96" s="4">
        <f t="shared" si="2"/>
        <v>180.1432259</v>
      </c>
      <c r="Q96" s="4">
        <f t="shared" si="3"/>
        <v>169.7266205</v>
      </c>
      <c r="V96" s="4">
        <f t="shared" si="4"/>
        <v>60.13471598</v>
      </c>
      <c r="W96" s="4">
        <f t="shared" si="5"/>
        <v>32.14322592</v>
      </c>
      <c r="X96" s="4">
        <f t="shared" si="6"/>
        <v>21.72662048</v>
      </c>
    </row>
    <row r="97">
      <c r="A97" s="3">
        <v>40819.0</v>
      </c>
      <c r="B97" s="2">
        <v>409.0</v>
      </c>
      <c r="C97" s="2">
        <v>409.0</v>
      </c>
      <c r="D97" s="2">
        <v>2569.0</v>
      </c>
      <c r="E97" s="2">
        <v>183.0</v>
      </c>
      <c r="F97" s="2">
        <v>589.0</v>
      </c>
      <c r="G97" s="2">
        <v>977.0</v>
      </c>
      <c r="H97" s="2">
        <v>51.0</v>
      </c>
      <c r="I97" s="2">
        <v>835.0</v>
      </c>
      <c r="J97" s="2">
        <v>1649.0</v>
      </c>
      <c r="K97" s="2">
        <v>322.0</v>
      </c>
      <c r="L97" s="4">
        <f t="shared" si="7"/>
        <v>171</v>
      </c>
      <c r="M97" s="4">
        <f t="shared" si="8"/>
        <v>238</v>
      </c>
      <c r="N97" s="4">
        <f t="shared" si="9"/>
        <v>238</v>
      </c>
      <c r="O97" s="4">
        <f t="shared" si="1"/>
        <v>202.1212444</v>
      </c>
      <c r="P97" s="4">
        <f t="shared" si="2"/>
        <v>170.5002581</v>
      </c>
      <c r="Q97" s="4">
        <f t="shared" si="3"/>
        <v>158.8633102</v>
      </c>
      <c r="V97" s="4">
        <f t="shared" si="4"/>
        <v>206.8787556</v>
      </c>
      <c r="W97" s="4">
        <f t="shared" si="5"/>
        <v>238.4997419</v>
      </c>
      <c r="X97" s="4">
        <f t="shared" si="6"/>
        <v>250.1366898</v>
      </c>
    </row>
    <row r="98">
      <c r="A98" s="3">
        <v>40826.0</v>
      </c>
      <c r="B98" s="2">
        <v>181.0</v>
      </c>
      <c r="C98" s="2">
        <v>181.0</v>
      </c>
      <c r="D98" s="2">
        <v>647.0</v>
      </c>
      <c r="E98" s="2">
        <v>106.0</v>
      </c>
      <c r="F98" s="2">
        <v>420.0</v>
      </c>
      <c r="G98" s="2">
        <v>739.0</v>
      </c>
      <c r="H98" s="2">
        <v>150.0</v>
      </c>
      <c r="I98" s="2">
        <v>884.0</v>
      </c>
      <c r="J98" s="2">
        <v>237.0</v>
      </c>
      <c r="K98" s="2">
        <v>443.0</v>
      </c>
      <c r="L98" s="4">
        <f t="shared" si="7"/>
        <v>234.6666667</v>
      </c>
      <c r="M98" s="4">
        <f t="shared" si="8"/>
        <v>-53.66666667</v>
      </c>
      <c r="N98" s="4">
        <f t="shared" si="9"/>
        <v>53.66666667</v>
      </c>
      <c r="O98" s="4">
        <f t="shared" si="1"/>
        <v>222.8091199</v>
      </c>
      <c r="P98" s="4">
        <f t="shared" si="2"/>
        <v>242.0501807</v>
      </c>
      <c r="Q98" s="4">
        <f t="shared" si="3"/>
        <v>283.9316551</v>
      </c>
      <c r="V98" s="4">
        <f t="shared" si="4"/>
        <v>41.80911994</v>
      </c>
      <c r="W98" s="4">
        <f t="shared" si="5"/>
        <v>61.0501807</v>
      </c>
      <c r="X98" s="4">
        <f t="shared" si="6"/>
        <v>102.9316551</v>
      </c>
    </row>
    <row r="99">
      <c r="A99" s="3">
        <v>40833.0</v>
      </c>
      <c r="B99" s="2">
        <v>268.0</v>
      </c>
      <c r="C99" s="2">
        <v>268.0</v>
      </c>
      <c r="D99" s="2">
        <v>1045.0</v>
      </c>
      <c r="E99" s="2">
        <v>211.0</v>
      </c>
      <c r="F99" s="2">
        <v>829.0</v>
      </c>
      <c r="G99" s="2">
        <v>756.0</v>
      </c>
      <c r="H99" s="2">
        <v>109.0</v>
      </c>
      <c r="I99" s="2">
        <v>1164.0</v>
      </c>
      <c r="J99" s="2">
        <v>334.0</v>
      </c>
      <c r="K99" s="2">
        <v>276.0</v>
      </c>
      <c r="L99" s="4">
        <f t="shared" si="7"/>
        <v>246</v>
      </c>
      <c r="M99" s="4">
        <f t="shared" si="8"/>
        <v>22</v>
      </c>
      <c r="N99" s="4">
        <f t="shared" si="9"/>
        <v>22</v>
      </c>
      <c r="O99" s="4">
        <f t="shared" si="1"/>
        <v>218.6282079</v>
      </c>
      <c r="P99" s="4">
        <f t="shared" si="2"/>
        <v>223.7351265</v>
      </c>
      <c r="Q99" s="4">
        <f t="shared" si="3"/>
        <v>232.4658276</v>
      </c>
      <c r="V99" s="4">
        <f t="shared" si="4"/>
        <v>49.37179205</v>
      </c>
      <c r="W99" s="4">
        <f t="shared" si="5"/>
        <v>44.26487351</v>
      </c>
      <c r="X99" s="4">
        <f t="shared" si="6"/>
        <v>35.53417244</v>
      </c>
    </row>
    <row r="100">
      <c r="A100" s="3">
        <v>40840.0</v>
      </c>
      <c r="B100" s="2">
        <v>135.0</v>
      </c>
      <c r="C100" s="2">
        <v>135.0</v>
      </c>
      <c r="D100" s="2">
        <v>500.0</v>
      </c>
      <c r="E100" s="2">
        <v>78.0</v>
      </c>
      <c r="F100" s="2">
        <v>778.0</v>
      </c>
      <c r="G100" s="2">
        <v>644.0</v>
      </c>
      <c r="H100" s="2">
        <v>431.0</v>
      </c>
      <c r="I100" s="2">
        <v>2775.0</v>
      </c>
      <c r="J100" s="2">
        <v>643.0</v>
      </c>
      <c r="K100" s="2">
        <v>314.0</v>
      </c>
      <c r="L100" s="4">
        <f t="shared" si="7"/>
        <v>286</v>
      </c>
      <c r="M100" s="4">
        <f t="shared" si="8"/>
        <v>-151</v>
      </c>
      <c r="N100" s="4">
        <f t="shared" si="9"/>
        <v>151</v>
      </c>
      <c r="O100" s="4">
        <f t="shared" si="1"/>
        <v>223.5653872</v>
      </c>
      <c r="P100" s="4">
        <f t="shared" si="2"/>
        <v>237.0145885</v>
      </c>
      <c r="Q100" s="4">
        <f t="shared" si="3"/>
        <v>250.2329138</v>
      </c>
      <c r="V100" s="4">
        <f t="shared" si="4"/>
        <v>88.56538715</v>
      </c>
      <c r="W100" s="4">
        <f t="shared" si="5"/>
        <v>102.0145885</v>
      </c>
      <c r="X100" s="4">
        <f t="shared" si="6"/>
        <v>115.2329138</v>
      </c>
    </row>
    <row r="101">
      <c r="A101" s="3">
        <v>40847.0</v>
      </c>
      <c r="B101" s="2">
        <v>279.0</v>
      </c>
      <c r="C101" s="2">
        <v>279.0</v>
      </c>
      <c r="D101" s="2">
        <v>1063.0</v>
      </c>
      <c r="E101" s="2">
        <v>102.0</v>
      </c>
      <c r="F101" s="2">
        <v>968.0</v>
      </c>
      <c r="G101" s="2">
        <v>1745.0</v>
      </c>
      <c r="H101" s="2">
        <v>166.0</v>
      </c>
      <c r="I101" s="2">
        <v>1156.0</v>
      </c>
      <c r="J101" s="2">
        <v>313.0</v>
      </c>
      <c r="K101" s="2">
        <v>223.0</v>
      </c>
      <c r="L101" s="4">
        <f t="shared" si="7"/>
        <v>194.6666667</v>
      </c>
      <c r="M101" s="4">
        <f t="shared" si="8"/>
        <v>84.33333333</v>
      </c>
      <c r="N101" s="4">
        <f t="shared" si="9"/>
        <v>84.33333333</v>
      </c>
      <c r="O101" s="4">
        <f t="shared" si="1"/>
        <v>214.7088484</v>
      </c>
      <c r="P101" s="4">
        <f t="shared" si="2"/>
        <v>206.410212</v>
      </c>
      <c r="Q101" s="4">
        <f t="shared" si="3"/>
        <v>192.6164569</v>
      </c>
      <c r="V101" s="4">
        <f t="shared" si="4"/>
        <v>64.29115156</v>
      </c>
      <c r="W101" s="4">
        <f t="shared" si="5"/>
        <v>72.58978802</v>
      </c>
      <c r="X101" s="4">
        <f t="shared" si="6"/>
        <v>86.38354311</v>
      </c>
    </row>
    <row r="102">
      <c r="A102" s="3">
        <v>40854.0</v>
      </c>
      <c r="B102" s="2">
        <v>167.0</v>
      </c>
      <c r="C102" s="2">
        <v>167.0</v>
      </c>
      <c r="D102" s="2">
        <v>2100.0</v>
      </c>
      <c r="E102" s="2">
        <v>135.0</v>
      </c>
      <c r="F102" s="2">
        <v>1748.0</v>
      </c>
      <c r="G102" s="2">
        <v>1436.0</v>
      </c>
      <c r="H102" s="2">
        <v>482.0</v>
      </c>
      <c r="I102" s="2">
        <v>3900.0</v>
      </c>
      <c r="J102" s="2">
        <v>416.0</v>
      </c>
      <c r="K102" s="2">
        <v>556.0</v>
      </c>
      <c r="L102" s="4">
        <f t="shared" si="7"/>
        <v>227.3333333</v>
      </c>
      <c r="M102" s="4">
        <f t="shared" si="8"/>
        <v>-60.33333333</v>
      </c>
      <c r="N102" s="4">
        <f t="shared" si="9"/>
        <v>60.33333333</v>
      </c>
      <c r="O102" s="4">
        <f t="shared" si="1"/>
        <v>221.1379636</v>
      </c>
      <c r="P102" s="4">
        <f t="shared" si="2"/>
        <v>228.1871484</v>
      </c>
      <c r="Q102" s="4">
        <f t="shared" si="3"/>
        <v>235.8082284</v>
      </c>
      <c r="V102" s="4">
        <f t="shared" si="4"/>
        <v>54.13796359</v>
      </c>
      <c r="W102" s="4">
        <f t="shared" si="5"/>
        <v>61.18714839</v>
      </c>
      <c r="X102" s="4">
        <f t="shared" si="6"/>
        <v>68.80822845</v>
      </c>
    </row>
    <row r="103">
      <c r="A103" s="3">
        <v>40861.0</v>
      </c>
      <c r="B103" s="2">
        <v>235.0</v>
      </c>
      <c r="C103" s="2">
        <v>235.0</v>
      </c>
      <c r="D103" s="2">
        <v>1602.0</v>
      </c>
      <c r="E103" s="2">
        <v>218.0</v>
      </c>
      <c r="F103" s="2">
        <v>1326.0</v>
      </c>
      <c r="G103" s="2">
        <v>2161.0</v>
      </c>
      <c r="H103" s="2">
        <v>389.0</v>
      </c>
      <c r="I103" s="2">
        <v>3145.0</v>
      </c>
      <c r="J103" s="2">
        <v>522.0</v>
      </c>
      <c r="K103" s="2">
        <v>650.0</v>
      </c>
      <c r="L103" s="4">
        <f t="shared" si="7"/>
        <v>193.6666667</v>
      </c>
      <c r="M103" s="4">
        <f t="shared" si="8"/>
        <v>41.33333333</v>
      </c>
      <c r="N103" s="4">
        <f t="shared" si="9"/>
        <v>41.33333333</v>
      </c>
      <c r="O103" s="4">
        <f t="shared" si="1"/>
        <v>215.7241672</v>
      </c>
      <c r="P103" s="4">
        <f t="shared" si="2"/>
        <v>209.8310039</v>
      </c>
      <c r="Q103" s="4">
        <f t="shared" si="3"/>
        <v>201.4041142</v>
      </c>
      <c r="V103" s="4">
        <f t="shared" si="4"/>
        <v>19.27583277</v>
      </c>
      <c r="W103" s="4">
        <f t="shared" si="5"/>
        <v>25.16899613</v>
      </c>
      <c r="X103" s="4">
        <f t="shared" si="6"/>
        <v>33.59588578</v>
      </c>
    </row>
    <row r="104">
      <c r="A104" s="3">
        <v>40868.0</v>
      </c>
      <c r="B104" s="2">
        <v>249.0</v>
      </c>
      <c r="C104" s="2">
        <v>249.0</v>
      </c>
      <c r="D104" s="2">
        <v>753.0</v>
      </c>
      <c r="E104" s="2">
        <v>455.0</v>
      </c>
      <c r="F104" s="2">
        <v>1037.0</v>
      </c>
      <c r="G104" s="2">
        <v>1692.0</v>
      </c>
      <c r="H104" s="2">
        <v>959.0</v>
      </c>
      <c r="I104" s="2">
        <v>2755.0</v>
      </c>
      <c r="J104" s="2">
        <v>253.0</v>
      </c>
      <c r="K104" s="2">
        <v>276.0</v>
      </c>
      <c r="L104" s="4">
        <f t="shared" si="7"/>
        <v>227</v>
      </c>
      <c r="M104" s="4">
        <f t="shared" si="8"/>
        <v>22</v>
      </c>
      <c r="N104" s="4">
        <f t="shared" si="9"/>
        <v>22</v>
      </c>
      <c r="O104" s="4">
        <f t="shared" si="1"/>
        <v>217.6517505</v>
      </c>
      <c r="P104" s="4">
        <f t="shared" si="2"/>
        <v>217.3817027</v>
      </c>
      <c r="Q104" s="4">
        <f t="shared" si="3"/>
        <v>218.2020571</v>
      </c>
      <c r="V104" s="4">
        <f t="shared" si="4"/>
        <v>31.34824949</v>
      </c>
      <c r="W104" s="4">
        <f t="shared" si="5"/>
        <v>31.61829729</v>
      </c>
      <c r="X104" s="4">
        <f t="shared" si="6"/>
        <v>30.79794289</v>
      </c>
    </row>
    <row r="105">
      <c r="A105" s="3">
        <v>40875.0</v>
      </c>
      <c r="B105" s="2">
        <v>226.0</v>
      </c>
      <c r="C105" s="2">
        <v>226.0</v>
      </c>
      <c r="D105" s="2">
        <v>1040.0</v>
      </c>
      <c r="E105" s="2">
        <v>105.0</v>
      </c>
      <c r="F105" s="2">
        <v>953.0</v>
      </c>
      <c r="G105" s="2">
        <v>1564.0</v>
      </c>
      <c r="H105" s="2">
        <v>314.0</v>
      </c>
      <c r="I105" s="2">
        <v>3275.0</v>
      </c>
      <c r="J105" s="2">
        <v>436.0</v>
      </c>
      <c r="K105" s="2">
        <v>331.0</v>
      </c>
      <c r="L105" s="4">
        <f t="shared" si="7"/>
        <v>217</v>
      </c>
      <c r="M105" s="4">
        <f t="shared" si="8"/>
        <v>9</v>
      </c>
      <c r="N105" s="4">
        <f t="shared" si="9"/>
        <v>9</v>
      </c>
      <c r="O105" s="4">
        <f t="shared" si="1"/>
        <v>220.7865755</v>
      </c>
      <c r="P105" s="4">
        <f t="shared" si="2"/>
        <v>226.8671919</v>
      </c>
      <c r="Q105" s="4">
        <f t="shared" si="3"/>
        <v>233.6010286</v>
      </c>
      <c r="V105" s="4">
        <f t="shared" si="4"/>
        <v>5.213424541</v>
      </c>
      <c r="W105" s="4">
        <f t="shared" si="5"/>
        <v>0.8671918965</v>
      </c>
      <c r="X105" s="4">
        <f t="shared" si="6"/>
        <v>7.601028556</v>
      </c>
    </row>
    <row r="106">
      <c r="T106" s="1" t="s">
        <v>21</v>
      </c>
      <c r="U106" s="5">
        <f>AVERAGE(N94:N105)</f>
        <v>64.02777778</v>
      </c>
    </row>
    <row r="107">
      <c r="T107" s="1" t="s">
        <v>22</v>
      </c>
      <c r="U107" s="5">
        <f>AVERAGE(V94:V105)</f>
        <v>57.69731548</v>
      </c>
    </row>
    <row r="108">
      <c r="T108" s="1" t="s">
        <v>23</v>
      </c>
      <c r="U108" s="5">
        <f>AVERAGE(W94:W105)</f>
        <v>62.54506939</v>
      </c>
    </row>
    <row r="109">
      <c r="T109" s="1" t="s">
        <v>24</v>
      </c>
      <c r="U109" s="5">
        <f>AVERAGE(X94:X105)</f>
        <v>70.77461995</v>
      </c>
    </row>
    <row r="111">
      <c r="V111" s="1" t="s">
        <v>25</v>
      </c>
      <c r="W111" s="1" t="s">
        <v>26</v>
      </c>
    </row>
    <row r="112">
      <c r="V112" s="4">
        <f>AVERAGE(C2:C105)</f>
        <v>244.3557692</v>
      </c>
      <c r="W112" s="4">
        <f>STDEV(C2:C105)</f>
        <v>178.3368645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0.1</v>
      </c>
      <c r="V1" s="1" t="s">
        <v>18</v>
      </c>
      <c r="W1" s="1" t="s">
        <v>19</v>
      </c>
      <c r="X1" s="1" t="s">
        <v>20</v>
      </c>
    </row>
    <row r="2">
      <c r="A2" s="3">
        <v>40154.0</v>
      </c>
      <c r="B2" s="2">
        <v>0.0</v>
      </c>
      <c r="C2" s="2">
        <v>175.0</v>
      </c>
      <c r="D2" s="2">
        <v>1233.0</v>
      </c>
      <c r="E2" s="2">
        <v>19.0</v>
      </c>
      <c r="F2" s="2">
        <v>1213.0</v>
      </c>
      <c r="G2" s="2">
        <v>663.0</v>
      </c>
      <c r="H2" s="2">
        <v>175.0</v>
      </c>
      <c r="I2" s="2">
        <v>153.0</v>
      </c>
      <c r="J2" s="2">
        <v>0.0</v>
      </c>
      <c r="K2" s="2">
        <v>324.0</v>
      </c>
      <c r="O2" s="4">
        <f>(C2)</f>
        <v>175</v>
      </c>
      <c r="P2" s="4">
        <f>(C2)</f>
        <v>175</v>
      </c>
      <c r="Q2" s="4">
        <f>(C2)</f>
        <v>175</v>
      </c>
      <c r="S2" s="2">
        <v>0.3</v>
      </c>
    </row>
    <row r="3">
      <c r="A3" s="3">
        <v>40161.0</v>
      </c>
      <c r="B3" s="2">
        <v>0.0</v>
      </c>
      <c r="C3" s="2">
        <v>173.0</v>
      </c>
      <c r="D3" s="2">
        <v>1304.0</v>
      </c>
      <c r="E3" s="2">
        <v>52.0</v>
      </c>
      <c r="F3" s="2">
        <v>1324.0</v>
      </c>
      <c r="G3" s="2">
        <v>572.0</v>
      </c>
      <c r="H3" s="2">
        <v>173.0</v>
      </c>
      <c r="I3" s="2">
        <v>644.0</v>
      </c>
      <c r="J3" s="2">
        <v>0.0</v>
      </c>
      <c r="K3" s="2">
        <v>236.0</v>
      </c>
      <c r="O3" s="4">
        <f t="shared" ref="O3:O105" si="1">($S$1*C2+(1-$S$1)*O2)</f>
        <v>175</v>
      </c>
      <c r="P3" s="4">
        <f t="shared" ref="P3:P105" si="2">($S$2*C2+(1-$S$2)*P2)</f>
        <v>175</v>
      </c>
      <c r="Q3" s="4">
        <f t="shared" ref="Q3:Q105" si="3">($S$3*C2+(1-$S$3)*Q2)</f>
        <v>175</v>
      </c>
      <c r="S3" s="2">
        <v>0.5</v>
      </c>
      <c r="V3" s="4">
        <f t="shared" ref="V3:V105" si="4">ABS(C3-O3)</f>
        <v>2</v>
      </c>
      <c r="W3" s="4">
        <f t="shared" ref="W3:W105" si="5">ABS(C3-P3)</f>
        <v>2</v>
      </c>
      <c r="X3" s="4">
        <f t="shared" ref="X3:X105" si="6">ABS(C3-Q3)</f>
        <v>2</v>
      </c>
    </row>
    <row r="4">
      <c r="A4" s="3">
        <v>40168.0</v>
      </c>
      <c r="B4" s="2">
        <v>0.0</v>
      </c>
      <c r="C4" s="2">
        <v>19.0</v>
      </c>
      <c r="D4" s="2">
        <v>36.0</v>
      </c>
      <c r="E4" s="2">
        <v>1.0</v>
      </c>
      <c r="F4" s="2">
        <v>82.0</v>
      </c>
      <c r="G4" s="2">
        <v>69.0</v>
      </c>
      <c r="H4" s="2">
        <v>19.0</v>
      </c>
      <c r="I4" s="2">
        <v>2.0</v>
      </c>
      <c r="J4" s="2">
        <v>0.0</v>
      </c>
      <c r="K4" s="2">
        <v>111.0</v>
      </c>
      <c r="O4" s="4">
        <f t="shared" si="1"/>
        <v>174.8</v>
      </c>
      <c r="P4" s="4">
        <f t="shared" si="2"/>
        <v>174.4</v>
      </c>
      <c r="Q4" s="4">
        <f t="shared" si="3"/>
        <v>174</v>
      </c>
      <c r="V4" s="4">
        <f t="shared" si="4"/>
        <v>155.8</v>
      </c>
      <c r="W4" s="4">
        <f t="shared" si="5"/>
        <v>155.4</v>
      </c>
      <c r="X4" s="4">
        <f t="shared" si="6"/>
        <v>155</v>
      </c>
    </row>
    <row r="5">
      <c r="A5" s="3">
        <v>40175.0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f t="shared" ref="L5:L105" si="7">AVERAGE(C2:C4)</f>
        <v>122.3333333</v>
      </c>
      <c r="M5" s="4">
        <f t="shared" ref="M5:M105" si="8">(C5-L5)</f>
        <v>-122.3333333</v>
      </c>
      <c r="N5" s="4">
        <f t="shared" ref="N5:N105" si="9">ABS(M5)</f>
        <v>122.3333333</v>
      </c>
      <c r="O5" s="4">
        <f t="shared" si="1"/>
        <v>159.22</v>
      </c>
      <c r="P5" s="4">
        <f t="shared" si="2"/>
        <v>127.78</v>
      </c>
      <c r="Q5" s="4">
        <f t="shared" si="3"/>
        <v>96.5</v>
      </c>
      <c r="V5" s="4">
        <f t="shared" si="4"/>
        <v>159.22</v>
      </c>
      <c r="W5" s="4">
        <f t="shared" si="5"/>
        <v>127.78</v>
      </c>
      <c r="X5" s="4">
        <f t="shared" si="6"/>
        <v>96.5</v>
      </c>
    </row>
    <row r="6">
      <c r="A6" s="3">
        <v>40182.0</v>
      </c>
      <c r="B6" s="2">
        <v>0.0</v>
      </c>
      <c r="C6" s="2">
        <v>17.0</v>
      </c>
      <c r="D6" s="2">
        <v>1152.0</v>
      </c>
      <c r="E6" s="2">
        <v>47.0</v>
      </c>
      <c r="F6" s="2">
        <v>168.0</v>
      </c>
      <c r="G6" s="2">
        <v>0.0</v>
      </c>
      <c r="H6" s="2">
        <v>17.0</v>
      </c>
      <c r="I6" s="2">
        <v>21.0</v>
      </c>
      <c r="J6" s="2">
        <v>0.0</v>
      </c>
      <c r="K6" s="2">
        <v>324.0</v>
      </c>
      <c r="L6" s="4">
        <f t="shared" si="7"/>
        <v>64</v>
      </c>
      <c r="M6" s="4">
        <f t="shared" si="8"/>
        <v>-47</v>
      </c>
      <c r="N6" s="4">
        <f t="shared" si="9"/>
        <v>47</v>
      </c>
      <c r="O6" s="4">
        <f t="shared" si="1"/>
        <v>143.298</v>
      </c>
      <c r="P6" s="4">
        <f t="shared" si="2"/>
        <v>89.446</v>
      </c>
      <c r="Q6" s="4">
        <f t="shared" si="3"/>
        <v>48.25</v>
      </c>
      <c r="V6" s="4">
        <f t="shared" si="4"/>
        <v>126.298</v>
      </c>
      <c r="W6" s="4">
        <f t="shared" si="5"/>
        <v>72.446</v>
      </c>
      <c r="X6" s="4">
        <f t="shared" si="6"/>
        <v>31.25</v>
      </c>
    </row>
    <row r="7">
      <c r="A7" s="3">
        <v>40189.0</v>
      </c>
      <c r="B7" s="2">
        <v>0.0</v>
      </c>
      <c r="C7" s="2">
        <v>23.0</v>
      </c>
      <c r="D7" s="2">
        <v>928.0</v>
      </c>
      <c r="E7" s="2">
        <v>64.0</v>
      </c>
      <c r="F7" s="2">
        <v>233.0</v>
      </c>
      <c r="G7" s="2">
        <v>20.0</v>
      </c>
      <c r="H7" s="2">
        <v>23.0</v>
      </c>
      <c r="I7" s="2">
        <v>72.0</v>
      </c>
      <c r="J7" s="2">
        <v>0.0</v>
      </c>
      <c r="K7" s="2">
        <v>190.0</v>
      </c>
      <c r="L7" s="4">
        <f t="shared" si="7"/>
        <v>12</v>
      </c>
      <c r="M7" s="4">
        <f t="shared" si="8"/>
        <v>11</v>
      </c>
      <c r="N7" s="4">
        <f t="shared" si="9"/>
        <v>11</v>
      </c>
      <c r="O7" s="4">
        <f t="shared" si="1"/>
        <v>130.6682</v>
      </c>
      <c r="P7" s="4">
        <f t="shared" si="2"/>
        <v>67.7122</v>
      </c>
      <c r="Q7" s="4">
        <f t="shared" si="3"/>
        <v>32.625</v>
      </c>
      <c r="V7" s="4">
        <f t="shared" si="4"/>
        <v>107.6682</v>
      </c>
      <c r="W7" s="4">
        <f t="shared" si="5"/>
        <v>44.7122</v>
      </c>
      <c r="X7" s="4">
        <f t="shared" si="6"/>
        <v>9.625</v>
      </c>
    </row>
    <row r="8">
      <c r="A8" s="3">
        <v>40196.0</v>
      </c>
      <c r="B8" s="2">
        <v>0.0</v>
      </c>
      <c r="C8" s="2">
        <v>0.0</v>
      </c>
      <c r="D8" s="2">
        <v>627.0</v>
      </c>
      <c r="E8" s="2">
        <v>49.0</v>
      </c>
      <c r="F8" s="2">
        <v>897.0</v>
      </c>
      <c r="G8" s="2">
        <v>3.0</v>
      </c>
      <c r="H8" s="2">
        <v>0.0</v>
      </c>
      <c r="I8" s="2">
        <v>23.0</v>
      </c>
      <c r="J8" s="2">
        <v>0.0</v>
      </c>
      <c r="K8" s="2">
        <v>479.0</v>
      </c>
      <c r="L8" s="4">
        <f t="shared" si="7"/>
        <v>13.33333333</v>
      </c>
      <c r="M8" s="4">
        <f t="shared" si="8"/>
        <v>-13.33333333</v>
      </c>
      <c r="N8" s="4">
        <f t="shared" si="9"/>
        <v>13.33333333</v>
      </c>
      <c r="O8" s="4">
        <f t="shared" si="1"/>
        <v>119.90138</v>
      </c>
      <c r="P8" s="4">
        <f t="shared" si="2"/>
        <v>54.29854</v>
      </c>
      <c r="Q8" s="4">
        <f t="shared" si="3"/>
        <v>27.8125</v>
      </c>
      <c r="V8" s="4">
        <f t="shared" si="4"/>
        <v>119.90138</v>
      </c>
      <c r="W8" s="4">
        <f t="shared" si="5"/>
        <v>54.29854</v>
      </c>
      <c r="X8" s="4">
        <f t="shared" si="6"/>
        <v>27.8125</v>
      </c>
    </row>
    <row r="9">
      <c r="A9" s="3">
        <v>40203.0</v>
      </c>
      <c r="B9" s="2">
        <v>0.0</v>
      </c>
      <c r="C9" s="2">
        <v>0.0</v>
      </c>
      <c r="D9" s="2">
        <v>864.0</v>
      </c>
      <c r="E9" s="2">
        <v>186.0</v>
      </c>
      <c r="F9" s="2">
        <v>211.0</v>
      </c>
      <c r="G9" s="2">
        <v>0.0</v>
      </c>
      <c r="H9" s="2">
        <v>0.0</v>
      </c>
      <c r="I9" s="2">
        <v>621.0</v>
      </c>
      <c r="J9" s="2">
        <v>114.0</v>
      </c>
      <c r="K9" s="2">
        <v>504.0</v>
      </c>
      <c r="L9" s="4">
        <f t="shared" si="7"/>
        <v>13.33333333</v>
      </c>
      <c r="M9" s="4">
        <f t="shared" si="8"/>
        <v>-13.33333333</v>
      </c>
      <c r="N9" s="4">
        <f t="shared" si="9"/>
        <v>13.33333333</v>
      </c>
      <c r="O9" s="4">
        <f t="shared" si="1"/>
        <v>107.911242</v>
      </c>
      <c r="P9" s="4">
        <f t="shared" si="2"/>
        <v>38.008978</v>
      </c>
      <c r="Q9" s="4">
        <f t="shared" si="3"/>
        <v>13.90625</v>
      </c>
      <c r="V9" s="4">
        <f t="shared" si="4"/>
        <v>107.911242</v>
      </c>
      <c r="W9" s="4">
        <f t="shared" si="5"/>
        <v>38.008978</v>
      </c>
      <c r="X9" s="4">
        <f t="shared" si="6"/>
        <v>13.90625</v>
      </c>
    </row>
    <row r="10">
      <c r="A10" s="3">
        <v>40210.0</v>
      </c>
      <c r="B10" s="2">
        <v>0.0</v>
      </c>
      <c r="C10" s="2">
        <v>24.0</v>
      </c>
      <c r="D10" s="2">
        <v>488.0</v>
      </c>
      <c r="E10" s="2">
        <v>53.0</v>
      </c>
      <c r="F10" s="2">
        <v>274.0</v>
      </c>
      <c r="G10" s="2">
        <v>0.0</v>
      </c>
      <c r="H10" s="2">
        <v>24.0</v>
      </c>
      <c r="I10" s="2">
        <v>81.0</v>
      </c>
      <c r="J10" s="2">
        <v>338.0</v>
      </c>
      <c r="K10" s="2">
        <v>326.0</v>
      </c>
      <c r="L10" s="4">
        <f t="shared" si="7"/>
        <v>7.666666667</v>
      </c>
      <c r="M10" s="4">
        <f t="shared" si="8"/>
        <v>16.33333333</v>
      </c>
      <c r="N10" s="4">
        <f t="shared" si="9"/>
        <v>16.33333333</v>
      </c>
      <c r="O10" s="4">
        <f t="shared" si="1"/>
        <v>97.1201178</v>
      </c>
      <c r="P10" s="4">
        <f t="shared" si="2"/>
        <v>26.6062846</v>
      </c>
      <c r="Q10" s="4">
        <f t="shared" si="3"/>
        <v>6.953125</v>
      </c>
      <c r="V10" s="4">
        <f t="shared" si="4"/>
        <v>73.1201178</v>
      </c>
      <c r="W10" s="4">
        <f t="shared" si="5"/>
        <v>2.6062846</v>
      </c>
      <c r="X10" s="4">
        <f t="shared" si="6"/>
        <v>17.046875</v>
      </c>
    </row>
    <row r="11">
      <c r="A11" s="3">
        <v>40217.0</v>
      </c>
      <c r="B11" s="2">
        <v>0.0</v>
      </c>
      <c r="C11" s="2">
        <v>0.0</v>
      </c>
      <c r="D11" s="2">
        <v>547.0</v>
      </c>
      <c r="E11" s="2">
        <v>51.0</v>
      </c>
      <c r="F11" s="2">
        <v>512.0</v>
      </c>
      <c r="G11" s="2">
        <v>0.0</v>
      </c>
      <c r="H11" s="2">
        <v>0.0</v>
      </c>
      <c r="I11" s="2">
        <v>68.0</v>
      </c>
      <c r="J11" s="2">
        <v>314.0</v>
      </c>
      <c r="K11" s="2">
        <v>213.0</v>
      </c>
      <c r="L11" s="4">
        <f t="shared" si="7"/>
        <v>8</v>
      </c>
      <c r="M11" s="4">
        <f t="shared" si="8"/>
        <v>-8</v>
      </c>
      <c r="N11" s="4">
        <f t="shared" si="9"/>
        <v>8</v>
      </c>
      <c r="O11" s="4">
        <f t="shared" si="1"/>
        <v>89.80810602</v>
      </c>
      <c r="P11" s="4">
        <f t="shared" si="2"/>
        <v>25.82439922</v>
      </c>
      <c r="Q11" s="4">
        <f t="shared" si="3"/>
        <v>15.4765625</v>
      </c>
      <c r="V11" s="4">
        <f t="shared" si="4"/>
        <v>89.80810602</v>
      </c>
      <c r="W11" s="4">
        <f t="shared" si="5"/>
        <v>25.82439922</v>
      </c>
      <c r="X11" s="4">
        <f t="shared" si="6"/>
        <v>15.4765625</v>
      </c>
    </row>
    <row r="12">
      <c r="A12" s="3">
        <v>40224.0</v>
      </c>
      <c r="B12" s="2">
        <v>0.0</v>
      </c>
      <c r="C12" s="2">
        <v>1.0</v>
      </c>
      <c r="D12" s="2">
        <v>1014.0</v>
      </c>
      <c r="E12" s="2">
        <v>159.0</v>
      </c>
      <c r="F12" s="2">
        <v>587.0</v>
      </c>
      <c r="G12" s="2">
        <v>0.0</v>
      </c>
      <c r="H12" s="2">
        <v>1.0</v>
      </c>
      <c r="I12" s="2">
        <v>19.0</v>
      </c>
      <c r="J12" s="2">
        <v>720.0</v>
      </c>
      <c r="K12" s="2">
        <v>442.0</v>
      </c>
      <c r="L12" s="4">
        <f t="shared" si="7"/>
        <v>8</v>
      </c>
      <c r="M12" s="4">
        <f t="shared" si="8"/>
        <v>-7</v>
      </c>
      <c r="N12" s="4">
        <f t="shared" si="9"/>
        <v>7</v>
      </c>
      <c r="O12" s="4">
        <f t="shared" si="1"/>
        <v>80.82729542</v>
      </c>
      <c r="P12" s="4">
        <f t="shared" si="2"/>
        <v>18.07707945</v>
      </c>
      <c r="Q12" s="4">
        <f t="shared" si="3"/>
        <v>7.73828125</v>
      </c>
      <c r="V12" s="4">
        <f t="shared" si="4"/>
        <v>79.82729542</v>
      </c>
      <c r="W12" s="4">
        <f t="shared" si="5"/>
        <v>17.07707945</v>
      </c>
      <c r="X12" s="4">
        <f t="shared" si="6"/>
        <v>6.73828125</v>
      </c>
    </row>
    <row r="13">
      <c r="A13" s="3">
        <v>40231.0</v>
      </c>
      <c r="B13" s="2">
        <v>0.0</v>
      </c>
      <c r="C13" s="2">
        <v>0.0</v>
      </c>
      <c r="D13" s="2">
        <v>613.0</v>
      </c>
      <c r="E13" s="2">
        <v>79.0</v>
      </c>
      <c r="F13" s="2">
        <v>294.0</v>
      </c>
      <c r="G13" s="2">
        <v>0.0</v>
      </c>
      <c r="H13" s="2">
        <v>0.0</v>
      </c>
      <c r="I13" s="2">
        <v>1407.0</v>
      </c>
      <c r="J13" s="2">
        <v>551.0</v>
      </c>
      <c r="K13" s="2">
        <v>272.0</v>
      </c>
      <c r="L13" s="4">
        <f t="shared" si="7"/>
        <v>8.333333333</v>
      </c>
      <c r="M13" s="4">
        <f t="shared" si="8"/>
        <v>-8.333333333</v>
      </c>
      <c r="N13" s="4">
        <f t="shared" si="9"/>
        <v>8.333333333</v>
      </c>
      <c r="O13" s="4">
        <f t="shared" si="1"/>
        <v>72.84456588</v>
      </c>
      <c r="P13" s="4">
        <f t="shared" si="2"/>
        <v>12.95395562</v>
      </c>
      <c r="Q13" s="4">
        <f t="shared" si="3"/>
        <v>4.369140625</v>
      </c>
      <c r="V13" s="4">
        <f t="shared" si="4"/>
        <v>72.84456588</v>
      </c>
      <c r="W13" s="4">
        <f t="shared" si="5"/>
        <v>12.95395562</v>
      </c>
      <c r="X13" s="4">
        <f t="shared" si="6"/>
        <v>4.369140625</v>
      </c>
    </row>
    <row r="14">
      <c r="A14" s="3">
        <v>40238.0</v>
      </c>
      <c r="B14" s="2">
        <v>0.0</v>
      </c>
      <c r="C14" s="2">
        <v>2.0</v>
      </c>
      <c r="D14" s="2">
        <v>754.0</v>
      </c>
      <c r="E14" s="2">
        <v>78.0</v>
      </c>
      <c r="F14" s="2">
        <v>735.0</v>
      </c>
      <c r="G14" s="2">
        <v>3.0</v>
      </c>
      <c r="H14" s="2">
        <v>2.0</v>
      </c>
      <c r="I14" s="2">
        <v>133.0</v>
      </c>
      <c r="J14" s="2">
        <v>306.0</v>
      </c>
      <c r="K14" s="2">
        <v>409.0</v>
      </c>
      <c r="L14" s="4">
        <f t="shared" si="7"/>
        <v>0.3333333333</v>
      </c>
      <c r="M14" s="4">
        <f t="shared" si="8"/>
        <v>1.666666667</v>
      </c>
      <c r="N14" s="4">
        <f t="shared" si="9"/>
        <v>1.666666667</v>
      </c>
      <c r="O14" s="4">
        <f t="shared" si="1"/>
        <v>65.56010929</v>
      </c>
      <c r="P14" s="4">
        <f t="shared" si="2"/>
        <v>9.067768932</v>
      </c>
      <c r="Q14" s="4">
        <f t="shared" si="3"/>
        <v>2.184570313</v>
      </c>
      <c r="V14" s="4">
        <f t="shared" si="4"/>
        <v>63.56010929</v>
      </c>
      <c r="W14" s="4">
        <f t="shared" si="5"/>
        <v>7.067768932</v>
      </c>
      <c r="X14" s="4">
        <f t="shared" si="6"/>
        <v>0.1845703125</v>
      </c>
    </row>
    <row r="15">
      <c r="A15" s="3">
        <v>40245.0</v>
      </c>
      <c r="B15" s="2">
        <v>0.0</v>
      </c>
      <c r="C15" s="2">
        <v>0.0</v>
      </c>
      <c r="D15" s="2">
        <v>800.0</v>
      </c>
      <c r="E15" s="2">
        <v>262.0</v>
      </c>
      <c r="F15" s="2">
        <v>917.0</v>
      </c>
      <c r="G15" s="2">
        <v>0.0</v>
      </c>
      <c r="H15" s="2">
        <v>0.0</v>
      </c>
      <c r="I15" s="2">
        <v>47.0</v>
      </c>
      <c r="J15" s="2">
        <v>405.0</v>
      </c>
      <c r="K15" s="2">
        <v>337.0</v>
      </c>
      <c r="L15" s="4">
        <f t="shared" si="7"/>
        <v>1</v>
      </c>
      <c r="M15" s="4">
        <f t="shared" si="8"/>
        <v>-1</v>
      </c>
      <c r="N15" s="4">
        <f t="shared" si="9"/>
        <v>1</v>
      </c>
      <c r="O15" s="4">
        <f t="shared" si="1"/>
        <v>59.20409836</v>
      </c>
      <c r="P15" s="4">
        <f t="shared" si="2"/>
        <v>6.947438253</v>
      </c>
      <c r="Q15" s="4">
        <f t="shared" si="3"/>
        <v>2.092285156</v>
      </c>
      <c r="V15" s="4">
        <f t="shared" si="4"/>
        <v>59.20409836</v>
      </c>
      <c r="W15" s="4">
        <f t="shared" si="5"/>
        <v>6.947438253</v>
      </c>
      <c r="X15" s="4">
        <f t="shared" si="6"/>
        <v>2.092285156</v>
      </c>
    </row>
    <row r="16">
      <c r="A16" s="3">
        <v>40252.0</v>
      </c>
      <c r="B16" s="2">
        <v>194.0</v>
      </c>
      <c r="C16" s="2">
        <v>0.0</v>
      </c>
      <c r="D16" s="2">
        <v>555.0</v>
      </c>
      <c r="E16" s="2">
        <v>224.0</v>
      </c>
      <c r="F16" s="2">
        <v>551.0</v>
      </c>
      <c r="G16" s="2">
        <v>12.0</v>
      </c>
      <c r="H16" s="2">
        <v>0.0</v>
      </c>
      <c r="I16" s="2">
        <v>826.0</v>
      </c>
      <c r="J16" s="2">
        <v>179.0</v>
      </c>
      <c r="K16" s="2">
        <v>375.0</v>
      </c>
      <c r="L16" s="4">
        <f t="shared" si="7"/>
        <v>0.6666666667</v>
      </c>
      <c r="M16" s="4">
        <f t="shared" si="8"/>
        <v>-0.6666666667</v>
      </c>
      <c r="N16" s="4">
        <f t="shared" si="9"/>
        <v>0.6666666667</v>
      </c>
      <c r="O16" s="4">
        <f t="shared" si="1"/>
        <v>53.28368852</v>
      </c>
      <c r="P16" s="4">
        <f t="shared" si="2"/>
        <v>4.863206777</v>
      </c>
      <c r="Q16" s="4">
        <f t="shared" si="3"/>
        <v>1.046142578</v>
      </c>
      <c r="V16" s="4">
        <f t="shared" si="4"/>
        <v>53.28368852</v>
      </c>
      <c r="W16" s="4">
        <f t="shared" si="5"/>
        <v>4.863206777</v>
      </c>
      <c r="X16" s="4">
        <f t="shared" si="6"/>
        <v>1.046142578</v>
      </c>
    </row>
    <row r="17">
      <c r="A17" s="3">
        <v>40259.0</v>
      </c>
      <c r="B17" s="2">
        <v>410.0</v>
      </c>
      <c r="C17" s="2">
        <v>0.0</v>
      </c>
      <c r="D17" s="2">
        <v>930.0</v>
      </c>
      <c r="E17" s="2">
        <v>212.0</v>
      </c>
      <c r="F17" s="2">
        <v>808.0</v>
      </c>
      <c r="G17" s="2">
        <v>0.0</v>
      </c>
      <c r="H17" s="2">
        <v>0.0</v>
      </c>
      <c r="I17" s="2">
        <v>103.0</v>
      </c>
      <c r="J17" s="2">
        <v>467.0</v>
      </c>
      <c r="K17" s="2">
        <v>177.0</v>
      </c>
      <c r="L17" s="4">
        <f t="shared" si="7"/>
        <v>0.6666666667</v>
      </c>
      <c r="M17" s="4">
        <f t="shared" si="8"/>
        <v>-0.6666666667</v>
      </c>
      <c r="N17" s="4">
        <f t="shared" si="9"/>
        <v>0.6666666667</v>
      </c>
      <c r="O17" s="4">
        <f t="shared" si="1"/>
        <v>47.95531967</v>
      </c>
      <c r="P17" s="4">
        <f t="shared" si="2"/>
        <v>3.404244744</v>
      </c>
      <c r="Q17" s="4">
        <f t="shared" si="3"/>
        <v>0.5230712891</v>
      </c>
      <c r="V17" s="4">
        <f t="shared" si="4"/>
        <v>47.95531967</v>
      </c>
      <c r="W17" s="4">
        <f t="shared" si="5"/>
        <v>3.404244744</v>
      </c>
      <c r="X17" s="4">
        <f t="shared" si="6"/>
        <v>0.5230712891</v>
      </c>
    </row>
    <row r="18">
      <c r="A18" s="3">
        <v>40266.0</v>
      </c>
      <c r="B18" s="2">
        <v>186.0</v>
      </c>
      <c r="C18" s="2">
        <v>450.0</v>
      </c>
      <c r="D18" s="2">
        <v>588.0</v>
      </c>
      <c r="E18" s="2">
        <v>149.0</v>
      </c>
      <c r="F18" s="2">
        <v>331.0</v>
      </c>
      <c r="G18" s="2">
        <v>2.0</v>
      </c>
      <c r="H18" s="2">
        <v>450.0</v>
      </c>
      <c r="I18" s="2">
        <v>423.0</v>
      </c>
      <c r="J18" s="2">
        <v>331.0</v>
      </c>
      <c r="K18" s="2">
        <v>425.0</v>
      </c>
      <c r="L18" s="4">
        <f t="shared" si="7"/>
        <v>0</v>
      </c>
      <c r="M18" s="4">
        <f t="shared" si="8"/>
        <v>450</v>
      </c>
      <c r="N18" s="4">
        <f t="shared" si="9"/>
        <v>450</v>
      </c>
      <c r="O18" s="4">
        <f t="shared" si="1"/>
        <v>43.1597877</v>
      </c>
      <c r="P18" s="4">
        <f t="shared" si="2"/>
        <v>2.382971321</v>
      </c>
      <c r="Q18" s="4">
        <f t="shared" si="3"/>
        <v>0.2615356445</v>
      </c>
      <c r="V18" s="4">
        <f t="shared" si="4"/>
        <v>406.8402123</v>
      </c>
      <c r="W18" s="4">
        <f t="shared" si="5"/>
        <v>447.6170287</v>
      </c>
      <c r="X18" s="4">
        <f t="shared" si="6"/>
        <v>449.7384644</v>
      </c>
    </row>
    <row r="19">
      <c r="A19" s="3">
        <v>40273.0</v>
      </c>
      <c r="B19" s="2">
        <v>230.0</v>
      </c>
      <c r="C19" s="2">
        <v>216.0</v>
      </c>
      <c r="D19" s="2">
        <v>416.0</v>
      </c>
      <c r="E19" s="2">
        <v>179.0</v>
      </c>
      <c r="F19" s="2">
        <v>736.0</v>
      </c>
      <c r="G19" s="2">
        <v>0.0</v>
      </c>
      <c r="H19" s="2">
        <v>216.0</v>
      </c>
      <c r="I19" s="2">
        <v>716.0</v>
      </c>
      <c r="J19" s="2">
        <v>164.0</v>
      </c>
      <c r="K19" s="2">
        <v>298.0</v>
      </c>
      <c r="L19" s="4">
        <f t="shared" si="7"/>
        <v>150</v>
      </c>
      <c r="M19" s="4">
        <f t="shared" si="8"/>
        <v>66</v>
      </c>
      <c r="N19" s="4">
        <f t="shared" si="9"/>
        <v>66</v>
      </c>
      <c r="O19" s="4">
        <f t="shared" si="1"/>
        <v>83.84380893</v>
      </c>
      <c r="P19" s="4">
        <f t="shared" si="2"/>
        <v>136.6680799</v>
      </c>
      <c r="Q19" s="4">
        <f t="shared" si="3"/>
        <v>225.1307678</v>
      </c>
      <c r="V19" s="4">
        <f t="shared" si="4"/>
        <v>132.1561911</v>
      </c>
      <c r="W19" s="4">
        <f t="shared" si="5"/>
        <v>79.33192008</v>
      </c>
      <c r="X19" s="4">
        <f t="shared" si="6"/>
        <v>9.130767822</v>
      </c>
    </row>
    <row r="20">
      <c r="A20" s="3">
        <v>40280.0</v>
      </c>
      <c r="B20" s="2">
        <v>293.0</v>
      </c>
      <c r="C20" s="2">
        <v>91.0</v>
      </c>
      <c r="D20" s="2">
        <v>1007.0</v>
      </c>
      <c r="E20" s="2">
        <v>386.0</v>
      </c>
      <c r="F20" s="2">
        <v>653.0</v>
      </c>
      <c r="G20" s="2">
        <v>0.0</v>
      </c>
      <c r="H20" s="2">
        <v>91.0</v>
      </c>
      <c r="I20" s="2">
        <v>224.0</v>
      </c>
      <c r="J20" s="2">
        <v>218.0</v>
      </c>
      <c r="K20" s="2">
        <v>477.0</v>
      </c>
      <c r="L20" s="4">
        <f t="shared" si="7"/>
        <v>222</v>
      </c>
      <c r="M20" s="4">
        <f t="shared" si="8"/>
        <v>-131</v>
      </c>
      <c r="N20" s="4">
        <f t="shared" si="9"/>
        <v>131</v>
      </c>
      <c r="O20" s="4">
        <f t="shared" si="1"/>
        <v>97.05942804</v>
      </c>
      <c r="P20" s="4">
        <f t="shared" si="2"/>
        <v>160.4676559</v>
      </c>
      <c r="Q20" s="4">
        <f t="shared" si="3"/>
        <v>220.5653839</v>
      </c>
      <c r="V20" s="4">
        <f t="shared" si="4"/>
        <v>6.05942804</v>
      </c>
      <c r="W20" s="4">
        <f t="shared" si="5"/>
        <v>69.46765595</v>
      </c>
      <c r="X20" s="4">
        <f t="shared" si="6"/>
        <v>129.5653839</v>
      </c>
    </row>
    <row r="21">
      <c r="A21" s="3">
        <v>40287.0</v>
      </c>
      <c r="B21" s="2">
        <v>349.0</v>
      </c>
      <c r="C21" s="2">
        <v>116.0</v>
      </c>
      <c r="D21" s="2">
        <v>645.0</v>
      </c>
      <c r="E21" s="2">
        <v>525.0</v>
      </c>
      <c r="F21" s="2">
        <v>504.0</v>
      </c>
      <c r="G21" s="2">
        <v>1.0</v>
      </c>
      <c r="H21" s="2">
        <v>116.0</v>
      </c>
      <c r="I21" s="2">
        <v>378.0</v>
      </c>
      <c r="J21" s="2">
        <v>248.0</v>
      </c>
      <c r="K21" s="2">
        <v>297.0</v>
      </c>
      <c r="L21" s="4">
        <f t="shared" si="7"/>
        <v>252.3333333</v>
      </c>
      <c r="M21" s="4">
        <f t="shared" si="8"/>
        <v>-136.3333333</v>
      </c>
      <c r="N21" s="4">
        <f t="shared" si="9"/>
        <v>136.3333333</v>
      </c>
      <c r="O21" s="4">
        <f t="shared" si="1"/>
        <v>96.45348524</v>
      </c>
      <c r="P21" s="4">
        <f t="shared" si="2"/>
        <v>139.6273592</v>
      </c>
      <c r="Q21" s="4">
        <f t="shared" si="3"/>
        <v>155.782692</v>
      </c>
      <c r="V21" s="4">
        <f t="shared" si="4"/>
        <v>19.54651476</v>
      </c>
      <c r="W21" s="4">
        <f t="shared" si="5"/>
        <v>23.62735916</v>
      </c>
      <c r="X21" s="4">
        <f t="shared" si="6"/>
        <v>39.78269196</v>
      </c>
    </row>
    <row r="22">
      <c r="A22" s="3">
        <v>40294.0</v>
      </c>
      <c r="B22" s="2">
        <v>276.0</v>
      </c>
      <c r="C22" s="2">
        <v>55.0</v>
      </c>
      <c r="D22" s="2">
        <v>1539.0</v>
      </c>
      <c r="E22" s="2">
        <v>418.0</v>
      </c>
      <c r="F22" s="2">
        <v>919.0</v>
      </c>
      <c r="G22" s="2">
        <v>18.0</v>
      </c>
      <c r="H22" s="2">
        <v>55.0</v>
      </c>
      <c r="I22" s="2">
        <v>500.0</v>
      </c>
      <c r="J22" s="2">
        <v>386.0</v>
      </c>
      <c r="K22" s="2">
        <v>304.0</v>
      </c>
      <c r="L22" s="4">
        <f t="shared" si="7"/>
        <v>141</v>
      </c>
      <c r="M22" s="4">
        <f t="shared" si="8"/>
        <v>-86</v>
      </c>
      <c r="N22" s="4">
        <f t="shared" si="9"/>
        <v>86</v>
      </c>
      <c r="O22" s="4">
        <f t="shared" si="1"/>
        <v>98.40813671</v>
      </c>
      <c r="P22" s="4">
        <f t="shared" si="2"/>
        <v>132.5391514</v>
      </c>
      <c r="Q22" s="4">
        <f t="shared" si="3"/>
        <v>135.891346</v>
      </c>
      <c r="V22" s="4">
        <f t="shared" si="4"/>
        <v>43.40813671</v>
      </c>
      <c r="W22" s="4">
        <f t="shared" si="5"/>
        <v>77.53915141</v>
      </c>
      <c r="X22" s="4">
        <f t="shared" si="6"/>
        <v>80.89134598</v>
      </c>
    </row>
    <row r="23">
      <c r="A23" s="3">
        <v>40301.0</v>
      </c>
      <c r="B23" s="2">
        <v>306.0</v>
      </c>
      <c r="C23" s="2">
        <v>62.0</v>
      </c>
      <c r="D23" s="2">
        <v>1207.0</v>
      </c>
      <c r="E23" s="2">
        <v>565.0</v>
      </c>
      <c r="F23" s="2">
        <v>342.0</v>
      </c>
      <c r="G23" s="2">
        <v>46.0</v>
      </c>
      <c r="H23" s="2">
        <v>62.0</v>
      </c>
      <c r="I23" s="2">
        <v>203.0</v>
      </c>
      <c r="J23" s="2">
        <v>751.0</v>
      </c>
      <c r="K23" s="2">
        <v>711.0</v>
      </c>
      <c r="L23" s="4">
        <f t="shared" si="7"/>
        <v>87.33333333</v>
      </c>
      <c r="M23" s="4">
        <f t="shared" si="8"/>
        <v>-25.33333333</v>
      </c>
      <c r="N23" s="4">
        <f t="shared" si="9"/>
        <v>25.33333333</v>
      </c>
      <c r="O23" s="4">
        <f t="shared" si="1"/>
        <v>94.06732304</v>
      </c>
      <c r="P23" s="4">
        <f t="shared" si="2"/>
        <v>109.277406</v>
      </c>
      <c r="Q23" s="4">
        <f t="shared" si="3"/>
        <v>95.44567299</v>
      </c>
      <c r="V23" s="4">
        <f t="shared" si="4"/>
        <v>32.06732304</v>
      </c>
      <c r="W23" s="4">
        <f t="shared" si="5"/>
        <v>47.27740599</v>
      </c>
      <c r="X23" s="4">
        <f t="shared" si="6"/>
        <v>33.44567299</v>
      </c>
    </row>
    <row r="24">
      <c r="A24" s="3">
        <v>40308.0</v>
      </c>
      <c r="B24" s="2">
        <v>130.0</v>
      </c>
      <c r="C24" s="2">
        <v>16.0</v>
      </c>
      <c r="D24" s="2">
        <v>987.0</v>
      </c>
      <c r="E24" s="2">
        <v>436.0</v>
      </c>
      <c r="F24" s="2">
        <v>907.0</v>
      </c>
      <c r="G24" s="2">
        <v>6.0</v>
      </c>
      <c r="H24" s="2">
        <v>16.0</v>
      </c>
      <c r="I24" s="2">
        <v>180.0</v>
      </c>
      <c r="J24" s="2">
        <v>290.0</v>
      </c>
      <c r="K24" s="2">
        <v>517.0</v>
      </c>
      <c r="L24" s="4">
        <f t="shared" si="7"/>
        <v>77.66666667</v>
      </c>
      <c r="M24" s="4">
        <f t="shared" si="8"/>
        <v>-61.66666667</v>
      </c>
      <c r="N24" s="4">
        <f t="shared" si="9"/>
        <v>61.66666667</v>
      </c>
      <c r="O24" s="4">
        <f t="shared" si="1"/>
        <v>90.86059074</v>
      </c>
      <c r="P24" s="4">
        <f t="shared" si="2"/>
        <v>95.09418419</v>
      </c>
      <c r="Q24" s="4">
        <f t="shared" si="3"/>
        <v>78.72283649</v>
      </c>
      <c r="V24" s="4">
        <f t="shared" si="4"/>
        <v>74.86059074</v>
      </c>
      <c r="W24" s="4">
        <f t="shared" si="5"/>
        <v>79.09418419</v>
      </c>
      <c r="X24" s="4">
        <f t="shared" si="6"/>
        <v>62.72283649</v>
      </c>
    </row>
    <row r="25">
      <c r="A25" s="3">
        <v>40315.0</v>
      </c>
      <c r="B25" s="2">
        <v>28.0</v>
      </c>
      <c r="C25" s="2">
        <v>87.0</v>
      </c>
      <c r="D25" s="2">
        <v>621.0</v>
      </c>
      <c r="E25" s="2">
        <v>450.0</v>
      </c>
      <c r="F25" s="2">
        <v>283.0</v>
      </c>
      <c r="G25" s="2">
        <v>6.0</v>
      </c>
      <c r="H25" s="2">
        <v>87.0</v>
      </c>
      <c r="I25" s="2">
        <v>192.0</v>
      </c>
      <c r="J25" s="2">
        <v>512.0</v>
      </c>
      <c r="K25" s="2">
        <v>265.0</v>
      </c>
      <c r="L25" s="4">
        <f t="shared" si="7"/>
        <v>44.33333333</v>
      </c>
      <c r="M25" s="4">
        <f t="shared" si="8"/>
        <v>42.66666667</v>
      </c>
      <c r="N25" s="4">
        <f t="shared" si="9"/>
        <v>42.66666667</v>
      </c>
      <c r="O25" s="4">
        <f t="shared" si="1"/>
        <v>83.37453166</v>
      </c>
      <c r="P25" s="4">
        <f t="shared" si="2"/>
        <v>71.36592894</v>
      </c>
      <c r="Q25" s="4">
        <f t="shared" si="3"/>
        <v>47.36141825</v>
      </c>
      <c r="V25" s="4">
        <f t="shared" si="4"/>
        <v>3.625468336</v>
      </c>
      <c r="W25" s="4">
        <f t="shared" si="5"/>
        <v>15.63407106</v>
      </c>
      <c r="X25" s="4">
        <f t="shared" si="6"/>
        <v>39.63858175</v>
      </c>
    </row>
    <row r="26">
      <c r="A26" s="3">
        <v>40322.0</v>
      </c>
      <c r="B26" s="2">
        <v>15.0</v>
      </c>
      <c r="C26" s="2">
        <v>69.0</v>
      </c>
      <c r="D26" s="2">
        <v>760.0</v>
      </c>
      <c r="E26" s="2">
        <v>671.0</v>
      </c>
      <c r="F26" s="2">
        <v>560.0</v>
      </c>
      <c r="G26" s="2">
        <v>0.0</v>
      </c>
      <c r="H26" s="2">
        <v>69.0</v>
      </c>
      <c r="I26" s="2">
        <v>218.0</v>
      </c>
      <c r="J26" s="2">
        <v>279.0</v>
      </c>
      <c r="K26" s="2">
        <v>674.0</v>
      </c>
      <c r="L26" s="4">
        <f t="shared" si="7"/>
        <v>55</v>
      </c>
      <c r="M26" s="4">
        <f t="shared" si="8"/>
        <v>14</v>
      </c>
      <c r="N26" s="4">
        <f t="shared" si="9"/>
        <v>14</v>
      </c>
      <c r="O26" s="4">
        <f t="shared" si="1"/>
        <v>83.7370785</v>
      </c>
      <c r="P26" s="4">
        <f t="shared" si="2"/>
        <v>76.05615025</v>
      </c>
      <c r="Q26" s="4">
        <f t="shared" si="3"/>
        <v>67.18070912</v>
      </c>
      <c r="V26" s="4">
        <f t="shared" si="4"/>
        <v>14.7370785</v>
      </c>
      <c r="W26" s="4">
        <f t="shared" si="5"/>
        <v>7.056150255</v>
      </c>
      <c r="X26" s="4">
        <f t="shared" si="6"/>
        <v>1.819290876</v>
      </c>
    </row>
    <row r="27">
      <c r="A27" s="3">
        <v>40329.0</v>
      </c>
      <c r="B27" s="2">
        <v>93.0</v>
      </c>
      <c r="C27" s="2">
        <v>29.0</v>
      </c>
      <c r="D27" s="2">
        <v>727.0</v>
      </c>
      <c r="E27" s="2">
        <v>301.0</v>
      </c>
      <c r="F27" s="2">
        <v>309.0</v>
      </c>
      <c r="G27" s="2">
        <v>4.0</v>
      </c>
      <c r="H27" s="2">
        <v>29.0</v>
      </c>
      <c r="I27" s="2">
        <v>145.0</v>
      </c>
      <c r="J27" s="2">
        <v>236.0</v>
      </c>
      <c r="K27" s="2">
        <v>300.0</v>
      </c>
      <c r="L27" s="4">
        <f t="shared" si="7"/>
        <v>57.33333333</v>
      </c>
      <c r="M27" s="4">
        <f t="shared" si="8"/>
        <v>-28.33333333</v>
      </c>
      <c r="N27" s="4">
        <f t="shared" si="9"/>
        <v>28.33333333</v>
      </c>
      <c r="O27" s="4">
        <f t="shared" si="1"/>
        <v>82.26337065</v>
      </c>
      <c r="P27" s="4">
        <f t="shared" si="2"/>
        <v>73.93930518</v>
      </c>
      <c r="Q27" s="4">
        <f t="shared" si="3"/>
        <v>68.09035456</v>
      </c>
      <c r="V27" s="4">
        <f t="shared" si="4"/>
        <v>53.26337065</v>
      </c>
      <c r="W27" s="4">
        <f t="shared" si="5"/>
        <v>44.93930518</v>
      </c>
      <c r="X27" s="4">
        <f t="shared" si="6"/>
        <v>39.09035456</v>
      </c>
    </row>
    <row r="28">
      <c r="A28" s="3">
        <v>40336.0</v>
      </c>
      <c r="B28" s="2">
        <v>454.0</v>
      </c>
      <c r="C28" s="2">
        <v>220.0</v>
      </c>
      <c r="D28" s="2">
        <v>973.0</v>
      </c>
      <c r="E28" s="2">
        <v>716.0</v>
      </c>
      <c r="F28" s="2">
        <v>264.0</v>
      </c>
      <c r="G28" s="2">
        <v>3.0</v>
      </c>
      <c r="H28" s="2">
        <v>220.0</v>
      </c>
      <c r="I28" s="2">
        <v>617.0</v>
      </c>
      <c r="J28" s="2">
        <v>429.0</v>
      </c>
      <c r="K28" s="2">
        <v>408.0</v>
      </c>
      <c r="L28" s="4">
        <f t="shared" si="7"/>
        <v>61.66666667</v>
      </c>
      <c r="M28" s="4">
        <f t="shared" si="8"/>
        <v>158.3333333</v>
      </c>
      <c r="N28" s="4">
        <f t="shared" si="9"/>
        <v>158.3333333</v>
      </c>
      <c r="O28" s="4">
        <f t="shared" si="1"/>
        <v>76.93703358</v>
      </c>
      <c r="P28" s="4">
        <f t="shared" si="2"/>
        <v>60.45751362</v>
      </c>
      <c r="Q28" s="4">
        <f t="shared" si="3"/>
        <v>48.54517728</v>
      </c>
      <c r="V28" s="4">
        <f t="shared" si="4"/>
        <v>143.0629664</v>
      </c>
      <c r="W28" s="4">
        <f t="shared" si="5"/>
        <v>159.5424864</v>
      </c>
      <c r="X28" s="4">
        <f t="shared" si="6"/>
        <v>171.4548227</v>
      </c>
    </row>
    <row r="29">
      <c r="A29" s="3">
        <v>40343.0</v>
      </c>
      <c r="B29" s="2">
        <v>432.0</v>
      </c>
      <c r="C29" s="2">
        <v>25.0</v>
      </c>
      <c r="D29" s="2">
        <v>696.0</v>
      </c>
      <c r="E29" s="2">
        <v>142.0</v>
      </c>
      <c r="F29" s="2">
        <v>569.0</v>
      </c>
      <c r="G29" s="2">
        <v>28.0</v>
      </c>
      <c r="H29" s="2">
        <v>25.0</v>
      </c>
      <c r="I29" s="2">
        <v>625.0</v>
      </c>
      <c r="J29" s="2">
        <v>362.0</v>
      </c>
      <c r="K29" s="2">
        <v>458.0</v>
      </c>
      <c r="L29" s="4">
        <f t="shared" si="7"/>
        <v>106</v>
      </c>
      <c r="M29" s="4">
        <f t="shared" si="8"/>
        <v>-81</v>
      </c>
      <c r="N29" s="4">
        <f t="shared" si="9"/>
        <v>81</v>
      </c>
      <c r="O29" s="4">
        <f t="shared" si="1"/>
        <v>91.24333022</v>
      </c>
      <c r="P29" s="4">
        <f t="shared" si="2"/>
        <v>108.3202595</v>
      </c>
      <c r="Q29" s="4">
        <f t="shared" si="3"/>
        <v>134.2725886</v>
      </c>
      <c r="V29" s="4">
        <f t="shared" si="4"/>
        <v>66.24333022</v>
      </c>
      <c r="W29" s="4">
        <f t="shared" si="5"/>
        <v>83.32025954</v>
      </c>
      <c r="X29" s="4">
        <f t="shared" si="6"/>
        <v>109.2725886</v>
      </c>
    </row>
    <row r="30">
      <c r="A30" s="3">
        <v>40350.0</v>
      </c>
      <c r="B30" s="2">
        <v>151.0</v>
      </c>
      <c r="C30" s="2">
        <v>35.0</v>
      </c>
      <c r="D30" s="2">
        <v>750.0</v>
      </c>
      <c r="E30" s="2">
        <v>52.0</v>
      </c>
      <c r="F30" s="2">
        <v>252.0</v>
      </c>
      <c r="G30" s="2">
        <v>305.0</v>
      </c>
      <c r="H30" s="2">
        <v>35.0</v>
      </c>
      <c r="I30" s="2">
        <v>168.0</v>
      </c>
      <c r="J30" s="2">
        <v>460.0</v>
      </c>
      <c r="K30" s="2">
        <v>511.0</v>
      </c>
      <c r="L30" s="4">
        <f t="shared" si="7"/>
        <v>91.33333333</v>
      </c>
      <c r="M30" s="4">
        <f t="shared" si="8"/>
        <v>-56.33333333</v>
      </c>
      <c r="N30" s="4">
        <f t="shared" si="9"/>
        <v>56.33333333</v>
      </c>
      <c r="O30" s="4">
        <f t="shared" si="1"/>
        <v>84.6189972</v>
      </c>
      <c r="P30" s="4">
        <f t="shared" si="2"/>
        <v>83.32418168</v>
      </c>
      <c r="Q30" s="4">
        <f t="shared" si="3"/>
        <v>79.63629432</v>
      </c>
      <c r="V30" s="4">
        <f t="shared" si="4"/>
        <v>49.6189972</v>
      </c>
      <c r="W30" s="4">
        <f t="shared" si="5"/>
        <v>48.32418168</v>
      </c>
      <c r="X30" s="4">
        <f t="shared" si="6"/>
        <v>44.63629432</v>
      </c>
    </row>
    <row r="31">
      <c r="A31" s="3">
        <v>40357.0</v>
      </c>
      <c r="B31" s="2">
        <v>387.0</v>
      </c>
      <c r="C31" s="2">
        <v>22.0</v>
      </c>
      <c r="D31" s="2">
        <v>1415.0</v>
      </c>
      <c r="E31" s="2">
        <v>51.0</v>
      </c>
      <c r="F31" s="2">
        <v>692.0</v>
      </c>
      <c r="G31" s="2">
        <v>44.0</v>
      </c>
      <c r="H31" s="2">
        <v>22.0</v>
      </c>
      <c r="I31" s="2">
        <v>365.0</v>
      </c>
      <c r="J31" s="2">
        <v>598.0</v>
      </c>
      <c r="K31" s="2">
        <v>534.0</v>
      </c>
      <c r="L31" s="4">
        <f t="shared" si="7"/>
        <v>93.33333333</v>
      </c>
      <c r="M31" s="4">
        <f t="shared" si="8"/>
        <v>-71.33333333</v>
      </c>
      <c r="N31" s="4">
        <f t="shared" si="9"/>
        <v>71.33333333</v>
      </c>
      <c r="O31" s="4">
        <f t="shared" si="1"/>
        <v>79.65709748</v>
      </c>
      <c r="P31" s="4">
        <f t="shared" si="2"/>
        <v>68.82692717</v>
      </c>
      <c r="Q31" s="4">
        <f t="shared" si="3"/>
        <v>57.31814716</v>
      </c>
      <c r="V31" s="4">
        <f t="shared" si="4"/>
        <v>57.65709748</v>
      </c>
      <c r="W31" s="4">
        <f t="shared" si="5"/>
        <v>46.82692717</v>
      </c>
      <c r="X31" s="4">
        <f t="shared" si="6"/>
        <v>35.31814716</v>
      </c>
    </row>
    <row r="32">
      <c r="A32" s="3">
        <v>40364.0</v>
      </c>
      <c r="B32" s="2">
        <v>150.0</v>
      </c>
      <c r="C32" s="2">
        <v>88.0</v>
      </c>
      <c r="D32" s="2">
        <v>654.0</v>
      </c>
      <c r="E32" s="2">
        <v>52.0</v>
      </c>
      <c r="F32" s="2">
        <v>874.0</v>
      </c>
      <c r="G32" s="2">
        <v>14.0</v>
      </c>
      <c r="H32" s="2">
        <v>88.0</v>
      </c>
      <c r="I32" s="2">
        <v>278.0</v>
      </c>
      <c r="J32" s="2">
        <v>331.0</v>
      </c>
      <c r="K32" s="2">
        <v>211.0</v>
      </c>
      <c r="L32" s="4">
        <f t="shared" si="7"/>
        <v>27.33333333</v>
      </c>
      <c r="M32" s="4">
        <f t="shared" si="8"/>
        <v>60.66666667</v>
      </c>
      <c r="N32" s="4">
        <f t="shared" si="9"/>
        <v>60.66666667</v>
      </c>
      <c r="O32" s="4">
        <f t="shared" si="1"/>
        <v>73.89138773</v>
      </c>
      <c r="P32" s="4">
        <f t="shared" si="2"/>
        <v>54.77884902</v>
      </c>
      <c r="Q32" s="4">
        <f t="shared" si="3"/>
        <v>39.65907358</v>
      </c>
      <c r="V32" s="4">
        <f t="shared" si="4"/>
        <v>14.10861227</v>
      </c>
      <c r="W32" s="4">
        <f t="shared" si="5"/>
        <v>33.22115098</v>
      </c>
      <c r="X32" s="4">
        <f t="shared" si="6"/>
        <v>48.34092642</v>
      </c>
    </row>
    <row r="33">
      <c r="A33" s="3">
        <v>40371.0</v>
      </c>
      <c r="B33" s="2">
        <v>160.0</v>
      </c>
      <c r="C33" s="2">
        <v>6.0</v>
      </c>
      <c r="D33" s="2">
        <v>865.0</v>
      </c>
      <c r="E33" s="2">
        <v>44.0</v>
      </c>
      <c r="F33" s="2">
        <v>400.0</v>
      </c>
      <c r="G33" s="2">
        <v>3.0</v>
      </c>
      <c r="H33" s="2">
        <v>6.0</v>
      </c>
      <c r="I33" s="2">
        <v>766.0</v>
      </c>
      <c r="J33" s="2">
        <v>240.0</v>
      </c>
      <c r="K33" s="2">
        <v>575.0</v>
      </c>
      <c r="L33" s="4">
        <f t="shared" si="7"/>
        <v>48.33333333</v>
      </c>
      <c r="M33" s="4">
        <f t="shared" si="8"/>
        <v>-42.33333333</v>
      </c>
      <c r="N33" s="4">
        <f t="shared" si="9"/>
        <v>42.33333333</v>
      </c>
      <c r="O33" s="4">
        <f t="shared" si="1"/>
        <v>75.30224896</v>
      </c>
      <c r="P33" s="4">
        <f t="shared" si="2"/>
        <v>64.74519431</v>
      </c>
      <c r="Q33" s="4">
        <f t="shared" si="3"/>
        <v>63.82953679</v>
      </c>
      <c r="V33" s="4">
        <f t="shared" si="4"/>
        <v>69.30224896</v>
      </c>
      <c r="W33" s="4">
        <f t="shared" si="5"/>
        <v>58.74519431</v>
      </c>
      <c r="X33" s="4">
        <f t="shared" si="6"/>
        <v>57.82953679</v>
      </c>
    </row>
    <row r="34">
      <c r="A34" s="3">
        <v>40378.0</v>
      </c>
      <c r="B34" s="2">
        <v>453.0</v>
      </c>
      <c r="C34" s="2">
        <v>8.0</v>
      </c>
      <c r="D34" s="2">
        <v>1268.0</v>
      </c>
      <c r="E34" s="2">
        <v>52.0</v>
      </c>
      <c r="F34" s="2">
        <v>1043.0</v>
      </c>
      <c r="G34" s="2">
        <v>50.0</v>
      </c>
      <c r="H34" s="2">
        <v>8.0</v>
      </c>
      <c r="I34" s="2">
        <v>691.0</v>
      </c>
      <c r="J34" s="2">
        <v>729.0</v>
      </c>
      <c r="K34" s="2">
        <v>487.0</v>
      </c>
      <c r="L34" s="4">
        <f t="shared" si="7"/>
        <v>38.66666667</v>
      </c>
      <c r="M34" s="4">
        <f t="shared" si="8"/>
        <v>-30.66666667</v>
      </c>
      <c r="N34" s="4">
        <f t="shared" si="9"/>
        <v>30.66666667</v>
      </c>
      <c r="O34" s="4">
        <f t="shared" si="1"/>
        <v>68.37202406</v>
      </c>
      <c r="P34" s="4">
        <f t="shared" si="2"/>
        <v>47.12163602</v>
      </c>
      <c r="Q34" s="4">
        <f t="shared" si="3"/>
        <v>34.9147684</v>
      </c>
      <c r="V34" s="4">
        <f t="shared" si="4"/>
        <v>60.37202406</v>
      </c>
      <c r="W34" s="4">
        <f t="shared" si="5"/>
        <v>39.12163602</v>
      </c>
      <c r="X34" s="4">
        <f t="shared" si="6"/>
        <v>26.9147684</v>
      </c>
    </row>
    <row r="35">
      <c r="A35" s="3">
        <v>40385.0</v>
      </c>
      <c r="B35" s="2">
        <v>577.0</v>
      </c>
      <c r="C35" s="2">
        <v>5.0</v>
      </c>
      <c r="D35" s="2">
        <v>618.0</v>
      </c>
      <c r="E35" s="2">
        <v>34.0</v>
      </c>
      <c r="F35" s="2">
        <v>621.0</v>
      </c>
      <c r="G35" s="2">
        <v>128.0</v>
      </c>
      <c r="H35" s="2">
        <v>5.0</v>
      </c>
      <c r="I35" s="2">
        <v>265.0</v>
      </c>
      <c r="J35" s="2">
        <v>171.0</v>
      </c>
      <c r="K35" s="2">
        <v>454.0</v>
      </c>
      <c r="L35" s="4">
        <f t="shared" si="7"/>
        <v>34</v>
      </c>
      <c r="M35" s="4">
        <f t="shared" si="8"/>
        <v>-29</v>
      </c>
      <c r="N35" s="4">
        <f t="shared" si="9"/>
        <v>29</v>
      </c>
      <c r="O35" s="4">
        <f t="shared" si="1"/>
        <v>62.33482166</v>
      </c>
      <c r="P35" s="4">
        <f t="shared" si="2"/>
        <v>35.38514521</v>
      </c>
      <c r="Q35" s="4">
        <f t="shared" si="3"/>
        <v>21.4573842</v>
      </c>
      <c r="V35" s="4">
        <f t="shared" si="4"/>
        <v>57.33482166</v>
      </c>
      <c r="W35" s="4">
        <f t="shared" si="5"/>
        <v>30.38514521</v>
      </c>
      <c r="X35" s="4">
        <f t="shared" si="6"/>
        <v>16.4573842</v>
      </c>
    </row>
    <row r="36">
      <c r="A36" s="3">
        <v>40392.0</v>
      </c>
      <c r="B36" s="2">
        <v>294.0</v>
      </c>
      <c r="C36" s="2">
        <v>17.0</v>
      </c>
      <c r="D36" s="2">
        <v>726.0</v>
      </c>
      <c r="E36" s="2">
        <v>57.0</v>
      </c>
      <c r="F36" s="2">
        <v>648.0</v>
      </c>
      <c r="G36" s="2">
        <v>142.0</v>
      </c>
      <c r="H36" s="2">
        <v>17.0</v>
      </c>
      <c r="I36" s="2">
        <v>95.0</v>
      </c>
      <c r="J36" s="2">
        <v>354.0</v>
      </c>
      <c r="K36" s="2">
        <v>694.0</v>
      </c>
      <c r="L36" s="4">
        <f t="shared" si="7"/>
        <v>6.333333333</v>
      </c>
      <c r="M36" s="4">
        <f t="shared" si="8"/>
        <v>10.66666667</v>
      </c>
      <c r="N36" s="4">
        <f t="shared" si="9"/>
        <v>10.66666667</v>
      </c>
      <c r="O36" s="4">
        <f t="shared" si="1"/>
        <v>56.60133949</v>
      </c>
      <c r="P36" s="4">
        <f t="shared" si="2"/>
        <v>26.26960165</v>
      </c>
      <c r="Q36" s="4">
        <f t="shared" si="3"/>
        <v>13.2286921</v>
      </c>
      <c r="V36" s="4">
        <f t="shared" si="4"/>
        <v>39.60133949</v>
      </c>
      <c r="W36" s="4">
        <f t="shared" si="5"/>
        <v>9.26960165</v>
      </c>
      <c r="X36" s="4">
        <f t="shared" si="6"/>
        <v>3.771307901</v>
      </c>
    </row>
    <row r="37">
      <c r="A37" s="3">
        <v>40399.0</v>
      </c>
      <c r="B37" s="2">
        <v>224.0</v>
      </c>
      <c r="C37" s="2">
        <v>45.0</v>
      </c>
      <c r="D37" s="2">
        <v>893.0</v>
      </c>
      <c r="E37" s="2">
        <v>188.0</v>
      </c>
      <c r="F37" s="2">
        <v>758.0</v>
      </c>
      <c r="G37" s="2">
        <v>74.0</v>
      </c>
      <c r="H37" s="2">
        <v>45.0</v>
      </c>
      <c r="I37" s="2">
        <v>552.0</v>
      </c>
      <c r="J37" s="2">
        <v>460.0</v>
      </c>
      <c r="K37" s="2">
        <v>608.0</v>
      </c>
      <c r="L37" s="4">
        <f t="shared" si="7"/>
        <v>10</v>
      </c>
      <c r="M37" s="4">
        <f t="shared" si="8"/>
        <v>35</v>
      </c>
      <c r="N37" s="4">
        <f t="shared" si="9"/>
        <v>35</v>
      </c>
      <c r="O37" s="4">
        <f t="shared" si="1"/>
        <v>52.64120554</v>
      </c>
      <c r="P37" s="4">
        <f t="shared" si="2"/>
        <v>23.48872116</v>
      </c>
      <c r="Q37" s="4">
        <f t="shared" si="3"/>
        <v>15.11434605</v>
      </c>
      <c r="V37" s="4">
        <f t="shared" si="4"/>
        <v>7.641205543</v>
      </c>
      <c r="W37" s="4">
        <f t="shared" si="5"/>
        <v>21.51127884</v>
      </c>
      <c r="X37" s="4">
        <f t="shared" si="6"/>
        <v>29.88565395</v>
      </c>
    </row>
    <row r="38">
      <c r="A38" s="3">
        <v>40406.0</v>
      </c>
      <c r="B38" s="2">
        <v>177.0</v>
      </c>
      <c r="C38" s="2">
        <v>37.0</v>
      </c>
      <c r="D38" s="2">
        <v>189.0</v>
      </c>
      <c r="E38" s="2">
        <v>351.0</v>
      </c>
      <c r="F38" s="2">
        <v>664.0</v>
      </c>
      <c r="G38" s="2">
        <v>19.0</v>
      </c>
      <c r="H38" s="2">
        <v>37.0</v>
      </c>
      <c r="I38" s="2">
        <v>1025.0</v>
      </c>
      <c r="J38" s="2">
        <v>677.0</v>
      </c>
      <c r="K38" s="2">
        <v>940.0</v>
      </c>
      <c r="L38" s="4">
        <f t="shared" si="7"/>
        <v>22.33333333</v>
      </c>
      <c r="M38" s="4">
        <f t="shared" si="8"/>
        <v>14.66666667</v>
      </c>
      <c r="N38" s="4">
        <f t="shared" si="9"/>
        <v>14.66666667</v>
      </c>
      <c r="O38" s="4">
        <f t="shared" si="1"/>
        <v>51.87708499</v>
      </c>
      <c r="P38" s="4">
        <f t="shared" si="2"/>
        <v>29.94210481</v>
      </c>
      <c r="Q38" s="4">
        <f t="shared" si="3"/>
        <v>30.05717302</v>
      </c>
      <c r="V38" s="4">
        <f t="shared" si="4"/>
        <v>14.87708499</v>
      </c>
      <c r="W38" s="4">
        <f t="shared" si="5"/>
        <v>7.057895191</v>
      </c>
      <c r="X38" s="4">
        <f t="shared" si="6"/>
        <v>6.942826975</v>
      </c>
    </row>
    <row r="39">
      <c r="A39" s="3">
        <v>40413.0</v>
      </c>
      <c r="B39" s="2">
        <v>254.0</v>
      </c>
      <c r="C39" s="2">
        <v>70.0</v>
      </c>
      <c r="D39" s="2">
        <v>1.0</v>
      </c>
      <c r="E39" s="2">
        <v>9.0</v>
      </c>
      <c r="F39" s="2">
        <v>1000.0</v>
      </c>
      <c r="G39" s="2">
        <v>27.0</v>
      </c>
      <c r="H39" s="2">
        <v>70.0</v>
      </c>
      <c r="I39" s="2">
        <v>880.0</v>
      </c>
      <c r="J39" s="2">
        <v>338.0</v>
      </c>
      <c r="K39" s="2">
        <v>450.0</v>
      </c>
      <c r="L39" s="4">
        <f t="shared" si="7"/>
        <v>33</v>
      </c>
      <c r="M39" s="4">
        <f t="shared" si="8"/>
        <v>37</v>
      </c>
      <c r="N39" s="4">
        <f t="shared" si="9"/>
        <v>37</v>
      </c>
      <c r="O39" s="4">
        <f t="shared" si="1"/>
        <v>50.38937649</v>
      </c>
      <c r="P39" s="4">
        <f t="shared" si="2"/>
        <v>32.05947337</v>
      </c>
      <c r="Q39" s="4">
        <f t="shared" si="3"/>
        <v>33.52858651</v>
      </c>
      <c r="V39" s="4">
        <f t="shared" si="4"/>
        <v>19.61062351</v>
      </c>
      <c r="W39" s="4">
        <f t="shared" si="5"/>
        <v>37.94052663</v>
      </c>
      <c r="X39" s="4">
        <f t="shared" si="6"/>
        <v>36.47141349</v>
      </c>
    </row>
    <row r="40">
      <c r="A40" s="3">
        <v>40420.0</v>
      </c>
      <c r="B40" s="2">
        <v>445.0</v>
      </c>
      <c r="C40" s="2">
        <v>110.0</v>
      </c>
      <c r="D40" s="2">
        <v>1889.0</v>
      </c>
      <c r="E40" s="2">
        <v>8.0</v>
      </c>
      <c r="F40" s="2">
        <v>963.0</v>
      </c>
      <c r="G40" s="2">
        <v>3.0</v>
      </c>
      <c r="H40" s="2">
        <v>110.0</v>
      </c>
      <c r="I40" s="2">
        <v>135.0</v>
      </c>
      <c r="J40" s="2">
        <v>652.0</v>
      </c>
      <c r="K40" s="2">
        <v>375.0</v>
      </c>
      <c r="L40" s="4">
        <f t="shared" si="7"/>
        <v>50.66666667</v>
      </c>
      <c r="M40" s="4">
        <f t="shared" si="8"/>
        <v>59.33333333</v>
      </c>
      <c r="N40" s="4">
        <f t="shared" si="9"/>
        <v>59.33333333</v>
      </c>
      <c r="O40" s="4">
        <f t="shared" si="1"/>
        <v>52.35043884</v>
      </c>
      <c r="P40" s="4">
        <f t="shared" si="2"/>
        <v>43.44163136</v>
      </c>
      <c r="Q40" s="4">
        <f t="shared" si="3"/>
        <v>51.76429326</v>
      </c>
      <c r="V40" s="4">
        <f t="shared" si="4"/>
        <v>57.64956116</v>
      </c>
      <c r="W40" s="4">
        <f t="shared" si="5"/>
        <v>66.55836864</v>
      </c>
      <c r="X40" s="4">
        <f t="shared" si="6"/>
        <v>58.23570674</v>
      </c>
    </row>
    <row r="41">
      <c r="A41" s="3">
        <v>40427.0</v>
      </c>
      <c r="B41" s="2">
        <v>299.0</v>
      </c>
      <c r="C41" s="2">
        <v>68.0</v>
      </c>
      <c r="D41" s="2">
        <v>1313.0</v>
      </c>
      <c r="E41" s="2">
        <v>6.0</v>
      </c>
      <c r="F41" s="2">
        <v>387.0</v>
      </c>
      <c r="G41" s="2">
        <v>6.0</v>
      </c>
      <c r="H41" s="2">
        <v>68.0</v>
      </c>
      <c r="I41" s="2">
        <v>270.0</v>
      </c>
      <c r="J41" s="2">
        <v>617.0</v>
      </c>
      <c r="K41" s="2">
        <v>483.0</v>
      </c>
      <c r="L41" s="4">
        <f t="shared" si="7"/>
        <v>72.33333333</v>
      </c>
      <c r="M41" s="4">
        <f t="shared" si="8"/>
        <v>-4.333333333</v>
      </c>
      <c r="N41" s="4">
        <f t="shared" si="9"/>
        <v>4.333333333</v>
      </c>
      <c r="O41" s="4">
        <f t="shared" si="1"/>
        <v>58.11539496</v>
      </c>
      <c r="P41" s="4">
        <f t="shared" si="2"/>
        <v>63.40914195</v>
      </c>
      <c r="Q41" s="4">
        <f t="shared" si="3"/>
        <v>80.88214663</v>
      </c>
      <c r="V41" s="4">
        <f t="shared" si="4"/>
        <v>9.884605043</v>
      </c>
      <c r="W41" s="4">
        <f t="shared" si="5"/>
        <v>4.590858051</v>
      </c>
      <c r="X41" s="4">
        <f t="shared" si="6"/>
        <v>12.88214663</v>
      </c>
    </row>
    <row r="42">
      <c r="A42" s="3">
        <v>40434.0</v>
      </c>
      <c r="B42" s="2">
        <v>370.0</v>
      </c>
      <c r="C42" s="2">
        <v>38.0</v>
      </c>
      <c r="D42" s="2">
        <v>1118.0</v>
      </c>
      <c r="E42" s="2">
        <v>0.0</v>
      </c>
      <c r="F42" s="2">
        <v>619.0</v>
      </c>
      <c r="G42" s="2">
        <v>344.0</v>
      </c>
      <c r="H42" s="2">
        <v>38.0</v>
      </c>
      <c r="I42" s="2">
        <v>534.0</v>
      </c>
      <c r="J42" s="2">
        <v>305.0</v>
      </c>
      <c r="K42" s="2">
        <v>304.0</v>
      </c>
      <c r="L42" s="4">
        <f t="shared" si="7"/>
        <v>82.66666667</v>
      </c>
      <c r="M42" s="4">
        <f t="shared" si="8"/>
        <v>-44.66666667</v>
      </c>
      <c r="N42" s="4">
        <f t="shared" si="9"/>
        <v>44.66666667</v>
      </c>
      <c r="O42" s="4">
        <f t="shared" si="1"/>
        <v>59.10385546</v>
      </c>
      <c r="P42" s="4">
        <f t="shared" si="2"/>
        <v>64.78639936</v>
      </c>
      <c r="Q42" s="4">
        <f t="shared" si="3"/>
        <v>74.44107331</v>
      </c>
      <c r="V42" s="4">
        <f t="shared" si="4"/>
        <v>21.10385546</v>
      </c>
      <c r="W42" s="4">
        <f t="shared" si="5"/>
        <v>26.78639936</v>
      </c>
      <c r="X42" s="4">
        <f t="shared" si="6"/>
        <v>36.44107331</v>
      </c>
    </row>
    <row r="43">
      <c r="A43" s="3">
        <v>40441.0</v>
      </c>
      <c r="B43" s="2">
        <v>624.0</v>
      </c>
      <c r="C43" s="2">
        <v>180.0</v>
      </c>
      <c r="D43" s="2">
        <v>1381.0</v>
      </c>
      <c r="E43" s="2">
        <v>99.0</v>
      </c>
      <c r="F43" s="2">
        <v>1792.0</v>
      </c>
      <c r="G43" s="2">
        <v>425.0</v>
      </c>
      <c r="H43" s="2">
        <v>180.0</v>
      </c>
      <c r="I43" s="2">
        <v>1709.0</v>
      </c>
      <c r="J43" s="2">
        <v>352.0</v>
      </c>
      <c r="K43" s="2">
        <v>605.0</v>
      </c>
      <c r="L43" s="4">
        <f t="shared" si="7"/>
        <v>72</v>
      </c>
      <c r="M43" s="4">
        <f t="shared" si="8"/>
        <v>108</v>
      </c>
      <c r="N43" s="4">
        <f t="shared" si="9"/>
        <v>108</v>
      </c>
      <c r="O43" s="4">
        <f t="shared" si="1"/>
        <v>56.99346991</v>
      </c>
      <c r="P43" s="4">
        <f t="shared" si="2"/>
        <v>56.75047956</v>
      </c>
      <c r="Q43" s="4">
        <f t="shared" si="3"/>
        <v>56.22053666</v>
      </c>
      <c r="V43" s="4">
        <f t="shared" si="4"/>
        <v>123.0065301</v>
      </c>
      <c r="W43" s="4">
        <f t="shared" si="5"/>
        <v>123.2495204</v>
      </c>
      <c r="X43" s="4">
        <f t="shared" si="6"/>
        <v>123.7794633</v>
      </c>
    </row>
    <row r="44">
      <c r="A44" s="3">
        <v>40448.0</v>
      </c>
      <c r="B44" s="2">
        <v>385.0</v>
      </c>
      <c r="C44" s="2">
        <v>239.0</v>
      </c>
      <c r="D44" s="2">
        <v>1597.0</v>
      </c>
      <c r="E44" s="2">
        <v>916.0</v>
      </c>
      <c r="F44" s="2">
        <v>773.0</v>
      </c>
      <c r="G44" s="2">
        <v>495.0</v>
      </c>
      <c r="H44" s="2">
        <v>239.0</v>
      </c>
      <c r="I44" s="2">
        <v>284.0</v>
      </c>
      <c r="J44" s="2">
        <v>518.0</v>
      </c>
      <c r="K44" s="2">
        <v>358.0</v>
      </c>
      <c r="L44" s="4">
        <f t="shared" si="7"/>
        <v>95.33333333</v>
      </c>
      <c r="M44" s="4">
        <f t="shared" si="8"/>
        <v>143.6666667</v>
      </c>
      <c r="N44" s="4">
        <f t="shared" si="9"/>
        <v>143.6666667</v>
      </c>
      <c r="O44" s="4">
        <f t="shared" si="1"/>
        <v>69.29412292</v>
      </c>
      <c r="P44" s="4">
        <f t="shared" si="2"/>
        <v>93.72533569</v>
      </c>
      <c r="Q44" s="4">
        <f t="shared" si="3"/>
        <v>118.1102683</v>
      </c>
      <c r="V44" s="4">
        <f t="shared" si="4"/>
        <v>169.7058771</v>
      </c>
      <c r="W44" s="4">
        <f t="shared" si="5"/>
        <v>145.2746643</v>
      </c>
      <c r="X44" s="4">
        <f t="shared" si="6"/>
        <v>120.8897317</v>
      </c>
    </row>
    <row r="45">
      <c r="A45" s="3">
        <v>40455.0</v>
      </c>
      <c r="B45" s="2">
        <v>507.0</v>
      </c>
      <c r="C45" s="2">
        <v>542.0</v>
      </c>
      <c r="D45" s="2">
        <v>956.0</v>
      </c>
      <c r="E45" s="2">
        <v>262.0</v>
      </c>
      <c r="F45" s="2">
        <v>753.0</v>
      </c>
      <c r="G45" s="2">
        <v>1516.0</v>
      </c>
      <c r="H45" s="2">
        <v>542.0</v>
      </c>
      <c r="I45" s="2">
        <v>919.0</v>
      </c>
      <c r="J45" s="2">
        <v>258.0</v>
      </c>
      <c r="K45" s="2">
        <v>250.0</v>
      </c>
      <c r="L45" s="4">
        <f t="shared" si="7"/>
        <v>152.3333333</v>
      </c>
      <c r="M45" s="4">
        <f t="shared" si="8"/>
        <v>389.6666667</v>
      </c>
      <c r="N45" s="4">
        <f t="shared" si="9"/>
        <v>389.6666667</v>
      </c>
      <c r="O45" s="4">
        <f t="shared" si="1"/>
        <v>86.26471063</v>
      </c>
      <c r="P45" s="4">
        <f t="shared" si="2"/>
        <v>137.307735</v>
      </c>
      <c r="Q45" s="4">
        <f t="shared" si="3"/>
        <v>178.5551342</v>
      </c>
      <c r="V45" s="4">
        <f t="shared" si="4"/>
        <v>455.7352894</v>
      </c>
      <c r="W45" s="4">
        <f t="shared" si="5"/>
        <v>404.692265</v>
      </c>
      <c r="X45" s="4">
        <f t="shared" si="6"/>
        <v>363.4448658</v>
      </c>
    </row>
    <row r="46">
      <c r="A46" s="3">
        <v>40462.0</v>
      </c>
      <c r="B46" s="2">
        <v>322.0</v>
      </c>
      <c r="C46" s="2">
        <v>152.0</v>
      </c>
      <c r="D46" s="2">
        <v>1857.0</v>
      </c>
      <c r="E46" s="2">
        <v>333.0</v>
      </c>
      <c r="F46" s="2">
        <v>2277.0</v>
      </c>
      <c r="G46" s="2">
        <v>530.0</v>
      </c>
      <c r="H46" s="2">
        <v>152.0</v>
      </c>
      <c r="I46" s="2">
        <v>345.0</v>
      </c>
      <c r="J46" s="2">
        <v>917.0</v>
      </c>
      <c r="K46" s="2">
        <v>524.0</v>
      </c>
      <c r="L46" s="4">
        <f t="shared" si="7"/>
        <v>320.3333333</v>
      </c>
      <c r="M46" s="4">
        <f t="shared" si="8"/>
        <v>-168.3333333</v>
      </c>
      <c r="N46" s="4">
        <f t="shared" si="9"/>
        <v>168.3333333</v>
      </c>
      <c r="O46" s="4">
        <f t="shared" si="1"/>
        <v>131.8382396</v>
      </c>
      <c r="P46" s="4">
        <f t="shared" si="2"/>
        <v>258.7154145</v>
      </c>
      <c r="Q46" s="4">
        <f t="shared" si="3"/>
        <v>360.2775671</v>
      </c>
      <c r="V46" s="4">
        <f t="shared" si="4"/>
        <v>20.16176043</v>
      </c>
      <c r="W46" s="4">
        <f t="shared" si="5"/>
        <v>106.7154145</v>
      </c>
      <c r="X46" s="4">
        <f t="shared" si="6"/>
        <v>208.2775671</v>
      </c>
    </row>
    <row r="47">
      <c r="A47" s="3">
        <v>40469.0</v>
      </c>
      <c r="B47" s="2">
        <v>386.0</v>
      </c>
      <c r="C47" s="2">
        <v>228.0</v>
      </c>
      <c r="D47" s="2">
        <v>783.0</v>
      </c>
      <c r="E47" s="2">
        <v>167.0</v>
      </c>
      <c r="F47" s="2">
        <v>1736.0</v>
      </c>
      <c r="G47" s="2">
        <v>406.0</v>
      </c>
      <c r="H47" s="2">
        <v>228.0</v>
      </c>
      <c r="I47" s="2">
        <v>1239.0</v>
      </c>
      <c r="J47" s="2">
        <v>144.0</v>
      </c>
      <c r="K47" s="2">
        <v>141.0</v>
      </c>
      <c r="L47" s="4">
        <f t="shared" si="7"/>
        <v>311</v>
      </c>
      <c r="M47" s="4">
        <f t="shared" si="8"/>
        <v>-83</v>
      </c>
      <c r="N47" s="4">
        <f t="shared" si="9"/>
        <v>83</v>
      </c>
      <c r="O47" s="4">
        <f t="shared" si="1"/>
        <v>133.8544156</v>
      </c>
      <c r="P47" s="4">
        <f t="shared" si="2"/>
        <v>226.7007901</v>
      </c>
      <c r="Q47" s="4">
        <f t="shared" si="3"/>
        <v>256.1387835</v>
      </c>
      <c r="V47" s="4">
        <f t="shared" si="4"/>
        <v>94.14558439</v>
      </c>
      <c r="W47" s="4">
        <f t="shared" si="5"/>
        <v>1.299209859</v>
      </c>
      <c r="X47" s="4">
        <f t="shared" si="6"/>
        <v>28.13878354</v>
      </c>
    </row>
    <row r="48">
      <c r="A48" s="3">
        <v>40476.0</v>
      </c>
      <c r="B48" s="2">
        <v>638.0</v>
      </c>
      <c r="C48" s="2">
        <v>175.0</v>
      </c>
      <c r="D48" s="2">
        <v>515.0</v>
      </c>
      <c r="E48" s="2">
        <v>155.0</v>
      </c>
      <c r="F48" s="2">
        <v>1039.0</v>
      </c>
      <c r="G48" s="2">
        <v>469.0</v>
      </c>
      <c r="H48" s="2">
        <v>175.0</v>
      </c>
      <c r="I48" s="2">
        <v>2582.0</v>
      </c>
      <c r="J48" s="2">
        <v>137.0</v>
      </c>
      <c r="K48" s="2">
        <v>276.0</v>
      </c>
      <c r="L48" s="4">
        <f t="shared" si="7"/>
        <v>307.3333333</v>
      </c>
      <c r="M48" s="4">
        <f t="shared" si="8"/>
        <v>-132.3333333</v>
      </c>
      <c r="N48" s="4">
        <f t="shared" si="9"/>
        <v>132.3333333</v>
      </c>
      <c r="O48" s="4">
        <f t="shared" si="1"/>
        <v>143.2689741</v>
      </c>
      <c r="P48" s="4">
        <f t="shared" si="2"/>
        <v>227.0905531</v>
      </c>
      <c r="Q48" s="4">
        <f t="shared" si="3"/>
        <v>242.0693918</v>
      </c>
      <c r="V48" s="4">
        <f t="shared" si="4"/>
        <v>31.73102595</v>
      </c>
      <c r="W48" s="4">
        <f t="shared" si="5"/>
        <v>52.0905531</v>
      </c>
      <c r="X48" s="4">
        <f t="shared" si="6"/>
        <v>67.06939177</v>
      </c>
    </row>
    <row r="49">
      <c r="A49" s="3">
        <v>40483.0</v>
      </c>
      <c r="B49" s="2">
        <v>227.0</v>
      </c>
      <c r="C49" s="2">
        <v>123.0</v>
      </c>
      <c r="D49" s="2">
        <v>793.0</v>
      </c>
      <c r="E49" s="2">
        <v>58.0</v>
      </c>
      <c r="F49" s="2">
        <v>992.0</v>
      </c>
      <c r="G49" s="2">
        <v>1549.0</v>
      </c>
      <c r="H49" s="2">
        <v>123.0</v>
      </c>
      <c r="I49" s="2">
        <v>926.0</v>
      </c>
      <c r="J49" s="2">
        <v>347.0</v>
      </c>
      <c r="K49" s="2">
        <v>530.0</v>
      </c>
      <c r="L49" s="4">
        <f t="shared" si="7"/>
        <v>185</v>
      </c>
      <c r="M49" s="4">
        <f t="shared" si="8"/>
        <v>-62</v>
      </c>
      <c r="N49" s="4">
        <f t="shared" si="9"/>
        <v>62</v>
      </c>
      <c r="O49" s="4">
        <f t="shared" si="1"/>
        <v>146.4420766</v>
      </c>
      <c r="P49" s="4">
        <f t="shared" si="2"/>
        <v>211.4633872</v>
      </c>
      <c r="Q49" s="4">
        <f t="shared" si="3"/>
        <v>208.5346959</v>
      </c>
      <c r="V49" s="4">
        <f t="shared" si="4"/>
        <v>23.44207665</v>
      </c>
      <c r="W49" s="4">
        <f t="shared" si="5"/>
        <v>88.46338717</v>
      </c>
      <c r="X49" s="4">
        <f t="shared" si="6"/>
        <v>85.53469589</v>
      </c>
    </row>
    <row r="50">
      <c r="A50" s="3">
        <v>40490.0</v>
      </c>
      <c r="B50" s="2">
        <v>570.0</v>
      </c>
      <c r="C50" s="2">
        <v>517.0</v>
      </c>
      <c r="D50" s="2">
        <v>2127.0</v>
      </c>
      <c r="E50" s="2">
        <v>98.0</v>
      </c>
      <c r="F50" s="2">
        <v>5584.0</v>
      </c>
      <c r="G50" s="2">
        <v>1675.0</v>
      </c>
      <c r="H50" s="2">
        <v>517.0</v>
      </c>
      <c r="I50" s="2">
        <v>4115.0</v>
      </c>
      <c r="J50" s="2">
        <v>659.0</v>
      </c>
      <c r="K50" s="2">
        <v>264.0</v>
      </c>
      <c r="L50" s="4">
        <f t="shared" si="7"/>
        <v>175.3333333</v>
      </c>
      <c r="M50" s="4">
        <f t="shared" si="8"/>
        <v>341.6666667</v>
      </c>
      <c r="N50" s="4">
        <f t="shared" si="9"/>
        <v>341.6666667</v>
      </c>
      <c r="O50" s="4">
        <f t="shared" si="1"/>
        <v>144.097869</v>
      </c>
      <c r="P50" s="4">
        <f t="shared" si="2"/>
        <v>184.924371</v>
      </c>
      <c r="Q50" s="4">
        <f t="shared" si="3"/>
        <v>165.7673479</v>
      </c>
      <c r="V50" s="4">
        <f t="shared" si="4"/>
        <v>372.902131</v>
      </c>
      <c r="W50" s="4">
        <f t="shared" si="5"/>
        <v>332.075629</v>
      </c>
      <c r="X50" s="4">
        <f t="shared" si="6"/>
        <v>351.2326521</v>
      </c>
    </row>
    <row r="51">
      <c r="A51" s="3">
        <v>40497.0</v>
      </c>
      <c r="B51" s="2">
        <v>461.0</v>
      </c>
      <c r="C51" s="2">
        <v>304.0</v>
      </c>
      <c r="D51" s="2">
        <v>1215.0</v>
      </c>
      <c r="E51" s="2">
        <v>286.0</v>
      </c>
      <c r="F51" s="2">
        <v>1263.0</v>
      </c>
      <c r="G51" s="2">
        <v>1791.0</v>
      </c>
      <c r="H51" s="2">
        <v>304.0</v>
      </c>
      <c r="I51" s="2">
        <v>1746.0</v>
      </c>
      <c r="J51" s="2">
        <v>699.0</v>
      </c>
      <c r="K51" s="2">
        <v>669.0</v>
      </c>
      <c r="L51" s="4">
        <f t="shared" si="7"/>
        <v>271.6666667</v>
      </c>
      <c r="M51" s="4">
        <f t="shared" si="8"/>
        <v>32.33333333</v>
      </c>
      <c r="N51" s="4">
        <f t="shared" si="9"/>
        <v>32.33333333</v>
      </c>
      <c r="O51" s="4">
        <f t="shared" si="1"/>
        <v>181.3880821</v>
      </c>
      <c r="P51" s="4">
        <f t="shared" si="2"/>
        <v>284.5470597</v>
      </c>
      <c r="Q51" s="4">
        <f t="shared" si="3"/>
        <v>341.383674</v>
      </c>
      <c r="V51" s="4">
        <f t="shared" si="4"/>
        <v>122.6119179</v>
      </c>
      <c r="W51" s="4">
        <f t="shared" si="5"/>
        <v>19.45294029</v>
      </c>
      <c r="X51" s="4">
        <f t="shared" si="6"/>
        <v>37.38367397</v>
      </c>
    </row>
    <row r="52">
      <c r="A52" s="3">
        <v>40504.0</v>
      </c>
      <c r="B52" s="2">
        <v>493.0</v>
      </c>
      <c r="C52" s="2">
        <v>343.0</v>
      </c>
      <c r="D52" s="2">
        <v>1223.0</v>
      </c>
      <c r="E52" s="2">
        <v>67.0</v>
      </c>
      <c r="F52" s="2">
        <v>787.0</v>
      </c>
      <c r="G52" s="2">
        <v>1716.0</v>
      </c>
      <c r="H52" s="2">
        <v>343.0</v>
      </c>
      <c r="I52" s="2">
        <v>2207.0</v>
      </c>
      <c r="J52" s="2">
        <v>273.0</v>
      </c>
      <c r="K52" s="2">
        <v>327.0</v>
      </c>
      <c r="L52" s="4">
        <f t="shared" si="7"/>
        <v>314.6666667</v>
      </c>
      <c r="M52" s="4">
        <f t="shared" si="8"/>
        <v>28.33333333</v>
      </c>
      <c r="N52" s="4">
        <f t="shared" si="9"/>
        <v>28.33333333</v>
      </c>
      <c r="O52" s="4">
        <f t="shared" si="1"/>
        <v>193.6492739</v>
      </c>
      <c r="P52" s="4">
        <f t="shared" si="2"/>
        <v>290.3829418</v>
      </c>
      <c r="Q52" s="4">
        <f t="shared" si="3"/>
        <v>322.691837</v>
      </c>
      <c r="V52" s="4">
        <f t="shared" si="4"/>
        <v>149.3507261</v>
      </c>
      <c r="W52" s="4">
        <f t="shared" si="5"/>
        <v>52.6170582</v>
      </c>
      <c r="X52" s="4">
        <f t="shared" si="6"/>
        <v>20.30816301</v>
      </c>
    </row>
    <row r="53">
      <c r="A53" s="3">
        <v>40511.0</v>
      </c>
      <c r="B53" s="2">
        <v>928.0</v>
      </c>
      <c r="C53" s="2">
        <v>848.0</v>
      </c>
      <c r="D53" s="2">
        <v>1767.0</v>
      </c>
      <c r="E53" s="2">
        <v>69.0</v>
      </c>
      <c r="F53" s="2">
        <v>1192.0</v>
      </c>
      <c r="G53" s="2">
        <v>1149.0</v>
      </c>
      <c r="H53" s="2">
        <v>848.0</v>
      </c>
      <c r="I53" s="2">
        <v>683.0</v>
      </c>
      <c r="J53" s="2">
        <v>262.0</v>
      </c>
      <c r="K53" s="2">
        <v>293.0</v>
      </c>
      <c r="L53" s="4">
        <f t="shared" si="7"/>
        <v>388</v>
      </c>
      <c r="M53" s="4">
        <f t="shared" si="8"/>
        <v>460</v>
      </c>
      <c r="N53" s="4">
        <f t="shared" si="9"/>
        <v>460</v>
      </c>
      <c r="O53" s="4">
        <f t="shared" si="1"/>
        <v>208.5843465</v>
      </c>
      <c r="P53" s="4">
        <f t="shared" si="2"/>
        <v>306.1680593</v>
      </c>
      <c r="Q53" s="4">
        <f t="shared" si="3"/>
        <v>332.8459185</v>
      </c>
      <c r="V53" s="4">
        <f t="shared" si="4"/>
        <v>639.4156535</v>
      </c>
      <c r="W53" s="4">
        <f t="shared" si="5"/>
        <v>541.8319407</v>
      </c>
      <c r="X53" s="4">
        <f t="shared" si="6"/>
        <v>515.1540815</v>
      </c>
    </row>
    <row r="54">
      <c r="A54" s="3">
        <v>40518.0</v>
      </c>
      <c r="B54" s="2">
        <v>850.0</v>
      </c>
      <c r="C54" s="2">
        <v>337.0</v>
      </c>
      <c r="D54" s="2">
        <v>852.0</v>
      </c>
      <c r="E54" s="2">
        <v>165.0</v>
      </c>
      <c r="F54" s="2">
        <v>789.0</v>
      </c>
      <c r="G54" s="2">
        <v>1054.0</v>
      </c>
      <c r="H54" s="2">
        <v>337.0</v>
      </c>
      <c r="I54" s="2">
        <v>1012.0</v>
      </c>
      <c r="J54" s="2">
        <v>270.0</v>
      </c>
      <c r="K54" s="2">
        <v>283.0</v>
      </c>
      <c r="L54" s="4">
        <f t="shared" si="7"/>
        <v>498.3333333</v>
      </c>
      <c r="M54" s="4">
        <f t="shared" si="8"/>
        <v>-161.3333333</v>
      </c>
      <c r="N54" s="4">
        <f t="shared" si="9"/>
        <v>161.3333333</v>
      </c>
      <c r="O54" s="4">
        <f t="shared" si="1"/>
        <v>272.5259118</v>
      </c>
      <c r="P54" s="4">
        <f t="shared" si="2"/>
        <v>468.7176415</v>
      </c>
      <c r="Q54" s="4">
        <f t="shared" si="3"/>
        <v>590.4229592</v>
      </c>
      <c r="V54" s="4">
        <f t="shared" si="4"/>
        <v>64.47408816</v>
      </c>
      <c r="W54" s="4">
        <f t="shared" si="5"/>
        <v>131.7176415</v>
      </c>
      <c r="X54" s="4">
        <f t="shared" si="6"/>
        <v>253.4229592</v>
      </c>
    </row>
    <row r="55">
      <c r="A55" s="3">
        <v>40525.0</v>
      </c>
      <c r="B55" s="2">
        <v>434.0</v>
      </c>
      <c r="C55" s="2">
        <v>589.0</v>
      </c>
      <c r="D55" s="2">
        <v>417.0</v>
      </c>
      <c r="E55" s="2">
        <v>29.0</v>
      </c>
      <c r="F55" s="2">
        <v>638.0</v>
      </c>
      <c r="G55" s="2">
        <v>597.0</v>
      </c>
      <c r="H55" s="2">
        <v>589.0</v>
      </c>
      <c r="I55" s="2">
        <v>981.0</v>
      </c>
      <c r="J55" s="2">
        <v>107.0</v>
      </c>
      <c r="K55" s="2">
        <v>187.0</v>
      </c>
      <c r="L55" s="4">
        <f t="shared" si="7"/>
        <v>509.3333333</v>
      </c>
      <c r="M55" s="4">
        <f t="shared" si="8"/>
        <v>79.66666667</v>
      </c>
      <c r="N55" s="4">
        <f t="shared" si="9"/>
        <v>79.66666667</v>
      </c>
      <c r="O55" s="4">
        <f t="shared" si="1"/>
        <v>278.9733207</v>
      </c>
      <c r="P55" s="4">
        <f t="shared" si="2"/>
        <v>429.202349</v>
      </c>
      <c r="Q55" s="4">
        <f t="shared" si="3"/>
        <v>463.7114796</v>
      </c>
      <c r="V55" s="4">
        <f t="shared" si="4"/>
        <v>310.0266793</v>
      </c>
      <c r="W55" s="4">
        <f t="shared" si="5"/>
        <v>159.797651</v>
      </c>
      <c r="X55" s="4">
        <f t="shared" si="6"/>
        <v>125.2885204</v>
      </c>
    </row>
    <row r="56">
      <c r="A56" s="3">
        <v>40532.0</v>
      </c>
      <c r="B56" s="2">
        <v>177.0</v>
      </c>
      <c r="C56" s="2">
        <v>60.0</v>
      </c>
      <c r="D56" s="2">
        <v>180.0</v>
      </c>
      <c r="E56" s="2">
        <v>23.0</v>
      </c>
      <c r="F56" s="2">
        <v>40.0</v>
      </c>
      <c r="G56" s="2">
        <v>125.0</v>
      </c>
      <c r="H56" s="2">
        <v>60.0</v>
      </c>
      <c r="I56" s="2">
        <v>252.0</v>
      </c>
      <c r="J56" s="2">
        <v>9.0</v>
      </c>
      <c r="K56" s="2">
        <v>44.0</v>
      </c>
      <c r="L56" s="4">
        <f t="shared" si="7"/>
        <v>591.3333333</v>
      </c>
      <c r="M56" s="4">
        <f t="shared" si="8"/>
        <v>-531.3333333</v>
      </c>
      <c r="N56" s="4">
        <f t="shared" si="9"/>
        <v>531.3333333</v>
      </c>
      <c r="O56" s="4">
        <f t="shared" si="1"/>
        <v>309.9759886</v>
      </c>
      <c r="P56" s="4">
        <f t="shared" si="2"/>
        <v>477.1416443</v>
      </c>
      <c r="Q56" s="4">
        <f t="shared" si="3"/>
        <v>526.3557398</v>
      </c>
      <c r="V56" s="4">
        <f t="shared" si="4"/>
        <v>249.9759886</v>
      </c>
      <c r="W56" s="4">
        <f t="shared" si="5"/>
        <v>417.1416443</v>
      </c>
      <c r="X56" s="4">
        <f t="shared" si="6"/>
        <v>466.3557398</v>
      </c>
    </row>
    <row r="57">
      <c r="A57" s="3">
        <v>40539.0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f t="shared" si="7"/>
        <v>328.6666667</v>
      </c>
      <c r="M57" s="4">
        <f t="shared" si="8"/>
        <v>-328.6666667</v>
      </c>
      <c r="N57" s="4">
        <f t="shared" si="9"/>
        <v>328.6666667</v>
      </c>
      <c r="O57" s="4">
        <f t="shared" si="1"/>
        <v>284.9783897</v>
      </c>
      <c r="P57" s="4">
        <f t="shared" si="2"/>
        <v>351.999151</v>
      </c>
      <c r="Q57" s="4">
        <f t="shared" si="3"/>
        <v>293.1778699</v>
      </c>
      <c r="V57" s="4">
        <f t="shared" si="4"/>
        <v>284.9783897</v>
      </c>
      <c r="W57" s="4">
        <f t="shared" si="5"/>
        <v>351.999151</v>
      </c>
      <c r="X57" s="4">
        <f t="shared" si="6"/>
        <v>293.1778699</v>
      </c>
    </row>
    <row r="58">
      <c r="A58" s="3">
        <v>40546.0</v>
      </c>
      <c r="B58" s="2">
        <v>251.0</v>
      </c>
      <c r="C58" s="2">
        <v>861.0</v>
      </c>
      <c r="D58" s="2">
        <v>1274.0</v>
      </c>
      <c r="E58" s="2">
        <v>145.0</v>
      </c>
      <c r="F58" s="2">
        <v>480.0</v>
      </c>
      <c r="G58" s="2">
        <v>16.0</v>
      </c>
      <c r="H58" s="2">
        <v>861.0</v>
      </c>
      <c r="I58" s="2">
        <v>797.0</v>
      </c>
      <c r="J58" s="2">
        <v>523.0</v>
      </c>
      <c r="K58" s="2">
        <v>362.0</v>
      </c>
      <c r="L58" s="4">
        <f t="shared" si="7"/>
        <v>216.3333333</v>
      </c>
      <c r="M58" s="4">
        <f t="shared" si="8"/>
        <v>644.6666667</v>
      </c>
      <c r="N58" s="4">
        <f t="shared" si="9"/>
        <v>644.6666667</v>
      </c>
      <c r="O58" s="4">
        <f t="shared" si="1"/>
        <v>256.4805508</v>
      </c>
      <c r="P58" s="4">
        <f t="shared" si="2"/>
        <v>246.3994057</v>
      </c>
      <c r="Q58" s="4">
        <f t="shared" si="3"/>
        <v>146.588935</v>
      </c>
      <c r="V58" s="4">
        <f t="shared" si="4"/>
        <v>604.5194492</v>
      </c>
      <c r="W58" s="4">
        <f t="shared" si="5"/>
        <v>614.6005943</v>
      </c>
      <c r="X58" s="4">
        <f t="shared" si="6"/>
        <v>714.411065</v>
      </c>
    </row>
    <row r="59">
      <c r="A59" s="3">
        <v>40553.0</v>
      </c>
      <c r="B59" s="2">
        <v>404.0</v>
      </c>
      <c r="C59" s="2">
        <v>175.0</v>
      </c>
      <c r="D59" s="2">
        <v>225.0</v>
      </c>
      <c r="E59" s="2">
        <v>85.0</v>
      </c>
      <c r="F59" s="2">
        <v>442.0</v>
      </c>
      <c r="G59" s="2">
        <v>6.0</v>
      </c>
      <c r="H59" s="2">
        <v>175.0</v>
      </c>
      <c r="I59" s="2">
        <v>344.0</v>
      </c>
      <c r="J59" s="2">
        <v>323.0</v>
      </c>
      <c r="K59" s="2">
        <v>642.0</v>
      </c>
      <c r="L59" s="4">
        <f t="shared" si="7"/>
        <v>307</v>
      </c>
      <c r="M59" s="4">
        <f t="shared" si="8"/>
        <v>-132</v>
      </c>
      <c r="N59" s="4">
        <f t="shared" si="9"/>
        <v>132</v>
      </c>
      <c r="O59" s="4">
        <f t="shared" si="1"/>
        <v>316.9324957</v>
      </c>
      <c r="P59" s="4">
        <f t="shared" si="2"/>
        <v>430.779584</v>
      </c>
      <c r="Q59" s="4">
        <f t="shared" si="3"/>
        <v>503.7944675</v>
      </c>
      <c r="V59" s="4">
        <f t="shared" si="4"/>
        <v>141.9324957</v>
      </c>
      <c r="W59" s="4">
        <f t="shared" si="5"/>
        <v>255.779584</v>
      </c>
      <c r="X59" s="4">
        <f t="shared" si="6"/>
        <v>328.7944675</v>
      </c>
    </row>
    <row r="60">
      <c r="A60" s="3">
        <v>40560.0</v>
      </c>
      <c r="B60" s="2">
        <v>138.0</v>
      </c>
      <c r="C60" s="2">
        <v>165.0</v>
      </c>
      <c r="D60" s="2">
        <v>594.0</v>
      </c>
      <c r="E60" s="2">
        <v>69.0</v>
      </c>
      <c r="F60" s="2">
        <v>139.0</v>
      </c>
      <c r="G60" s="2">
        <v>2.0</v>
      </c>
      <c r="H60" s="2">
        <v>165.0</v>
      </c>
      <c r="I60" s="2">
        <v>261.0</v>
      </c>
      <c r="J60" s="2">
        <v>73.0</v>
      </c>
      <c r="K60" s="2">
        <v>128.0</v>
      </c>
      <c r="L60" s="4">
        <f t="shared" si="7"/>
        <v>345.3333333</v>
      </c>
      <c r="M60" s="4">
        <f t="shared" si="8"/>
        <v>-180.3333333</v>
      </c>
      <c r="N60" s="4">
        <f t="shared" si="9"/>
        <v>180.3333333</v>
      </c>
      <c r="O60" s="4">
        <f t="shared" si="1"/>
        <v>302.7392461</v>
      </c>
      <c r="P60" s="4">
        <f t="shared" si="2"/>
        <v>354.0457088</v>
      </c>
      <c r="Q60" s="4">
        <f t="shared" si="3"/>
        <v>339.3972337</v>
      </c>
      <c r="V60" s="4">
        <f t="shared" si="4"/>
        <v>137.7392461</v>
      </c>
      <c r="W60" s="4">
        <f t="shared" si="5"/>
        <v>189.0457088</v>
      </c>
      <c r="X60" s="4">
        <f t="shared" si="6"/>
        <v>174.3972337</v>
      </c>
    </row>
    <row r="61">
      <c r="A61" s="3">
        <v>40567.0</v>
      </c>
      <c r="B61" s="2">
        <v>228.0</v>
      </c>
      <c r="C61" s="2">
        <v>105.0</v>
      </c>
      <c r="D61" s="2">
        <v>502.0</v>
      </c>
      <c r="E61" s="2">
        <v>171.0</v>
      </c>
      <c r="F61" s="2">
        <v>344.0</v>
      </c>
      <c r="G61" s="2">
        <v>0.0</v>
      </c>
      <c r="H61" s="2">
        <v>105.0</v>
      </c>
      <c r="I61" s="2">
        <v>351.0</v>
      </c>
      <c r="J61" s="2">
        <v>199.0</v>
      </c>
      <c r="K61" s="2">
        <v>171.0</v>
      </c>
      <c r="L61" s="4">
        <f t="shared" si="7"/>
        <v>400.3333333</v>
      </c>
      <c r="M61" s="4">
        <f t="shared" si="8"/>
        <v>-295.3333333</v>
      </c>
      <c r="N61" s="4">
        <f t="shared" si="9"/>
        <v>295.3333333</v>
      </c>
      <c r="O61" s="4">
        <f t="shared" si="1"/>
        <v>288.9653215</v>
      </c>
      <c r="P61" s="4">
        <f t="shared" si="2"/>
        <v>297.3319962</v>
      </c>
      <c r="Q61" s="4">
        <f t="shared" si="3"/>
        <v>252.1986169</v>
      </c>
      <c r="V61" s="4">
        <f t="shared" si="4"/>
        <v>183.9653215</v>
      </c>
      <c r="W61" s="4">
        <f t="shared" si="5"/>
        <v>192.3319962</v>
      </c>
      <c r="X61" s="4">
        <f t="shared" si="6"/>
        <v>147.1986169</v>
      </c>
    </row>
    <row r="62">
      <c r="A62" s="3">
        <v>40574.0</v>
      </c>
      <c r="B62" s="2">
        <v>149.0</v>
      </c>
      <c r="C62" s="2">
        <v>99.0</v>
      </c>
      <c r="D62" s="2">
        <v>965.0</v>
      </c>
      <c r="E62" s="2">
        <v>232.0</v>
      </c>
      <c r="F62" s="2">
        <v>937.0</v>
      </c>
      <c r="G62" s="2">
        <v>0.0</v>
      </c>
      <c r="H62" s="2">
        <v>99.0</v>
      </c>
      <c r="I62" s="2">
        <v>107.0</v>
      </c>
      <c r="J62" s="2">
        <v>225.0</v>
      </c>
      <c r="K62" s="2">
        <v>417.0</v>
      </c>
      <c r="L62" s="4">
        <f t="shared" si="7"/>
        <v>148.3333333</v>
      </c>
      <c r="M62" s="4">
        <f t="shared" si="8"/>
        <v>-49.33333333</v>
      </c>
      <c r="N62" s="4">
        <f t="shared" si="9"/>
        <v>49.33333333</v>
      </c>
      <c r="O62" s="4">
        <f t="shared" si="1"/>
        <v>270.5687894</v>
      </c>
      <c r="P62" s="4">
        <f t="shared" si="2"/>
        <v>239.6323973</v>
      </c>
      <c r="Q62" s="4">
        <f t="shared" si="3"/>
        <v>178.5993084</v>
      </c>
      <c r="V62" s="4">
        <f t="shared" si="4"/>
        <v>171.5687894</v>
      </c>
      <c r="W62" s="4">
        <f t="shared" si="5"/>
        <v>140.6323973</v>
      </c>
      <c r="X62" s="4">
        <f t="shared" si="6"/>
        <v>79.59930843</v>
      </c>
    </row>
    <row r="63">
      <c r="A63" s="3">
        <v>40581.0</v>
      </c>
      <c r="B63" s="2">
        <v>137.0</v>
      </c>
      <c r="C63" s="2">
        <v>192.0</v>
      </c>
      <c r="D63" s="2">
        <v>288.0</v>
      </c>
      <c r="E63" s="2">
        <v>291.0</v>
      </c>
      <c r="F63" s="2">
        <v>160.0</v>
      </c>
      <c r="G63" s="2">
        <v>0.0</v>
      </c>
      <c r="H63" s="2">
        <v>192.0</v>
      </c>
      <c r="I63" s="2">
        <v>239.0</v>
      </c>
      <c r="J63" s="2">
        <v>95.0</v>
      </c>
      <c r="K63" s="2">
        <v>255.0</v>
      </c>
      <c r="L63" s="4">
        <f t="shared" si="7"/>
        <v>123</v>
      </c>
      <c r="M63" s="4">
        <f t="shared" si="8"/>
        <v>69</v>
      </c>
      <c r="N63" s="4">
        <f t="shared" si="9"/>
        <v>69</v>
      </c>
      <c r="O63" s="4">
        <f t="shared" si="1"/>
        <v>253.4119104</v>
      </c>
      <c r="P63" s="4">
        <f t="shared" si="2"/>
        <v>197.4426781</v>
      </c>
      <c r="Q63" s="4">
        <f t="shared" si="3"/>
        <v>138.7996542</v>
      </c>
      <c r="V63" s="4">
        <f t="shared" si="4"/>
        <v>61.41191042</v>
      </c>
      <c r="W63" s="4">
        <f t="shared" si="5"/>
        <v>5.442678119</v>
      </c>
      <c r="X63" s="4">
        <f t="shared" si="6"/>
        <v>53.20034578</v>
      </c>
    </row>
    <row r="64">
      <c r="A64" s="3">
        <v>40588.0</v>
      </c>
      <c r="B64" s="2">
        <v>399.0</v>
      </c>
      <c r="C64" s="2">
        <v>305.0</v>
      </c>
      <c r="D64" s="2">
        <v>985.0</v>
      </c>
      <c r="E64" s="2">
        <v>189.0</v>
      </c>
      <c r="F64" s="2">
        <v>588.0</v>
      </c>
      <c r="G64" s="2">
        <v>2.0</v>
      </c>
      <c r="H64" s="2">
        <v>305.0</v>
      </c>
      <c r="I64" s="2">
        <v>1040.0</v>
      </c>
      <c r="J64" s="2">
        <v>409.0</v>
      </c>
      <c r="K64" s="2">
        <v>291.0</v>
      </c>
      <c r="L64" s="4">
        <f t="shared" si="7"/>
        <v>132</v>
      </c>
      <c r="M64" s="4">
        <f t="shared" si="8"/>
        <v>173</v>
      </c>
      <c r="N64" s="4">
        <f t="shared" si="9"/>
        <v>173</v>
      </c>
      <c r="O64" s="4">
        <f t="shared" si="1"/>
        <v>247.2707194</v>
      </c>
      <c r="P64" s="4">
        <f t="shared" si="2"/>
        <v>195.8098747</v>
      </c>
      <c r="Q64" s="4">
        <f t="shared" si="3"/>
        <v>165.3998271</v>
      </c>
      <c r="V64" s="4">
        <f t="shared" si="4"/>
        <v>57.72928063</v>
      </c>
      <c r="W64" s="4">
        <f t="shared" si="5"/>
        <v>109.1901253</v>
      </c>
      <c r="X64" s="4">
        <f t="shared" si="6"/>
        <v>139.6001729</v>
      </c>
    </row>
    <row r="65">
      <c r="A65" s="3">
        <v>40595.0</v>
      </c>
      <c r="B65" s="2">
        <v>203.0</v>
      </c>
      <c r="C65" s="2">
        <v>75.0</v>
      </c>
      <c r="D65" s="2">
        <v>810.0</v>
      </c>
      <c r="E65" s="2">
        <v>157.0</v>
      </c>
      <c r="F65" s="2">
        <v>328.0</v>
      </c>
      <c r="G65" s="2">
        <v>2.0</v>
      </c>
      <c r="H65" s="2">
        <v>75.0</v>
      </c>
      <c r="I65" s="2">
        <v>1312.0</v>
      </c>
      <c r="J65" s="2">
        <v>260.0</v>
      </c>
      <c r="K65" s="2">
        <v>369.0</v>
      </c>
      <c r="L65" s="4">
        <f t="shared" si="7"/>
        <v>198.6666667</v>
      </c>
      <c r="M65" s="4">
        <f t="shared" si="8"/>
        <v>-123.6666667</v>
      </c>
      <c r="N65" s="4">
        <f t="shared" si="9"/>
        <v>123.6666667</v>
      </c>
      <c r="O65" s="4">
        <f t="shared" si="1"/>
        <v>253.0436474</v>
      </c>
      <c r="P65" s="4">
        <f t="shared" si="2"/>
        <v>228.5669123</v>
      </c>
      <c r="Q65" s="4">
        <f t="shared" si="3"/>
        <v>235.1999136</v>
      </c>
      <c r="V65" s="4">
        <f t="shared" si="4"/>
        <v>178.0436474</v>
      </c>
      <c r="W65" s="4">
        <f t="shared" si="5"/>
        <v>153.5669123</v>
      </c>
      <c r="X65" s="4">
        <f t="shared" si="6"/>
        <v>160.1999136</v>
      </c>
    </row>
    <row r="66">
      <c r="A66" s="3">
        <v>40602.0</v>
      </c>
      <c r="B66" s="2">
        <v>348.0</v>
      </c>
      <c r="C66" s="2">
        <v>39.0</v>
      </c>
      <c r="D66" s="2">
        <v>624.0</v>
      </c>
      <c r="E66" s="2">
        <v>255.0</v>
      </c>
      <c r="F66" s="2">
        <v>213.0</v>
      </c>
      <c r="G66" s="2">
        <v>45.0</v>
      </c>
      <c r="H66" s="2">
        <v>39.0</v>
      </c>
      <c r="I66" s="2">
        <v>370.0</v>
      </c>
      <c r="J66" s="2">
        <v>174.0</v>
      </c>
      <c r="K66" s="2">
        <v>175.0</v>
      </c>
      <c r="L66" s="4">
        <f t="shared" si="7"/>
        <v>190.6666667</v>
      </c>
      <c r="M66" s="4">
        <f t="shared" si="8"/>
        <v>-151.6666667</v>
      </c>
      <c r="N66" s="4">
        <f t="shared" si="9"/>
        <v>151.6666667</v>
      </c>
      <c r="O66" s="4">
        <f t="shared" si="1"/>
        <v>235.2392827</v>
      </c>
      <c r="P66" s="4">
        <f t="shared" si="2"/>
        <v>182.4968386</v>
      </c>
      <c r="Q66" s="4">
        <f t="shared" si="3"/>
        <v>155.0999568</v>
      </c>
      <c r="V66" s="4">
        <f t="shared" si="4"/>
        <v>196.2392827</v>
      </c>
      <c r="W66" s="4">
        <f t="shared" si="5"/>
        <v>143.4968386</v>
      </c>
      <c r="X66" s="4">
        <f t="shared" si="6"/>
        <v>116.0999568</v>
      </c>
    </row>
    <row r="67">
      <c r="A67" s="3">
        <v>40609.0</v>
      </c>
      <c r="B67" s="2">
        <v>190.0</v>
      </c>
      <c r="C67" s="2">
        <v>270.0</v>
      </c>
      <c r="D67" s="2">
        <v>738.0</v>
      </c>
      <c r="E67" s="2">
        <v>205.0</v>
      </c>
      <c r="F67" s="2">
        <v>642.0</v>
      </c>
      <c r="G67" s="2">
        <v>1.0</v>
      </c>
      <c r="H67" s="2">
        <v>270.0</v>
      </c>
      <c r="I67" s="2">
        <v>779.0</v>
      </c>
      <c r="J67" s="2">
        <v>374.0</v>
      </c>
      <c r="K67" s="2">
        <v>148.0</v>
      </c>
      <c r="L67" s="4">
        <f t="shared" si="7"/>
        <v>139.6666667</v>
      </c>
      <c r="M67" s="4">
        <f t="shared" si="8"/>
        <v>130.3333333</v>
      </c>
      <c r="N67" s="4">
        <f t="shared" si="9"/>
        <v>130.3333333</v>
      </c>
      <c r="O67" s="4">
        <f t="shared" si="1"/>
        <v>215.6153544</v>
      </c>
      <c r="P67" s="4">
        <f t="shared" si="2"/>
        <v>139.447787</v>
      </c>
      <c r="Q67" s="4">
        <f t="shared" si="3"/>
        <v>97.04997839</v>
      </c>
      <c r="V67" s="4">
        <f t="shared" si="4"/>
        <v>54.38464558</v>
      </c>
      <c r="W67" s="4">
        <f t="shared" si="5"/>
        <v>130.552213</v>
      </c>
      <c r="X67" s="4">
        <f t="shared" si="6"/>
        <v>172.9500216</v>
      </c>
    </row>
    <row r="68">
      <c r="A68" s="3">
        <v>40616.0</v>
      </c>
      <c r="B68" s="2">
        <v>308.0</v>
      </c>
      <c r="C68" s="2">
        <v>108.0</v>
      </c>
      <c r="D68" s="2">
        <v>1546.0</v>
      </c>
      <c r="E68" s="2">
        <v>606.0</v>
      </c>
      <c r="F68" s="2">
        <v>963.0</v>
      </c>
      <c r="G68" s="2">
        <v>0.0</v>
      </c>
      <c r="H68" s="2">
        <v>108.0</v>
      </c>
      <c r="I68" s="2">
        <v>583.0</v>
      </c>
      <c r="J68" s="2">
        <v>1083.0</v>
      </c>
      <c r="K68" s="2">
        <v>278.0</v>
      </c>
      <c r="L68" s="4">
        <f t="shared" si="7"/>
        <v>128</v>
      </c>
      <c r="M68" s="4">
        <f t="shared" si="8"/>
        <v>-20</v>
      </c>
      <c r="N68" s="4">
        <f t="shared" si="9"/>
        <v>20</v>
      </c>
      <c r="O68" s="4">
        <f t="shared" si="1"/>
        <v>221.053819</v>
      </c>
      <c r="P68" s="4">
        <f t="shared" si="2"/>
        <v>178.6134509</v>
      </c>
      <c r="Q68" s="4">
        <f t="shared" si="3"/>
        <v>183.5249892</v>
      </c>
      <c r="V68" s="4">
        <f t="shared" si="4"/>
        <v>113.053819</v>
      </c>
      <c r="W68" s="4">
        <f t="shared" si="5"/>
        <v>70.61345091</v>
      </c>
      <c r="X68" s="4">
        <f t="shared" si="6"/>
        <v>75.52498919</v>
      </c>
    </row>
    <row r="69">
      <c r="A69" s="3">
        <v>40623.0</v>
      </c>
      <c r="B69" s="2">
        <v>327.0</v>
      </c>
      <c r="C69" s="2">
        <v>22.0</v>
      </c>
      <c r="D69" s="2">
        <v>1379.0</v>
      </c>
      <c r="E69" s="2">
        <v>325.0</v>
      </c>
      <c r="F69" s="2">
        <v>391.0</v>
      </c>
      <c r="G69" s="2">
        <v>42.0</v>
      </c>
      <c r="H69" s="2">
        <v>22.0</v>
      </c>
      <c r="I69" s="2">
        <v>237.0</v>
      </c>
      <c r="J69" s="2">
        <v>586.0</v>
      </c>
      <c r="K69" s="2">
        <v>379.0</v>
      </c>
      <c r="L69" s="4">
        <f t="shared" si="7"/>
        <v>139</v>
      </c>
      <c r="M69" s="4">
        <f t="shared" si="8"/>
        <v>-117</v>
      </c>
      <c r="N69" s="4">
        <f t="shared" si="9"/>
        <v>117</v>
      </c>
      <c r="O69" s="4">
        <f t="shared" si="1"/>
        <v>209.7484371</v>
      </c>
      <c r="P69" s="4">
        <f t="shared" si="2"/>
        <v>157.4294156</v>
      </c>
      <c r="Q69" s="4">
        <f t="shared" si="3"/>
        <v>145.7624946</v>
      </c>
      <c r="V69" s="4">
        <f t="shared" si="4"/>
        <v>187.7484371</v>
      </c>
      <c r="W69" s="4">
        <f t="shared" si="5"/>
        <v>135.4294156</v>
      </c>
      <c r="X69" s="4">
        <f t="shared" si="6"/>
        <v>123.7624946</v>
      </c>
    </row>
    <row r="70">
      <c r="A70" s="3">
        <v>40630.0</v>
      </c>
      <c r="B70" s="2">
        <v>282.0</v>
      </c>
      <c r="C70" s="2">
        <v>85.0</v>
      </c>
      <c r="D70" s="2">
        <v>1103.0</v>
      </c>
      <c r="E70" s="2">
        <v>368.0</v>
      </c>
      <c r="F70" s="2">
        <v>585.0</v>
      </c>
      <c r="G70" s="2">
        <v>3.0</v>
      </c>
      <c r="H70" s="2">
        <v>85.0</v>
      </c>
      <c r="I70" s="2">
        <v>1030.0</v>
      </c>
      <c r="J70" s="2">
        <v>665.0</v>
      </c>
      <c r="K70" s="2">
        <v>587.0</v>
      </c>
      <c r="L70" s="4">
        <f t="shared" si="7"/>
        <v>133.3333333</v>
      </c>
      <c r="M70" s="4">
        <f t="shared" si="8"/>
        <v>-48.33333333</v>
      </c>
      <c r="N70" s="4">
        <f t="shared" si="9"/>
        <v>48.33333333</v>
      </c>
      <c r="O70" s="4">
        <f t="shared" si="1"/>
        <v>190.9735934</v>
      </c>
      <c r="P70" s="4">
        <f t="shared" si="2"/>
        <v>116.8005909</v>
      </c>
      <c r="Q70" s="4">
        <f t="shared" si="3"/>
        <v>83.8812473</v>
      </c>
      <c r="V70" s="4">
        <f t="shared" si="4"/>
        <v>105.9735934</v>
      </c>
      <c r="W70" s="4">
        <f t="shared" si="5"/>
        <v>31.80059095</v>
      </c>
      <c r="X70" s="4">
        <f t="shared" si="6"/>
        <v>1.118752701</v>
      </c>
    </row>
    <row r="71">
      <c r="A71" s="3">
        <v>40637.0</v>
      </c>
      <c r="B71" s="2">
        <v>274.0</v>
      </c>
      <c r="C71" s="2">
        <v>14.0</v>
      </c>
      <c r="D71" s="2">
        <v>975.0</v>
      </c>
      <c r="E71" s="2">
        <v>460.0</v>
      </c>
      <c r="F71" s="2">
        <v>753.0</v>
      </c>
      <c r="G71" s="2">
        <v>9.0</v>
      </c>
      <c r="H71" s="2">
        <v>14.0</v>
      </c>
      <c r="I71" s="2">
        <v>564.0</v>
      </c>
      <c r="J71" s="2">
        <v>125.0</v>
      </c>
      <c r="K71" s="2">
        <v>247.0</v>
      </c>
      <c r="L71" s="4">
        <f t="shared" si="7"/>
        <v>71.66666667</v>
      </c>
      <c r="M71" s="4">
        <f t="shared" si="8"/>
        <v>-57.66666667</v>
      </c>
      <c r="N71" s="4">
        <f t="shared" si="9"/>
        <v>57.66666667</v>
      </c>
      <c r="O71" s="4">
        <f t="shared" si="1"/>
        <v>180.376234</v>
      </c>
      <c r="P71" s="4">
        <f t="shared" si="2"/>
        <v>107.2604137</v>
      </c>
      <c r="Q71" s="4">
        <f t="shared" si="3"/>
        <v>84.44062365</v>
      </c>
      <c r="V71" s="4">
        <f t="shared" si="4"/>
        <v>166.376234</v>
      </c>
      <c r="W71" s="4">
        <f t="shared" si="5"/>
        <v>93.26041366</v>
      </c>
      <c r="X71" s="4">
        <f t="shared" si="6"/>
        <v>70.44062365</v>
      </c>
    </row>
    <row r="72">
      <c r="A72" s="3">
        <v>40644.0</v>
      </c>
      <c r="B72" s="2">
        <v>362.0</v>
      </c>
      <c r="C72" s="2">
        <v>5.0</v>
      </c>
      <c r="D72" s="2">
        <v>616.0</v>
      </c>
      <c r="E72" s="2">
        <v>542.0</v>
      </c>
      <c r="F72" s="2">
        <v>815.0</v>
      </c>
      <c r="G72" s="2">
        <v>0.0</v>
      </c>
      <c r="H72" s="2">
        <v>5.0</v>
      </c>
      <c r="I72" s="2">
        <v>784.0</v>
      </c>
      <c r="J72" s="2">
        <v>119.0</v>
      </c>
      <c r="K72" s="2">
        <v>305.0</v>
      </c>
      <c r="L72" s="4">
        <f t="shared" si="7"/>
        <v>40.33333333</v>
      </c>
      <c r="M72" s="4">
        <f t="shared" si="8"/>
        <v>-35.33333333</v>
      </c>
      <c r="N72" s="4">
        <f t="shared" si="9"/>
        <v>35.33333333</v>
      </c>
      <c r="O72" s="4">
        <f t="shared" si="1"/>
        <v>163.7386106</v>
      </c>
      <c r="P72" s="4">
        <f t="shared" si="2"/>
        <v>79.28228956</v>
      </c>
      <c r="Q72" s="4">
        <f t="shared" si="3"/>
        <v>49.22031182</v>
      </c>
      <c r="V72" s="4">
        <f t="shared" si="4"/>
        <v>158.7386106</v>
      </c>
      <c r="W72" s="4">
        <f t="shared" si="5"/>
        <v>74.28228956</v>
      </c>
      <c r="X72" s="4">
        <f t="shared" si="6"/>
        <v>44.22031182</v>
      </c>
    </row>
    <row r="73">
      <c r="A73" s="3">
        <v>40651.0</v>
      </c>
      <c r="B73" s="2">
        <v>186.0</v>
      </c>
      <c r="C73" s="2">
        <v>4.0</v>
      </c>
      <c r="D73" s="2">
        <v>549.0</v>
      </c>
      <c r="E73" s="2">
        <v>548.0</v>
      </c>
      <c r="F73" s="2">
        <v>612.0</v>
      </c>
      <c r="G73" s="2">
        <v>1.0</v>
      </c>
      <c r="H73" s="2">
        <v>4.0</v>
      </c>
      <c r="I73" s="2">
        <v>232.0</v>
      </c>
      <c r="J73" s="2">
        <v>155.0</v>
      </c>
      <c r="K73" s="2">
        <v>368.0</v>
      </c>
      <c r="L73" s="4">
        <f t="shared" si="7"/>
        <v>34.66666667</v>
      </c>
      <c r="M73" s="4">
        <f t="shared" si="8"/>
        <v>-30.66666667</v>
      </c>
      <c r="N73" s="4">
        <f t="shared" si="9"/>
        <v>30.66666667</v>
      </c>
      <c r="O73" s="4">
        <f t="shared" si="1"/>
        <v>147.8647496</v>
      </c>
      <c r="P73" s="4">
        <f t="shared" si="2"/>
        <v>56.99760269</v>
      </c>
      <c r="Q73" s="4">
        <f t="shared" si="3"/>
        <v>27.11015591</v>
      </c>
      <c r="V73" s="4">
        <f t="shared" si="4"/>
        <v>143.8647496</v>
      </c>
      <c r="W73" s="4">
        <f t="shared" si="5"/>
        <v>52.99760269</v>
      </c>
      <c r="X73" s="4">
        <f t="shared" si="6"/>
        <v>23.11015591</v>
      </c>
    </row>
    <row r="74">
      <c r="A74" s="3">
        <v>40658.0</v>
      </c>
      <c r="B74" s="2">
        <v>175.0</v>
      </c>
      <c r="C74" s="2">
        <v>5.0</v>
      </c>
      <c r="D74" s="2">
        <v>385.0</v>
      </c>
      <c r="E74" s="2">
        <v>276.0</v>
      </c>
      <c r="F74" s="2">
        <v>264.0</v>
      </c>
      <c r="G74" s="2">
        <v>0.0</v>
      </c>
      <c r="H74" s="2">
        <v>5.0</v>
      </c>
      <c r="I74" s="2">
        <v>310.0</v>
      </c>
      <c r="J74" s="2">
        <v>282.0</v>
      </c>
      <c r="K74" s="2">
        <v>164.0</v>
      </c>
      <c r="L74" s="4">
        <f t="shared" si="7"/>
        <v>7.666666667</v>
      </c>
      <c r="M74" s="4">
        <f t="shared" si="8"/>
        <v>-2.666666667</v>
      </c>
      <c r="N74" s="4">
        <f t="shared" si="9"/>
        <v>2.666666667</v>
      </c>
      <c r="O74" s="4">
        <f t="shared" si="1"/>
        <v>133.4782746</v>
      </c>
      <c r="P74" s="4">
        <f t="shared" si="2"/>
        <v>41.09832189</v>
      </c>
      <c r="Q74" s="4">
        <f t="shared" si="3"/>
        <v>15.55507796</v>
      </c>
      <c r="V74" s="4">
        <f t="shared" si="4"/>
        <v>128.4782746</v>
      </c>
      <c r="W74" s="4">
        <f t="shared" si="5"/>
        <v>36.09832189</v>
      </c>
      <c r="X74" s="4">
        <f t="shared" si="6"/>
        <v>10.55507796</v>
      </c>
    </row>
    <row r="75">
      <c r="A75" s="3">
        <v>40665.0</v>
      </c>
      <c r="B75" s="2">
        <v>171.0</v>
      </c>
      <c r="C75" s="2">
        <v>109.0</v>
      </c>
      <c r="D75" s="2">
        <v>380.0</v>
      </c>
      <c r="E75" s="2">
        <v>984.0</v>
      </c>
      <c r="F75" s="2">
        <v>594.0</v>
      </c>
      <c r="G75" s="2">
        <v>4.0</v>
      </c>
      <c r="H75" s="2">
        <v>109.0</v>
      </c>
      <c r="I75" s="2">
        <v>372.0</v>
      </c>
      <c r="J75" s="2">
        <v>154.0</v>
      </c>
      <c r="K75" s="2">
        <v>289.0</v>
      </c>
      <c r="L75" s="4">
        <f t="shared" si="7"/>
        <v>4.666666667</v>
      </c>
      <c r="M75" s="4">
        <f t="shared" si="8"/>
        <v>104.3333333</v>
      </c>
      <c r="N75" s="4">
        <f t="shared" si="9"/>
        <v>104.3333333</v>
      </c>
      <c r="O75" s="4">
        <f t="shared" si="1"/>
        <v>120.6304472</v>
      </c>
      <c r="P75" s="4">
        <f t="shared" si="2"/>
        <v>30.26882532</v>
      </c>
      <c r="Q75" s="4">
        <f t="shared" si="3"/>
        <v>10.27753898</v>
      </c>
      <c r="V75" s="4">
        <f t="shared" si="4"/>
        <v>11.63044715</v>
      </c>
      <c r="W75" s="4">
        <f t="shared" si="5"/>
        <v>78.73117468</v>
      </c>
      <c r="X75" s="4">
        <f t="shared" si="6"/>
        <v>98.72246102</v>
      </c>
    </row>
    <row r="76">
      <c r="A76" s="3">
        <v>40672.0</v>
      </c>
      <c r="B76" s="2">
        <v>366.0</v>
      </c>
      <c r="C76" s="2">
        <v>187.0</v>
      </c>
      <c r="D76" s="2">
        <v>1206.0</v>
      </c>
      <c r="E76" s="2">
        <v>752.0</v>
      </c>
      <c r="F76" s="2">
        <v>1201.0</v>
      </c>
      <c r="G76" s="2">
        <v>13.0</v>
      </c>
      <c r="H76" s="2">
        <v>187.0</v>
      </c>
      <c r="I76" s="2">
        <v>381.0</v>
      </c>
      <c r="J76" s="2">
        <v>401.0</v>
      </c>
      <c r="K76" s="2">
        <v>885.0</v>
      </c>
      <c r="L76" s="4">
        <f t="shared" si="7"/>
        <v>39.33333333</v>
      </c>
      <c r="M76" s="4">
        <f t="shared" si="8"/>
        <v>147.6666667</v>
      </c>
      <c r="N76" s="4">
        <f t="shared" si="9"/>
        <v>147.6666667</v>
      </c>
      <c r="O76" s="4">
        <f t="shared" si="1"/>
        <v>119.4674024</v>
      </c>
      <c r="P76" s="4">
        <f t="shared" si="2"/>
        <v>53.88817772</v>
      </c>
      <c r="Q76" s="4">
        <f t="shared" si="3"/>
        <v>59.63876949</v>
      </c>
      <c r="V76" s="4">
        <f t="shared" si="4"/>
        <v>67.53259756</v>
      </c>
      <c r="W76" s="4">
        <f t="shared" si="5"/>
        <v>133.1118223</v>
      </c>
      <c r="X76" s="4">
        <f t="shared" si="6"/>
        <v>127.3612305</v>
      </c>
    </row>
    <row r="77">
      <c r="A77" s="3">
        <v>40679.0</v>
      </c>
      <c r="B77" s="2">
        <v>305.0</v>
      </c>
      <c r="C77" s="2">
        <v>44.0</v>
      </c>
      <c r="D77" s="2">
        <v>978.0</v>
      </c>
      <c r="E77" s="2">
        <v>754.0</v>
      </c>
      <c r="F77" s="2">
        <v>595.0</v>
      </c>
      <c r="G77" s="2">
        <v>0.0</v>
      </c>
      <c r="H77" s="2">
        <v>44.0</v>
      </c>
      <c r="I77" s="2">
        <v>1300.0</v>
      </c>
      <c r="J77" s="2">
        <v>169.0</v>
      </c>
      <c r="K77" s="2">
        <v>445.0</v>
      </c>
      <c r="L77" s="4">
        <f t="shared" si="7"/>
        <v>100.3333333</v>
      </c>
      <c r="M77" s="4">
        <f t="shared" si="8"/>
        <v>-56.33333333</v>
      </c>
      <c r="N77" s="4">
        <f t="shared" si="9"/>
        <v>56.33333333</v>
      </c>
      <c r="O77" s="4">
        <f t="shared" si="1"/>
        <v>126.2206622</v>
      </c>
      <c r="P77" s="4">
        <f t="shared" si="2"/>
        <v>93.82172441</v>
      </c>
      <c r="Q77" s="4">
        <f t="shared" si="3"/>
        <v>123.3193847</v>
      </c>
      <c r="V77" s="4">
        <f t="shared" si="4"/>
        <v>82.22066219</v>
      </c>
      <c r="W77" s="4">
        <f t="shared" si="5"/>
        <v>49.82172441</v>
      </c>
      <c r="X77" s="4">
        <f t="shared" si="6"/>
        <v>79.31938474</v>
      </c>
    </row>
    <row r="78">
      <c r="A78" s="3">
        <v>40686.0</v>
      </c>
      <c r="B78" s="2">
        <v>169.0</v>
      </c>
      <c r="C78" s="2">
        <v>72.0</v>
      </c>
      <c r="D78" s="2">
        <v>933.0</v>
      </c>
      <c r="E78" s="2">
        <v>839.0</v>
      </c>
      <c r="F78" s="2">
        <v>565.0</v>
      </c>
      <c r="G78" s="2">
        <v>0.0</v>
      </c>
      <c r="H78" s="2">
        <v>72.0</v>
      </c>
      <c r="I78" s="2">
        <v>4562.0</v>
      </c>
      <c r="J78" s="2">
        <v>558.0</v>
      </c>
      <c r="K78" s="2">
        <v>684.0</v>
      </c>
      <c r="L78" s="4">
        <f t="shared" si="7"/>
        <v>113.3333333</v>
      </c>
      <c r="M78" s="4">
        <f t="shared" si="8"/>
        <v>-41.33333333</v>
      </c>
      <c r="N78" s="4">
        <f t="shared" si="9"/>
        <v>41.33333333</v>
      </c>
      <c r="O78" s="4">
        <f t="shared" si="1"/>
        <v>117.998596</v>
      </c>
      <c r="P78" s="4">
        <f t="shared" si="2"/>
        <v>78.87520708</v>
      </c>
      <c r="Q78" s="4">
        <f t="shared" si="3"/>
        <v>83.65969237</v>
      </c>
      <c r="V78" s="4">
        <f t="shared" si="4"/>
        <v>45.99859597</v>
      </c>
      <c r="W78" s="4">
        <f t="shared" si="5"/>
        <v>6.875207085</v>
      </c>
      <c r="X78" s="4">
        <f t="shared" si="6"/>
        <v>11.65969237</v>
      </c>
    </row>
    <row r="79">
      <c r="A79" s="3">
        <v>40693.0</v>
      </c>
      <c r="B79" s="2">
        <v>263.0</v>
      </c>
      <c r="C79" s="2">
        <v>27.0</v>
      </c>
      <c r="D79" s="2">
        <v>273.0</v>
      </c>
      <c r="E79" s="2">
        <v>434.0</v>
      </c>
      <c r="F79" s="2">
        <v>384.0</v>
      </c>
      <c r="G79" s="2">
        <v>0.0</v>
      </c>
      <c r="H79" s="2">
        <v>27.0</v>
      </c>
      <c r="I79" s="2">
        <v>533.0</v>
      </c>
      <c r="J79" s="2">
        <v>410.0</v>
      </c>
      <c r="K79" s="2">
        <v>184.0</v>
      </c>
      <c r="L79" s="4">
        <f t="shared" si="7"/>
        <v>101</v>
      </c>
      <c r="M79" s="4">
        <f t="shared" si="8"/>
        <v>-74</v>
      </c>
      <c r="N79" s="4">
        <f t="shared" si="9"/>
        <v>74</v>
      </c>
      <c r="O79" s="4">
        <f t="shared" si="1"/>
        <v>113.3987364</v>
      </c>
      <c r="P79" s="4">
        <f t="shared" si="2"/>
        <v>76.81264496</v>
      </c>
      <c r="Q79" s="4">
        <f t="shared" si="3"/>
        <v>77.82984619</v>
      </c>
      <c r="V79" s="4">
        <f t="shared" si="4"/>
        <v>86.39873638</v>
      </c>
      <c r="W79" s="4">
        <f t="shared" si="5"/>
        <v>49.81264496</v>
      </c>
      <c r="X79" s="4">
        <f t="shared" si="6"/>
        <v>50.82984619</v>
      </c>
    </row>
    <row r="80">
      <c r="A80" s="3">
        <v>40700.0</v>
      </c>
      <c r="B80" s="2">
        <v>207.0</v>
      </c>
      <c r="C80" s="2">
        <v>91.0</v>
      </c>
      <c r="D80" s="2">
        <v>883.0</v>
      </c>
      <c r="E80" s="2">
        <v>651.0</v>
      </c>
      <c r="F80" s="2">
        <v>292.0</v>
      </c>
      <c r="G80" s="2">
        <v>2.0</v>
      </c>
      <c r="H80" s="2">
        <v>91.0</v>
      </c>
      <c r="I80" s="2">
        <v>410.0</v>
      </c>
      <c r="J80" s="2">
        <v>478.0</v>
      </c>
      <c r="K80" s="2">
        <v>585.0</v>
      </c>
      <c r="L80" s="4">
        <f t="shared" si="7"/>
        <v>47.66666667</v>
      </c>
      <c r="M80" s="4">
        <f t="shared" si="8"/>
        <v>43.33333333</v>
      </c>
      <c r="N80" s="4">
        <f t="shared" si="9"/>
        <v>43.33333333</v>
      </c>
      <c r="O80" s="4">
        <f t="shared" si="1"/>
        <v>104.7588627</v>
      </c>
      <c r="P80" s="4">
        <f t="shared" si="2"/>
        <v>61.86885147</v>
      </c>
      <c r="Q80" s="4">
        <f t="shared" si="3"/>
        <v>52.41492309</v>
      </c>
      <c r="V80" s="4">
        <f t="shared" si="4"/>
        <v>13.75886274</v>
      </c>
      <c r="W80" s="4">
        <f t="shared" si="5"/>
        <v>29.13114853</v>
      </c>
      <c r="X80" s="4">
        <f t="shared" si="6"/>
        <v>38.58507691</v>
      </c>
    </row>
    <row r="81">
      <c r="A81" s="3">
        <v>40707.0</v>
      </c>
      <c r="B81" s="2">
        <v>173.0</v>
      </c>
      <c r="C81" s="2">
        <v>113.0</v>
      </c>
      <c r="D81" s="2">
        <v>959.0</v>
      </c>
      <c r="E81" s="2">
        <v>507.0</v>
      </c>
      <c r="F81" s="2">
        <v>446.0</v>
      </c>
      <c r="G81" s="2">
        <v>1.0</v>
      </c>
      <c r="H81" s="2">
        <v>113.0</v>
      </c>
      <c r="I81" s="2">
        <v>437.0</v>
      </c>
      <c r="J81" s="2">
        <v>243.0</v>
      </c>
      <c r="K81" s="2">
        <v>448.0</v>
      </c>
      <c r="L81" s="4">
        <f t="shared" si="7"/>
        <v>63.33333333</v>
      </c>
      <c r="M81" s="4">
        <f t="shared" si="8"/>
        <v>49.66666667</v>
      </c>
      <c r="N81" s="4">
        <f t="shared" si="9"/>
        <v>49.66666667</v>
      </c>
      <c r="O81" s="4">
        <f t="shared" si="1"/>
        <v>103.3829765</v>
      </c>
      <c r="P81" s="4">
        <f t="shared" si="2"/>
        <v>70.60819603</v>
      </c>
      <c r="Q81" s="4">
        <f t="shared" si="3"/>
        <v>71.70746155</v>
      </c>
      <c r="V81" s="4">
        <f t="shared" si="4"/>
        <v>9.617023535</v>
      </c>
      <c r="W81" s="4">
        <f t="shared" si="5"/>
        <v>42.39180397</v>
      </c>
      <c r="X81" s="4">
        <f t="shared" si="6"/>
        <v>41.29253845</v>
      </c>
    </row>
    <row r="82">
      <c r="A82" s="3">
        <v>40714.0</v>
      </c>
      <c r="B82" s="2">
        <v>143.0</v>
      </c>
      <c r="C82" s="2">
        <v>60.0</v>
      </c>
      <c r="D82" s="2">
        <v>841.0</v>
      </c>
      <c r="E82" s="2">
        <v>598.0</v>
      </c>
      <c r="F82" s="2">
        <v>270.0</v>
      </c>
      <c r="G82" s="2">
        <v>6.0</v>
      </c>
      <c r="H82" s="2">
        <v>60.0</v>
      </c>
      <c r="I82" s="2">
        <v>345.0</v>
      </c>
      <c r="J82" s="2">
        <v>611.0</v>
      </c>
      <c r="K82" s="2">
        <v>238.0</v>
      </c>
      <c r="L82" s="4">
        <f t="shared" si="7"/>
        <v>77</v>
      </c>
      <c r="M82" s="4">
        <f t="shared" si="8"/>
        <v>-17</v>
      </c>
      <c r="N82" s="4">
        <f t="shared" si="9"/>
        <v>17</v>
      </c>
      <c r="O82" s="4">
        <f t="shared" si="1"/>
        <v>104.3446788</v>
      </c>
      <c r="P82" s="4">
        <f t="shared" si="2"/>
        <v>83.32573722</v>
      </c>
      <c r="Q82" s="4">
        <f t="shared" si="3"/>
        <v>92.35373077</v>
      </c>
      <c r="V82" s="4">
        <f t="shared" si="4"/>
        <v>44.34467882</v>
      </c>
      <c r="W82" s="4">
        <f t="shared" si="5"/>
        <v>23.32573722</v>
      </c>
      <c r="X82" s="4">
        <f t="shared" si="6"/>
        <v>32.35373077</v>
      </c>
    </row>
    <row r="83">
      <c r="A83" s="3">
        <v>40721.0</v>
      </c>
      <c r="B83" s="2">
        <v>79.0</v>
      </c>
      <c r="C83" s="2">
        <v>113.0</v>
      </c>
      <c r="D83" s="2">
        <v>815.0</v>
      </c>
      <c r="E83" s="2">
        <v>276.0</v>
      </c>
      <c r="F83" s="2">
        <v>292.0</v>
      </c>
      <c r="G83" s="2">
        <v>365.0</v>
      </c>
      <c r="H83" s="2">
        <v>113.0</v>
      </c>
      <c r="I83" s="2">
        <v>430.0</v>
      </c>
      <c r="J83" s="2">
        <v>456.0</v>
      </c>
      <c r="K83" s="2">
        <v>303.0</v>
      </c>
      <c r="L83" s="4">
        <f t="shared" si="7"/>
        <v>88</v>
      </c>
      <c r="M83" s="4">
        <f t="shared" si="8"/>
        <v>25</v>
      </c>
      <c r="N83" s="4">
        <f t="shared" si="9"/>
        <v>25</v>
      </c>
      <c r="O83" s="4">
        <f t="shared" si="1"/>
        <v>99.91021094</v>
      </c>
      <c r="P83" s="4">
        <f t="shared" si="2"/>
        <v>76.32801605</v>
      </c>
      <c r="Q83" s="4">
        <f t="shared" si="3"/>
        <v>76.17686539</v>
      </c>
      <c r="V83" s="4">
        <f t="shared" si="4"/>
        <v>13.08978906</v>
      </c>
      <c r="W83" s="4">
        <f t="shared" si="5"/>
        <v>36.67198395</v>
      </c>
      <c r="X83" s="4">
        <f t="shared" si="6"/>
        <v>36.82313461</v>
      </c>
    </row>
    <row r="84">
      <c r="A84" s="3">
        <v>40728.0</v>
      </c>
      <c r="B84" s="2">
        <v>131.0</v>
      </c>
      <c r="C84" s="2">
        <v>23.0</v>
      </c>
      <c r="D84" s="2">
        <v>1364.0</v>
      </c>
      <c r="E84" s="2">
        <v>901.0</v>
      </c>
      <c r="F84" s="2">
        <v>460.0</v>
      </c>
      <c r="G84" s="2">
        <v>18.0</v>
      </c>
      <c r="H84" s="2">
        <v>23.0</v>
      </c>
      <c r="I84" s="2">
        <v>636.0</v>
      </c>
      <c r="J84" s="2">
        <v>452.0</v>
      </c>
      <c r="K84" s="2">
        <v>440.0</v>
      </c>
      <c r="L84" s="4">
        <f t="shared" si="7"/>
        <v>95.33333333</v>
      </c>
      <c r="M84" s="4">
        <f t="shared" si="8"/>
        <v>-72.33333333</v>
      </c>
      <c r="N84" s="4">
        <f t="shared" si="9"/>
        <v>72.33333333</v>
      </c>
      <c r="O84" s="4">
        <f t="shared" si="1"/>
        <v>101.2191898</v>
      </c>
      <c r="P84" s="4">
        <f t="shared" si="2"/>
        <v>87.32961124</v>
      </c>
      <c r="Q84" s="4">
        <f t="shared" si="3"/>
        <v>94.58843269</v>
      </c>
      <c r="V84" s="4">
        <f t="shared" si="4"/>
        <v>78.21918984</v>
      </c>
      <c r="W84" s="4">
        <f t="shared" si="5"/>
        <v>64.32961124</v>
      </c>
      <c r="X84" s="4">
        <f t="shared" si="6"/>
        <v>71.58843269</v>
      </c>
    </row>
    <row r="85">
      <c r="A85" s="3">
        <v>40735.0</v>
      </c>
      <c r="B85" s="2">
        <v>292.0</v>
      </c>
      <c r="C85" s="2">
        <v>33.0</v>
      </c>
      <c r="D85" s="2">
        <v>421.0</v>
      </c>
      <c r="E85" s="2">
        <v>354.0</v>
      </c>
      <c r="F85" s="2">
        <v>372.0</v>
      </c>
      <c r="G85" s="2">
        <v>10.0</v>
      </c>
      <c r="H85" s="2">
        <v>33.0</v>
      </c>
      <c r="I85" s="2">
        <v>157.0</v>
      </c>
      <c r="J85" s="2">
        <v>315.0</v>
      </c>
      <c r="K85" s="2">
        <v>231.0</v>
      </c>
      <c r="L85" s="4">
        <f t="shared" si="7"/>
        <v>65.33333333</v>
      </c>
      <c r="M85" s="4">
        <f t="shared" si="8"/>
        <v>-32.33333333</v>
      </c>
      <c r="N85" s="4">
        <f t="shared" si="9"/>
        <v>32.33333333</v>
      </c>
      <c r="O85" s="4">
        <f t="shared" si="1"/>
        <v>93.39727086</v>
      </c>
      <c r="P85" s="4">
        <f t="shared" si="2"/>
        <v>68.03072787</v>
      </c>
      <c r="Q85" s="4">
        <f t="shared" si="3"/>
        <v>58.79421635</v>
      </c>
      <c r="V85" s="4">
        <f t="shared" si="4"/>
        <v>60.39727086</v>
      </c>
      <c r="W85" s="4">
        <f t="shared" si="5"/>
        <v>35.03072787</v>
      </c>
      <c r="X85" s="4">
        <f t="shared" si="6"/>
        <v>25.79421635</v>
      </c>
    </row>
    <row r="86">
      <c r="A86" s="3">
        <v>40742.0</v>
      </c>
      <c r="B86" s="2">
        <v>340.0</v>
      </c>
      <c r="C86" s="2">
        <v>133.0</v>
      </c>
      <c r="D86" s="2">
        <v>732.0</v>
      </c>
      <c r="E86" s="2">
        <v>927.0</v>
      </c>
      <c r="F86" s="2">
        <v>519.0</v>
      </c>
      <c r="G86" s="2">
        <v>32.0</v>
      </c>
      <c r="H86" s="2">
        <v>133.0</v>
      </c>
      <c r="I86" s="2">
        <v>621.0</v>
      </c>
      <c r="J86" s="2">
        <v>307.0</v>
      </c>
      <c r="K86" s="2">
        <v>495.0</v>
      </c>
      <c r="L86" s="4">
        <f t="shared" si="7"/>
        <v>56.33333333</v>
      </c>
      <c r="M86" s="4">
        <f t="shared" si="8"/>
        <v>76.66666667</v>
      </c>
      <c r="N86" s="4">
        <f t="shared" si="9"/>
        <v>76.66666667</v>
      </c>
      <c r="O86" s="4">
        <f t="shared" si="1"/>
        <v>87.35754377</v>
      </c>
      <c r="P86" s="4">
        <f t="shared" si="2"/>
        <v>57.52150951</v>
      </c>
      <c r="Q86" s="4">
        <f t="shared" si="3"/>
        <v>45.89710817</v>
      </c>
      <c r="V86" s="4">
        <f t="shared" si="4"/>
        <v>45.64245623</v>
      </c>
      <c r="W86" s="4">
        <f t="shared" si="5"/>
        <v>75.47849049</v>
      </c>
      <c r="X86" s="4">
        <f t="shared" si="6"/>
        <v>87.10289183</v>
      </c>
    </row>
    <row r="87">
      <c r="A87" s="3">
        <v>40749.0</v>
      </c>
      <c r="B87" s="2">
        <v>341.0</v>
      </c>
      <c r="C87" s="2">
        <v>651.0</v>
      </c>
      <c r="D87" s="2">
        <v>440.0</v>
      </c>
      <c r="E87" s="2">
        <v>520.0</v>
      </c>
      <c r="F87" s="2">
        <v>478.0</v>
      </c>
      <c r="G87" s="2">
        <v>287.0</v>
      </c>
      <c r="H87" s="2">
        <v>651.0</v>
      </c>
      <c r="I87" s="2">
        <v>436.0</v>
      </c>
      <c r="J87" s="2">
        <v>403.0</v>
      </c>
      <c r="K87" s="2">
        <v>385.0</v>
      </c>
      <c r="L87" s="4">
        <f t="shared" si="7"/>
        <v>63</v>
      </c>
      <c r="M87" s="4">
        <f t="shared" si="8"/>
        <v>588</v>
      </c>
      <c r="N87" s="4">
        <f t="shared" si="9"/>
        <v>588</v>
      </c>
      <c r="O87" s="4">
        <f t="shared" si="1"/>
        <v>91.9217894</v>
      </c>
      <c r="P87" s="4">
        <f t="shared" si="2"/>
        <v>80.16505665</v>
      </c>
      <c r="Q87" s="4">
        <f t="shared" si="3"/>
        <v>89.44855409</v>
      </c>
      <c r="V87" s="4">
        <f t="shared" si="4"/>
        <v>559.0782106</v>
      </c>
      <c r="W87" s="4">
        <f t="shared" si="5"/>
        <v>570.8349433</v>
      </c>
      <c r="X87" s="4">
        <f t="shared" si="6"/>
        <v>561.5514459</v>
      </c>
    </row>
    <row r="88">
      <c r="A88" s="3">
        <v>40756.0</v>
      </c>
      <c r="B88" s="2">
        <v>148.0</v>
      </c>
      <c r="C88" s="2">
        <v>87.0</v>
      </c>
      <c r="D88" s="2">
        <v>1040.0</v>
      </c>
      <c r="E88" s="2">
        <v>423.0</v>
      </c>
      <c r="F88" s="2">
        <v>3800.0</v>
      </c>
      <c r="G88" s="2">
        <v>161.0</v>
      </c>
      <c r="H88" s="2">
        <v>87.0</v>
      </c>
      <c r="I88" s="2">
        <v>2178.0</v>
      </c>
      <c r="J88" s="2">
        <v>382.0</v>
      </c>
      <c r="K88" s="2">
        <v>603.0</v>
      </c>
      <c r="L88" s="4">
        <f t="shared" si="7"/>
        <v>272.3333333</v>
      </c>
      <c r="M88" s="4">
        <f t="shared" si="8"/>
        <v>-185.3333333</v>
      </c>
      <c r="N88" s="4">
        <f t="shared" si="9"/>
        <v>185.3333333</v>
      </c>
      <c r="O88" s="4">
        <f t="shared" si="1"/>
        <v>147.8296105</v>
      </c>
      <c r="P88" s="4">
        <f t="shared" si="2"/>
        <v>251.4155397</v>
      </c>
      <c r="Q88" s="4">
        <f t="shared" si="3"/>
        <v>370.224277</v>
      </c>
      <c r="V88" s="4">
        <f t="shared" si="4"/>
        <v>60.82961046</v>
      </c>
      <c r="W88" s="4">
        <f t="shared" si="5"/>
        <v>164.4155397</v>
      </c>
      <c r="X88" s="4">
        <f t="shared" si="6"/>
        <v>283.224277</v>
      </c>
    </row>
    <row r="89">
      <c r="A89" s="3">
        <v>40763.0</v>
      </c>
      <c r="B89" s="2">
        <v>177.0</v>
      </c>
      <c r="C89" s="2">
        <v>135.0</v>
      </c>
      <c r="D89" s="2">
        <v>1373.0</v>
      </c>
      <c r="E89" s="2">
        <v>280.0</v>
      </c>
      <c r="F89" s="2">
        <v>1323.0</v>
      </c>
      <c r="G89" s="2">
        <v>22.0</v>
      </c>
      <c r="H89" s="2">
        <v>135.0</v>
      </c>
      <c r="I89" s="2">
        <v>1735.0</v>
      </c>
      <c r="J89" s="2">
        <v>551.0</v>
      </c>
      <c r="K89" s="2">
        <v>725.0</v>
      </c>
      <c r="L89" s="4">
        <f t="shared" si="7"/>
        <v>290.3333333</v>
      </c>
      <c r="M89" s="4">
        <f t="shared" si="8"/>
        <v>-155.3333333</v>
      </c>
      <c r="N89" s="4">
        <f t="shared" si="9"/>
        <v>155.3333333</v>
      </c>
      <c r="O89" s="4">
        <f t="shared" si="1"/>
        <v>141.7466494</v>
      </c>
      <c r="P89" s="4">
        <f t="shared" si="2"/>
        <v>202.0908778</v>
      </c>
      <c r="Q89" s="4">
        <f t="shared" si="3"/>
        <v>228.6121385</v>
      </c>
      <c r="V89" s="4">
        <f t="shared" si="4"/>
        <v>6.74664941</v>
      </c>
      <c r="W89" s="4">
        <f t="shared" si="5"/>
        <v>67.09087776</v>
      </c>
      <c r="X89" s="4">
        <f t="shared" si="6"/>
        <v>93.61213852</v>
      </c>
    </row>
    <row r="90">
      <c r="A90" s="3">
        <v>40770.0</v>
      </c>
      <c r="B90" s="2">
        <v>210.0</v>
      </c>
      <c r="C90" s="2">
        <v>62.0</v>
      </c>
      <c r="D90" s="2">
        <v>1356.0</v>
      </c>
      <c r="E90" s="2">
        <v>402.0</v>
      </c>
      <c r="F90" s="2">
        <v>556.0</v>
      </c>
      <c r="G90" s="2">
        <v>36.0</v>
      </c>
      <c r="H90" s="2">
        <v>62.0</v>
      </c>
      <c r="I90" s="2">
        <v>518.0</v>
      </c>
      <c r="J90" s="2">
        <v>586.0</v>
      </c>
      <c r="K90" s="2">
        <v>423.0</v>
      </c>
      <c r="L90" s="4">
        <f t="shared" si="7"/>
        <v>291</v>
      </c>
      <c r="M90" s="4">
        <f t="shared" si="8"/>
        <v>-229</v>
      </c>
      <c r="N90" s="4">
        <f t="shared" si="9"/>
        <v>229</v>
      </c>
      <c r="O90" s="4">
        <f t="shared" si="1"/>
        <v>141.0719845</v>
      </c>
      <c r="P90" s="4">
        <f t="shared" si="2"/>
        <v>181.9636144</v>
      </c>
      <c r="Q90" s="4">
        <f t="shared" si="3"/>
        <v>181.8060693</v>
      </c>
      <c r="V90" s="4">
        <f t="shared" si="4"/>
        <v>79.07198447</v>
      </c>
      <c r="W90" s="4">
        <f t="shared" si="5"/>
        <v>119.9636144</v>
      </c>
      <c r="X90" s="4">
        <f t="shared" si="6"/>
        <v>119.8060693</v>
      </c>
    </row>
    <row r="91">
      <c r="A91" s="3">
        <v>40777.0</v>
      </c>
      <c r="B91" s="2">
        <v>241.0</v>
      </c>
      <c r="C91" s="2">
        <v>110.0</v>
      </c>
      <c r="D91" s="2">
        <v>1518.0</v>
      </c>
      <c r="E91" s="2">
        <v>470.0</v>
      </c>
      <c r="F91" s="2">
        <v>850.0</v>
      </c>
      <c r="G91" s="2">
        <v>28.0</v>
      </c>
      <c r="H91" s="2">
        <v>110.0</v>
      </c>
      <c r="I91" s="2">
        <v>826.0</v>
      </c>
      <c r="J91" s="2">
        <v>619.0</v>
      </c>
      <c r="K91" s="2">
        <v>340.0</v>
      </c>
      <c r="L91" s="4">
        <f t="shared" si="7"/>
        <v>94.66666667</v>
      </c>
      <c r="M91" s="4">
        <f t="shared" si="8"/>
        <v>15.33333333</v>
      </c>
      <c r="N91" s="4">
        <f t="shared" si="9"/>
        <v>15.33333333</v>
      </c>
      <c r="O91" s="4">
        <f t="shared" si="1"/>
        <v>133.164786</v>
      </c>
      <c r="P91" s="4">
        <f t="shared" si="2"/>
        <v>145.9745301</v>
      </c>
      <c r="Q91" s="4">
        <f t="shared" si="3"/>
        <v>121.9030346</v>
      </c>
      <c r="V91" s="4">
        <f t="shared" si="4"/>
        <v>23.16478602</v>
      </c>
      <c r="W91" s="4">
        <f t="shared" si="5"/>
        <v>35.9745301</v>
      </c>
      <c r="X91" s="4">
        <f t="shared" si="6"/>
        <v>11.90303463</v>
      </c>
    </row>
    <row r="92">
      <c r="A92" s="3">
        <v>40784.0</v>
      </c>
      <c r="B92" s="2">
        <v>146.0</v>
      </c>
      <c r="C92" s="2">
        <v>210.0</v>
      </c>
      <c r="D92" s="2">
        <v>717.0</v>
      </c>
      <c r="E92" s="2">
        <v>207.0</v>
      </c>
      <c r="F92" s="2">
        <v>216.0</v>
      </c>
      <c r="G92" s="2">
        <v>192.0</v>
      </c>
      <c r="H92" s="2">
        <v>210.0</v>
      </c>
      <c r="I92" s="2">
        <v>956.0</v>
      </c>
      <c r="J92" s="2">
        <v>248.0</v>
      </c>
      <c r="K92" s="2">
        <v>202.0</v>
      </c>
      <c r="L92" s="4">
        <f t="shared" si="7"/>
        <v>102.3333333</v>
      </c>
      <c r="M92" s="4">
        <f t="shared" si="8"/>
        <v>107.6666667</v>
      </c>
      <c r="N92" s="4">
        <f t="shared" si="9"/>
        <v>107.6666667</v>
      </c>
      <c r="O92" s="4">
        <f t="shared" si="1"/>
        <v>130.8483074</v>
      </c>
      <c r="P92" s="4">
        <f t="shared" si="2"/>
        <v>135.1821711</v>
      </c>
      <c r="Q92" s="4">
        <f t="shared" si="3"/>
        <v>115.9515173</v>
      </c>
      <c r="V92" s="4">
        <f t="shared" si="4"/>
        <v>79.15169258</v>
      </c>
      <c r="W92" s="4">
        <f t="shared" si="5"/>
        <v>74.81782893</v>
      </c>
      <c r="X92" s="4">
        <f t="shared" si="6"/>
        <v>94.04848268</v>
      </c>
    </row>
    <row r="93">
      <c r="A93" s="3">
        <v>40791.0</v>
      </c>
      <c r="B93" s="2">
        <v>149.0</v>
      </c>
      <c r="C93" s="2">
        <v>70.0</v>
      </c>
      <c r="D93" s="2">
        <v>556.0</v>
      </c>
      <c r="E93" s="2">
        <v>300.0</v>
      </c>
      <c r="F93" s="2">
        <v>488.0</v>
      </c>
      <c r="G93" s="2">
        <v>455.0</v>
      </c>
      <c r="H93" s="2">
        <v>70.0</v>
      </c>
      <c r="I93" s="2">
        <v>516.0</v>
      </c>
      <c r="J93" s="2">
        <v>657.0</v>
      </c>
      <c r="K93" s="2">
        <v>424.0</v>
      </c>
      <c r="L93" s="4">
        <f t="shared" si="7"/>
        <v>127.3333333</v>
      </c>
      <c r="M93" s="4">
        <f t="shared" si="8"/>
        <v>-57.33333333</v>
      </c>
      <c r="N93" s="4">
        <f t="shared" si="9"/>
        <v>57.33333333</v>
      </c>
      <c r="O93" s="4">
        <f t="shared" si="1"/>
        <v>138.7634767</v>
      </c>
      <c r="P93" s="4">
        <f t="shared" si="2"/>
        <v>157.6275198</v>
      </c>
      <c r="Q93" s="4">
        <f t="shared" si="3"/>
        <v>162.9757587</v>
      </c>
      <c r="V93" s="4">
        <f t="shared" si="4"/>
        <v>68.76347668</v>
      </c>
      <c r="W93" s="4">
        <f t="shared" si="5"/>
        <v>87.62751975</v>
      </c>
      <c r="X93" s="4">
        <f t="shared" si="6"/>
        <v>92.97575866</v>
      </c>
    </row>
    <row r="94">
      <c r="A94" s="3">
        <v>40798.0</v>
      </c>
      <c r="B94" s="2">
        <v>218.0</v>
      </c>
      <c r="C94" s="2">
        <v>262.0</v>
      </c>
      <c r="D94" s="2">
        <v>743.0</v>
      </c>
      <c r="E94" s="2">
        <v>334.0</v>
      </c>
      <c r="F94" s="2">
        <v>908.0</v>
      </c>
      <c r="G94" s="2">
        <v>561.0</v>
      </c>
      <c r="H94" s="2">
        <v>262.0</v>
      </c>
      <c r="I94" s="2">
        <v>570.0</v>
      </c>
      <c r="J94" s="2">
        <v>478.0</v>
      </c>
      <c r="K94" s="2">
        <v>329.0</v>
      </c>
      <c r="L94" s="4">
        <f t="shared" si="7"/>
        <v>130</v>
      </c>
      <c r="M94" s="4">
        <f t="shared" si="8"/>
        <v>132</v>
      </c>
      <c r="N94" s="4">
        <f t="shared" si="9"/>
        <v>132</v>
      </c>
      <c r="O94" s="4">
        <f t="shared" si="1"/>
        <v>131.887129</v>
      </c>
      <c r="P94" s="4">
        <f t="shared" si="2"/>
        <v>131.3392638</v>
      </c>
      <c r="Q94" s="4">
        <f t="shared" si="3"/>
        <v>116.4878793</v>
      </c>
      <c r="V94" s="4">
        <f t="shared" si="4"/>
        <v>130.112871</v>
      </c>
      <c r="W94" s="4">
        <f t="shared" si="5"/>
        <v>130.6607362</v>
      </c>
      <c r="X94" s="4">
        <f t="shared" si="6"/>
        <v>145.5121207</v>
      </c>
    </row>
    <row r="95">
      <c r="A95" s="3">
        <v>40805.0</v>
      </c>
      <c r="B95" s="2">
        <v>147.0</v>
      </c>
      <c r="C95" s="2">
        <v>28.0</v>
      </c>
      <c r="D95" s="2">
        <v>1667.0</v>
      </c>
      <c r="E95" s="2">
        <v>158.0</v>
      </c>
      <c r="F95" s="2">
        <v>677.0</v>
      </c>
      <c r="G95" s="2">
        <v>602.0</v>
      </c>
      <c r="H95" s="2">
        <v>28.0</v>
      </c>
      <c r="I95" s="2">
        <v>682.0</v>
      </c>
      <c r="J95" s="2">
        <v>809.0</v>
      </c>
      <c r="K95" s="2">
        <v>482.0</v>
      </c>
      <c r="L95" s="4">
        <f t="shared" si="7"/>
        <v>180.6666667</v>
      </c>
      <c r="M95" s="4">
        <f t="shared" si="8"/>
        <v>-152.6666667</v>
      </c>
      <c r="N95" s="4">
        <f t="shared" si="9"/>
        <v>152.6666667</v>
      </c>
      <c r="O95" s="4">
        <f t="shared" si="1"/>
        <v>144.8984161</v>
      </c>
      <c r="P95" s="4">
        <f t="shared" si="2"/>
        <v>170.5374847</v>
      </c>
      <c r="Q95" s="4">
        <f t="shared" si="3"/>
        <v>189.2439397</v>
      </c>
      <c r="V95" s="4">
        <f t="shared" si="4"/>
        <v>116.8984161</v>
      </c>
      <c r="W95" s="4">
        <f t="shared" si="5"/>
        <v>142.5374847</v>
      </c>
      <c r="X95" s="4">
        <f t="shared" si="6"/>
        <v>161.2439397</v>
      </c>
    </row>
    <row r="96">
      <c r="A96" s="3">
        <v>40812.0</v>
      </c>
      <c r="B96" s="2">
        <v>148.0</v>
      </c>
      <c r="C96" s="2">
        <v>162.0</v>
      </c>
      <c r="D96" s="2">
        <v>929.0</v>
      </c>
      <c r="E96" s="2">
        <v>209.0</v>
      </c>
      <c r="F96" s="2">
        <v>799.0</v>
      </c>
      <c r="G96" s="2">
        <v>359.0</v>
      </c>
      <c r="H96" s="2">
        <v>162.0</v>
      </c>
      <c r="I96" s="2">
        <v>1675.0</v>
      </c>
      <c r="J96" s="2">
        <v>665.0</v>
      </c>
      <c r="K96" s="2">
        <v>318.0</v>
      </c>
      <c r="L96" s="4">
        <f t="shared" si="7"/>
        <v>120</v>
      </c>
      <c r="M96" s="4">
        <f t="shared" si="8"/>
        <v>42</v>
      </c>
      <c r="N96" s="4">
        <f t="shared" si="9"/>
        <v>42</v>
      </c>
      <c r="O96" s="4">
        <f t="shared" si="1"/>
        <v>133.2085745</v>
      </c>
      <c r="P96" s="4">
        <f t="shared" si="2"/>
        <v>127.7762393</v>
      </c>
      <c r="Q96" s="4">
        <f t="shared" si="3"/>
        <v>108.6219698</v>
      </c>
      <c r="V96" s="4">
        <f t="shared" si="4"/>
        <v>28.7914255</v>
      </c>
      <c r="W96" s="4">
        <f t="shared" si="5"/>
        <v>34.22376073</v>
      </c>
      <c r="X96" s="4">
        <f t="shared" si="6"/>
        <v>53.37803017</v>
      </c>
    </row>
    <row r="97">
      <c r="A97" s="3">
        <v>40819.0</v>
      </c>
      <c r="B97" s="2">
        <v>409.0</v>
      </c>
      <c r="C97" s="2">
        <v>51.0</v>
      </c>
      <c r="D97" s="2">
        <v>2569.0</v>
      </c>
      <c r="E97" s="2">
        <v>183.0</v>
      </c>
      <c r="F97" s="2">
        <v>589.0</v>
      </c>
      <c r="G97" s="2">
        <v>977.0</v>
      </c>
      <c r="H97" s="2">
        <v>51.0</v>
      </c>
      <c r="I97" s="2">
        <v>835.0</v>
      </c>
      <c r="J97" s="2">
        <v>1649.0</v>
      </c>
      <c r="K97" s="2">
        <v>322.0</v>
      </c>
      <c r="L97" s="4">
        <f t="shared" si="7"/>
        <v>150.6666667</v>
      </c>
      <c r="M97" s="4">
        <f t="shared" si="8"/>
        <v>-99.66666667</v>
      </c>
      <c r="N97" s="4">
        <f t="shared" si="9"/>
        <v>99.66666667</v>
      </c>
      <c r="O97" s="4">
        <f t="shared" si="1"/>
        <v>136.087717</v>
      </c>
      <c r="P97" s="4">
        <f t="shared" si="2"/>
        <v>138.0433675</v>
      </c>
      <c r="Q97" s="4">
        <f t="shared" si="3"/>
        <v>135.3109849</v>
      </c>
      <c r="V97" s="4">
        <f t="shared" si="4"/>
        <v>85.08771705</v>
      </c>
      <c r="W97" s="4">
        <f t="shared" si="5"/>
        <v>87.04336749</v>
      </c>
      <c r="X97" s="4">
        <f t="shared" si="6"/>
        <v>84.31098492</v>
      </c>
    </row>
    <row r="98">
      <c r="A98" s="3">
        <v>40826.0</v>
      </c>
      <c r="B98" s="2">
        <v>181.0</v>
      </c>
      <c r="C98" s="2">
        <v>150.0</v>
      </c>
      <c r="D98" s="2">
        <v>647.0</v>
      </c>
      <c r="E98" s="2">
        <v>106.0</v>
      </c>
      <c r="F98" s="2">
        <v>420.0</v>
      </c>
      <c r="G98" s="2">
        <v>739.0</v>
      </c>
      <c r="H98" s="2">
        <v>150.0</v>
      </c>
      <c r="I98" s="2">
        <v>884.0</v>
      </c>
      <c r="J98" s="2">
        <v>237.0</v>
      </c>
      <c r="K98" s="2">
        <v>443.0</v>
      </c>
      <c r="L98" s="4">
        <f t="shared" si="7"/>
        <v>80.33333333</v>
      </c>
      <c r="M98" s="4">
        <f t="shared" si="8"/>
        <v>69.66666667</v>
      </c>
      <c r="N98" s="4">
        <f t="shared" si="9"/>
        <v>69.66666667</v>
      </c>
      <c r="O98" s="4">
        <f t="shared" si="1"/>
        <v>127.5789453</v>
      </c>
      <c r="P98" s="4">
        <f t="shared" si="2"/>
        <v>111.9303572</v>
      </c>
      <c r="Q98" s="4">
        <f t="shared" si="3"/>
        <v>93.15549246</v>
      </c>
      <c r="V98" s="4">
        <f t="shared" si="4"/>
        <v>22.42105466</v>
      </c>
      <c r="W98" s="4">
        <f t="shared" si="5"/>
        <v>38.06964276</v>
      </c>
      <c r="X98" s="4">
        <f t="shared" si="6"/>
        <v>56.84450754</v>
      </c>
    </row>
    <row r="99">
      <c r="A99" s="3">
        <v>40833.0</v>
      </c>
      <c r="B99" s="2">
        <v>268.0</v>
      </c>
      <c r="C99" s="2">
        <v>109.0</v>
      </c>
      <c r="D99" s="2">
        <v>1045.0</v>
      </c>
      <c r="E99" s="2">
        <v>211.0</v>
      </c>
      <c r="F99" s="2">
        <v>829.0</v>
      </c>
      <c r="G99" s="2">
        <v>756.0</v>
      </c>
      <c r="H99" s="2">
        <v>109.0</v>
      </c>
      <c r="I99" s="2">
        <v>1164.0</v>
      </c>
      <c r="J99" s="2">
        <v>334.0</v>
      </c>
      <c r="K99" s="2">
        <v>276.0</v>
      </c>
      <c r="L99" s="4">
        <f t="shared" si="7"/>
        <v>121</v>
      </c>
      <c r="M99" s="4">
        <f t="shared" si="8"/>
        <v>-12</v>
      </c>
      <c r="N99" s="4">
        <f t="shared" si="9"/>
        <v>12</v>
      </c>
      <c r="O99" s="4">
        <f t="shared" si="1"/>
        <v>129.8210508</v>
      </c>
      <c r="P99" s="4">
        <f t="shared" si="2"/>
        <v>123.3512501</v>
      </c>
      <c r="Q99" s="4">
        <f t="shared" si="3"/>
        <v>121.5777462</v>
      </c>
      <c r="V99" s="4">
        <f t="shared" si="4"/>
        <v>20.82105081</v>
      </c>
      <c r="W99" s="4">
        <f t="shared" si="5"/>
        <v>14.35125007</v>
      </c>
      <c r="X99" s="4">
        <f t="shared" si="6"/>
        <v>12.57774623</v>
      </c>
    </row>
    <row r="100">
      <c r="A100" s="3">
        <v>40840.0</v>
      </c>
      <c r="B100" s="2">
        <v>135.0</v>
      </c>
      <c r="C100" s="2">
        <v>431.0</v>
      </c>
      <c r="D100" s="2">
        <v>500.0</v>
      </c>
      <c r="E100" s="2">
        <v>78.0</v>
      </c>
      <c r="F100" s="2">
        <v>778.0</v>
      </c>
      <c r="G100" s="2">
        <v>644.0</v>
      </c>
      <c r="H100" s="2">
        <v>431.0</v>
      </c>
      <c r="I100" s="2">
        <v>2775.0</v>
      </c>
      <c r="J100" s="2">
        <v>643.0</v>
      </c>
      <c r="K100" s="2">
        <v>314.0</v>
      </c>
      <c r="L100" s="4">
        <f t="shared" si="7"/>
        <v>103.3333333</v>
      </c>
      <c r="M100" s="4">
        <f t="shared" si="8"/>
        <v>327.6666667</v>
      </c>
      <c r="N100" s="4">
        <f t="shared" si="9"/>
        <v>327.6666667</v>
      </c>
      <c r="O100" s="4">
        <f t="shared" si="1"/>
        <v>127.7389457</v>
      </c>
      <c r="P100" s="4">
        <f t="shared" si="2"/>
        <v>119.045875</v>
      </c>
      <c r="Q100" s="4">
        <f t="shared" si="3"/>
        <v>115.2888731</v>
      </c>
      <c r="V100" s="4">
        <f t="shared" si="4"/>
        <v>303.2610543</v>
      </c>
      <c r="W100" s="4">
        <f t="shared" si="5"/>
        <v>311.954125</v>
      </c>
      <c r="X100" s="4">
        <f t="shared" si="6"/>
        <v>315.7111269</v>
      </c>
    </row>
    <row r="101">
      <c r="A101" s="3">
        <v>40847.0</v>
      </c>
      <c r="B101" s="2">
        <v>279.0</v>
      </c>
      <c r="C101" s="2">
        <v>166.0</v>
      </c>
      <c r="D101" s="2">
        <v>1063.0</v>
      </c>
      <c r="E101" s="2">
        <v>102.0</v>
      </c>
      <c r="F101" s="2">
        <v>968.0</v>
      </c>
      <c r="G101" s="2">
        <v>1745.0</v>
      </c>
      <c r="H101" s="2">
        <v>166.0</v>
      </c>
      <c r="I101" s="2">
        <v>1156.0</v>
      </c>
      <c r="J101" s="2">
        <v>313.0</v>
      </c>
      <c r="K101" s="2">
        <v>223.0</v>
      </c>
      <c r="L101" s="4">
        <f t="shared" si="7"/>
        <v>230</v>
      </c>
      <c r="M101" s="4">
        <f t="shared" si="8"/>
        <v>-64</v>
      </c>
      <c r="N101" s="4">
        <f t="shared" si="9"/>
        <v>64</v>
      </c>
      <c r="O101" s="4">
        <f t="shared" si="1"/>
        <v>158.0650512</v>
      </c>
      <c r="P101" s="4">
        <f t="shared" si="2"/>
        <v>212.6321125</v>
      </c>
      <c r="Q101" s="4">
        <f t="shared" si="3"/>
        <v>273.1444366</v>
      </c>
      <c r="V101" s="4">
        <f t="shared" si="4"/>
        <v>7.934948844</v>
      </c>
      <c r="W101" s="4">
        <f t="shared" si="5"/>
        <v>46.63211253</v>
      </c>
      <c r="X101" s="4">
        <f t="shared" si="6"/>
        <v>107.1444366</v>
      </c>
    </row>
    <row r="102">
      <c r="A102" s="3">
        <v>40854.0</v>
      </c>
      <c r="B102" s="2">
        <v>167.0</v>
      </c>
      <c r="C102" s="2">
        <v>482.0</v>
      </c>
      <c r="D102" s="2">
        <v>2100.0</v>
      </c>
      <c r="E102" s="2">
        <v>135.0</v>
      </c>
      <c r="F102" s="2">
        <v>1748.0</v>
      </c>
      <c r="G102" s="2">
        <v>1436.0</v>
      </c>
      <c r="H102" s="2">
        <v>482.0</v>
      </c>
      <c r="I102" s="2">
        <v>3900.0</v>
      </c>
      <c r="J102" s="2">
        <v>416.0</v>
      </c>
      <c r="K102" s="2">
        <v>556.0</v>
      </c>
      <c r="L102" s="4">
        <f t="shared" si="7"/>
        <v>235.3333333</v>
      </c>
      <c r="M102" s="4">
        <f t="shared" si="8"/>
        <v>246.6666667</v>
      </c>
      <c r="N102" s="4">
        <f t="shared" si="9"/>
        <v>246.6666667</v>
      </c>
      <c r="O102" s="4">
        <f t="shared" si="1"/>
        <v>158.858546</v>
      </c>
      <c r="P102" s="4">
        <f t="shared" si="2"/>
        <v>198.6424788</v>
      </c>
      <c r="Q102" s="4">
        <f t="shared" si="3"/>
        <v>219.5722183</v>
      </c>
      <c r="V102" s="4">
        <f t="shared" si="4"/>
        <v>323.141454</v>
      </c>
      <c r="W102" s="4">
        <f t="shared" si="5"/>
        <v>283.3575212</v>
      </c>
      <c r="X102" s="4">
        <f t="shared" si="6"/>
        <v>262.4277817</v>
      </c>
    </row>
    <row r="103">
      <c r="A103" s="3">
        <v>40861.0</v>
      </c>
      <c r="B103" s="2">
        <v>235.0</v>
      </c>
      <c r="C103" s="2">
        <v>389.0</v>
      </c>
      <c r="D103" s="2">
        <v>1602.0</v>
      </c>
      <c r="E103" s="2">
        <v>218.0</v>
      </c>
      <c r="F103" s="2">
        <v>1326.0</v>
      </c>
      <c r="G103" s="2">
        <v>2161.0</v>
      </c>
      <c r="H103" s="2">
        <v>389.0</v>
      </c>
      <c r="I103" s="2">
        <v>3145.0</v>
      </c>
      <c r="J103" s="2">
        <v>522.0</v>
      </c>
      <c r="K103" s="2">
        <v>650.0</v>
      </c>
      <c r="L103" s="4">
        <f t="shared" si="7"/>
        <v>359.6666667</v>
      </c>
      <c r="M103" s="4">
        <f t="shared" si="8"/>
        <v>29.33333333</v>
      </c>
      <c r="N103" s="4">
        <f t="shared" si="9"/>
        <v>29.33333333</v>
      </c>
      <c r="O103" s="4">
        <f t="shared" si="1"/>
        <v>191.1726914</v>
      </c>
      <c r="P103" s="4">
        <f t="shared" si="2"/>
        <v>283.6497351</v>
      </c>
      <c r="Q103" s="4">
        <f t="shared" si="3"/>
        <v>350.7861091</v>
      </c>
      <c r="V103" s="4">
        <f t="shared" si="4"/>
        <v>197.8273086</v>
      </c>
      <c r="W103" s="4">
        <f t="shared" si="5"/>
        <v>105.3502649</v>
      </c>
      <c r="X103" s="4">
        <f t="shared" si="6"/>
        <v>38.21389086</v>
      </c>
    </row>
    <row r="104">
      <c r="A104" s="3">
        <v>40868.0</v>
      </c>
      <c r="B104" s="2">
        <v>249.0</v>
      </c>
      <c r="C104" s="2">
        <v>959.0</v>
      </c>
      <c r="D104" s="2">
        <v>753.0</v>
      </c>
      <c r="E104" s="2">
        <v>455.0</v>
      </c>
      <c r="F104" s="2">
        <v>1037.0</v>
      </c>
      <c r="G104" s="2">
        <v>1692.0</v>
      </c>
      <c r="H104" s="2">
        <v>959.0</v>
      </c>
      <c r="I104" s="2">
        <v>2755.0</v>
      </c>
      <c r="J104" s="2">
        <v>253.0</v>
      </c>
      <c r="K104" s="2">
        <v>276.0</v>
      </c>
      <c r="L104" s="4">
        <f t="shared" si="7"/>
        <v>345.6666667</v>
      </c>
      <c r="M104" s="4">
        <f t="shared" si="8"/>
        <v>613.3333333</v>
      </c>
      <c r="N104" s="4">
        <f t="shared" si="9"/>
        <v>613.3333333</v>
      </c>
      <c r="O104" s="4">
        <f t="shared" si="1"/>
        <v>210.9554223</v>
      </c>
      <c r="P104" s="4">
        <f t="shared" si="2"/>
        <v>315.2548146</v>
      </c>
      <c r="Q104" s="4">
        <f t="shared" si="3"/>
        <v>369.8930546</v>
      </c>
      <c r="V104" s="4">
        <f t="shared" si="4"/>
        <v>748.0445777</v>
      </c>
      <c r="W104" s="4">
        <f t="shared" si="5"/>
        <v>643.7451854</v>
      </c>
      <c r="X104" s="4">
        <f t="shared" si="6"/>
        <v>589.1069454</v>
      </c>
    </row>
    <row r="105">
      <c r="A105" s="3">
        <v>40875.0</v>
      </c>
      <c r="B105" s="2">
        <v>226.0</v>
      </c>
      <c r="C105" s="2">
        <v>314.0</v>
      </c>
      <c r="D105" s="2">
        <v>1040.0</v>
      </c>
      <c r="E105" s="2">
        <v>105.0</v>
      </c>
      <c r="F105" s="2">
        <v>953.0</v>
      </c>
      <c r="G105" s="2">
        <v>1564.0</v>
      </c>
      <c r="H105" s="2">
        <v>314.0</v>
      </c>
      <c r="I105" s="2">
        <v>3275.0</v>
      </c>
      <c r="J105" s="2">
        <v>436.0</v>
      </c>
      <c r="K105" s="2">
        <v>331.0</v>
      </c>
      <c r="L105" s="4">
        <f t="shared" si="7"/>
        <v>610</v>
      </c>
      <c r="M105" s="4">
        <f t="shared" si="8"/>
        <v>-296</v>
      </c>
      <c r="N105" s="4">
        <f t="shared" si="9"/>
        <v>296</v>
      </c>
      <c r="O105" s="4">
        <f t="shared" si="1"/>
        <v>285.7598801</v>
      </c>
      <c r="P105" s="4">
        <f t="shared" si="2"/>
        <v>508.3783702</v>
      </c>
      <c r="Q105" s="4">
        <f t="shared" si="3"/>
        <v>664.4465273</v>
      </c>
      <c r="V105" s="4">
        <f t="shared" si="4"/>
        <v>28.24011994</v>
      </c>
      <c r="W105" s="4">
        <f t="shared" si="5"/>
        <v>194.3783702</v>
      </c>
      <c r="X105" s="4">
        <f t="shared" si="6"/>
        <v>350.4465273</v>
      </c>
    </row>
    <row r="106">
      <c r="T106" s="1" t="s">
        <v>21</v>
      </c>
      <c r="U106" s="5">
        <f>AVERAGE(N94:N105)</f>
        <v>173.75</v>
      </c>
    </row>
    <row r="107">
      <c r="T107" s="1" t="s">
        <v>22</v>
      </c>
      <c r="U107" s="5">
        <f>AVERAGE(V94:V105)</f>
        <v>167.7151665</v>
      </c>
    </row>
    <row r="108">
      <c r="T108" s="1" t="s">
        <v>23</v>
      </c>
      <c r="U108" s="5">
        <f>AVERAGE(W94:W105)</f>
        <v>169.3586518</v>
      </c>
    </row>
    <row r="109">
      <c r="T109" s="1" t="s">
        <v>24</v>
      </c>
      <c r="U109" s="5">
        <f>AVERAGE(X94:X105)</f>
        <v>181.4098365</v>
      </c>
    </row>
    <row r="111">
      <c r="V111" s="1" t="s">
        <v>25</v>
      </c>
      <c r="W111" s="1" t="s">
        <v>26</v>
      </c>
    </row>
    <row r="112">
      <c r="V112" s="4">
        <f>AVERAGE(C2:C105)</f>
        <v>148.25</v>
      </c>
      <c r="W112" s="4">
        <f>STDEV(C2:C105)</f>
        <v>190.5851363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0.1</v>
      </c>
      <c r="V1" s="1" t="s">
        <v>18</v>
      </c>
      <c r="W1" s="1" t="s">
        <v>19</v>
      </c>
      <c r="X1" s="1" t="s">
        <v>20</v>
      </c>
    </row>
    <row r="2">
      <c r="A2" s="3">
        <v>40154.0</v>
      </c>
      <c r="B2" s="2">
        <v>0.0</v>
      </c>
      <c r="C2" s="2">
        <v>663.0</v>
      </c>
      <c r="D2" s="2">
        <v>1233.0</v>
      </c>
      <c r="E2" s="2">
        <v>19.0</v>
      </c>
      <c r="F2" s="2">
        <v>1213.0</v>
      </c>
      <c r="G2" s="2">
        <v>663.0</v>
      </c>
      <c r="H2" s="2">
        <v>175.0</v>
      </c>
      <c r="I2" s="2">
        <v>153.0</v>
      </c>
      <c r="J2" s="2">
        <v>0.0</v>
      </c>
      <c r="K2" s="2">
        <v>324.0</v>
      </c>
      <c r="O2" s="4">
        <f>(C2)</f>
        <v>663</v>
      </c>
      <c r="P2" s="4">
        <f>(C2)</f>
        <v>663</v>
      </c>
      <c r="Q2" s="4">
        <f>(C2)</f>
        <v>663</v>
      </c>
      <c r="S2" s="2">
        <v>0.3</v>
      </c>
    </row>
    <row r="3">
      <c r="A3" s="3">
        <v>40161.0</v>
      </c>
      <c r="B3" s="2">
        <v>0.0</v>
      </c>
      <c r="C3" s="2">
        <v>572.0</v>
      </c>
      <c r="D3" s="2">
        <v>1304.0</v>
      </c>
      <c r="E3" s="2">
        <v>52.0</v>
      </c>
      <c r="F3" s="2">
        <v>1324.0</v>
      </c>
      <c r="G3" s="2">
        <v>572.0</v>
      </c>
      <c r="H3" s="2">
        <v>173.0</v>
      </c>
      <c r="I3" s="2">
        <v>644.0</v>
      </c>
      <c r="J3" s="2">
        <v>0.0</v>
      </c>
      <c r="K3" s="2">
        <v>236.0</v>
      </c>
      <c r="O3" s="4">
        <f t="shared" ref="O3:O105" si="1">($S$1*C2+(1-$S$1)*O2)</f>
        <v>663</v>
      </c>
      <c r="P3" s="4">
        <f t="shared" ref="P3:P105" si="2">($S$2*C2+(1-$S$2)*P2)</f>
        <v>663</v>
      </c>
      <c r="Q3" s="4">
        <f t="shared" ref="Q3:Q105" si="3">($S$3*C2+(1-$S$3)*Q2)</f>
        <v>663</v>
      </c>
      <c r="S3" s="2">
        <v>0.5</v>
      </c>
      <c r="V3" s="4">
        <f t="shared" ref="V3:V105" si="4">ABS(C3-O3)</f>
        <v>91</v>
      </c>
      <c r="W3" s="4">
        <f t="shared" ref="W3:W105" si="5">ABS(C3-P3)</f>
        <v>91</v>
      </c>
      <c r="X3" s="4">
        <f t="shared" ref="X3:X105" si="6">ABS(C3-Q3)</f>
        <v>91</v>
      </c>
    </row>
    <row r="4">
      <c r="A4" s="3">
        <v>40168.0</v>
      </c>
      <c r="B4" s="2">
        <v>0.0</v>
      </c>
      <c r="C4" s="2">
        <v>69.0</v>
      </c>
      <c r="D4" s="2">
        <v>36.0</v>
      </c>
      <c r="E4" s="2">
        <v>1.0</v>
      </c>
      <c r="F4" s="2">
        <v>82.0</v>
      </c>
      <c r="G4" s="2">
        <v>69.0</v>
      </c>
      <c r="H4" s="2">
        <v>19.0</v>
      </c>
      <c r="I4" s="2">
        <v>2.0</v>
      </c>
      <c r="J4" s="2">
        <v>0.0</v>
      </c>
      <c r="K4" s="2">
        <v>111.0</v>
      </c>
      <c r="O4" s="4">
        <f t="shared" si="1"/>
        <v>653.9</v>
      </c>
      <c r="P4" s="4">
        <f t="shared" si="2"/>
        <v>635.7</v>
      </c>
      <c r="Q4" s="4">
        <f t="shared" si="3"/>
        <v>617.5</v>
      </c>
      <c r="V4" s="4">
        <f t="shared" si="4"/>
        <v>584.9</v>
      </c>
      <c r="W4" s="4">
        <f t="shared" si="5"/>
        <v>566.7</v>
      </c>
      <c r="X4" s="4">
        <f t="shared" si="6"/>
        <v>548.5</v>
      </c>
    </row>
    <row r="5">
      <c r="A5" s="3">
        <v>40175.0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f t="shared" ref="L5:L105" si="7">AVERAGE(C2:C4)</f>
        <v>434.6666667</v>
      </c>
      <c r="M5" s="4">
        <f t="shared" ref="M5:M105" si="8">(C5-L5)</f>
        <v>-434.6666667</v>
      </c>
      <c r="N5" s="4">
        <f t="shared" ref="N5:N105" si="9">ABS(M5)</f>
        <v>434.6666667</v>
      </c>
      <c r="O5" s="4">
        <f t="shared" si="1"/>
        <v>595.41</v>
      </c>
      <c r="P5" s="4">
        <f t="shared" si="2"/>
        <v>465.69</v>
      </c>
      <c r="Q5" s="4">
        <f t="shared" si="3"/>
        <v>343.25</v>
      </c>
      <c r="V5" s="4">
        <f t="shared" si="4"/>
        <v>595.41</v>
      </c>
      <c r="W5" s="4">
        <f t="shared" si="5"/>
        <v>465.69</v>
      </c>
      <c r="X5" s="4">
        <f t="shared" si="6"/>
        <v>343.25</v>
      </c>
    </row>
    <row r="6">
      <c r="A6" s="3">
        <v>40182.0</v>
      </c>
      <c r="B6" s="2">
        <v>0.0</v>
      </c>
      <c r="C6" s="2">
        <v>0.0</v>
      </c>
      <c r="D6" s="2">
        <v>1152.0</v>
      </c>
      <c r="E6" s="2">
        <v>47.0</v>
      </c>
      <c r="F6" s="2">
        <v>168.0</v>
      </c>
      <c r="G6" s="2">
        <v>0.0</v>
      </c>
      <c r="H6" s="2">
        <v>17.0</v>
      </c>
      <c r="I6" s="2">
        <v>21.0</v>
      </c>
      <c r="J6" s="2">
        <v>0.0</v>
      </c>
      <c r="K6" s="2">
        <v>324.0</v>
      </c>
      <c r="L6" s="4">
        <f t="shared" si="7"/>
        <v>213.6666667</v>
      </c>
      <c r="M6" s="4">
        <f t="shared" si="8"/>
        <v>-213.6666667</v>
      </c>
      <c r="N6" s="4">
        <f t="shared" si="9"/>
        <v>213.6666667</v>
      </c>
      <c r="O6" s="4">
        <f t="shared" si="1"/>
        <v>535.869</v>
      </c>
      <c r="P6" s="4">
        <f t="shared" si="2"/>
        <v>325.983</v>
      </c>
      <c r="Q6" s="4">
        <f t="shared" si="3"/>
        <v>171.625</v>
      </c>
      <c r="V6" s="4">
        <f t="shared" si="4"/>
        <v>535.869</v>
      </c>
      <c r="W6" s="4">
        <f t="shared" si="5"/>
        <v>325.983</v>
      </c>
      <c r="X6" s="4">
        <f t="shared" si="6"/>
        <v>171.625</v>
      </c>
    </row>
    <row r="7">
      <c r="A7" s="3">
        <v>40189.0</v>
      </c>
      <c r="B7" s="2">
        <v>0.0</v>
      </c>
      <c r="C7" s="2">
        <v>20.0</v>
      </c>
      <c r="D7" s="2">
        <v>928.0</v>
      </c>
      <c r="E7" s="2">
        <v>64.0</v>
      </c>
      <c r="F7" s="2">
        <v>233.0</v>
      </c>
      <c r="G7" s="2">
        <v>20.0</v>
      </c>
      <c r="H7" s="2">
        <v>23.0</v>
      </c>
      <c r="I7" s="2">
        <v>72.0</v>
      </c>
      <c r="J7" s="2">
        <v>0.0</v>
      </c>
      <c r="K7" s="2">
        <v>190.0</v>
      </c>
      <c r="L7" s="4">
        <f t="shared" si="7"/>
        <v>23</v>
      </c>
      <c r="M7" s="4">
        <f t="shared" si="8"/>
        <v>-3</v>
      </c>
      <c r="N7" s="4">
        <f t="shared" si="9"/>
        <v>3</v>
      </c>
      <c r="O7" s="4">
        <f t="shared" si="1"/>
        <v>482.2821</v>
      </c>
      <c r="P7" s="4">
        <f t="shared" si="2"/>
        <v>228.1881</v>
      </c>
      <c r="Q7" s="4">
        <f t="shared" si="3"/>
        <v>85.8125</v>
      </c>
      <c r="V7" s="4">
        <f t="shared" si="4"/>
        <v>462.2821</v>
      </c>
      <c r="W7" s="4">
        <f t="shared" si="5"/>
        <v>208.1881</v>
      </c>
      <c r="X7" s="4">
        <f t="shared" si="6"/>
        <v>65.8125</v>
      </c>
    </row>
    <row r="8">
      <c r="A8" s="3">
        <v>40196.0</v>
      </c>
      <c r="B8" s="2">
        <v>0.0</v>
      </c>
      <c r="C8" s="2">
        <v>3.0</v>
      </c>
      <c r="D8" s="2">
        <v>627.0</v>
      </c>
      <c r="E8" s="2">
        <v>49.0</v>
      </c>
      <c r="F8" s="2">
        <v>897.0</v>
      </c>
      <c r="G8" s="2">
        <v>3.0</v>
      </c>
      <c r="H8" s="2">
        <v>0.0</v>
      </c>
      <c r="I8" s="2">
        <v>23.0</v>
      </c>
      <c r="J8" s="2">
        <v>0.0</v>
      </c>
      <c r="K8" s="2">
        <v>479.0</v>
      </c>
      <c r="L8" s="4">
        <f t="shared" si="7"/>
        <v>6.666666667</v>
      </c>
      <c r="M8" s="4">
        <f t="shared" si="8"/>
        <v>-3.666666667</v>
      </c>
      <c r="N8" s="4">
        <f t="shared" si="9"/>
        <v>3.666666667</v>
      </c>
      <c r="O8" s="4">
        <f t="shared" si="1"/>
        <v>436.05389</v>
      </c>
      <c r="P8" s="4">
        <f t="shared" si="2"/>
        <v>165.73167</v>
      </c>
      <c r="Q8" s="4">
        <f t="shared" si="3"/>
        <v>52.90625</v>
      </c>
      <c r="V8" s="4">
        <f t="shared" si="4"/>
        <v>433.05389</v>
      </c>
      <c r="W8" s="4">
        <f t="shared" si="5"/>
        <v>162.73167</v>
      </c>
      <c r="X8" s="4">
        <f t="shared" si="6"/>
        <v>49.90625</v>
      </c>
    </row>
    <row r="9">
      <c r="A9" s="3">
        <v>40203.0</v>
      </c>
      <c r="B9" s="2">
        <v>0.0</v>
      </c>
      <c r="C9" s="2">
        <v>0.0</v>
      </c>
      <c r="D9" s="2">
        <v>864.0</v>
      </c>
      <c r="E9" s="2">
        <v>186.0</v>
      </c>
      <c r="F9" s="2">
        <v>211.0</v>
      </c>
      <c r="G9" s="2">
        <v>0.0</v>
      </c>
      <c r="H9" s="2">
        <v>0.0</v>
      </c>
      <c r="I9" s="2">
        <v>621.0</v>
      </c>
      <c r="J9" s="2">
        <v>114.0</v>
      </c>
      <c r="K9" s="2">
        <v>504.0</v>
      </c>
      <c r="L9" s="4">
        <f t="shared" si="7"/>
        <v>7.666666667</v>
      </c>
      <c r="M9" s="4">
        <f t="shared" si="8"/>
        <v>-7.666666667</v>
      </c>
      <c r="N9" s="4">
        <f t="shared" si="9"/>
        <v>7.666666667</v>
      </c>
      <c r="O9" s="4">
        <f t="shared" si="1"/>
        <v>392.748501</v>
      </c>
      <c r="P9" s="4">
        <f t="shared" si="2"/>
        <v>116.912169</v>
      </c>
      <c r="Q9" s="4">
        <f t="shared" si="3"/>
        <v>27.953125</v>
      </c>
      <c r="V9" s="4">
        <f t="shared" si="4"/>
        <v>392.748501</v>
      </c>
      <c r="W9" s="4">
        <f t="shared" si="5"/>
        <v>116.912169</v>
      </c>
      <c r="X9" s="4">
        <f t="shared" si="6"/>
        <v>27.953125</v>
      </c>
    </row>
    <row r="10">
      <c r="A10" s="3">
        <v>40210.0</v>
      </c>
      <c r="B10" s="2">
        <v>0.0</v>
      </c>
      <c r="C10" s="2">
        <v>0.0</v>
      </c>
      <c r="D10" s="2">
        <v>488.0</v>
      </c>
      <c r="E10" s="2">
        <v>53.0</v>
      </c>
      <c r="F10" s="2">
        <v>274.0</v>
      </c>
      <c r="G10" s="2">
        <v>0.0</v>
      </c>
      <c r="H10" s="2">
        <v>24.0</v>
      </c>
      <c r="I10" s="2">
        <v>81.0</v>
      </c>
      <c r="J10" s="2">
        <v>338.0</v>
      </c>
      <c r="K10" s="2">
        <v>326.0</v>
      </c>
      <c r="L10" s="4">
        <f t="shared" si="7"/>
        <v>7.666666667</v>
      </c>
      <c r="M10" s="4">
        <f t="shared" si="8"/>
        <v>-7.666666667</v>
      </c>
      <c r="N10" s="4">
        <f t="shared" si="9"/>
        <v>7.666666667</v>
      </c>
      <c r="O10" s="4">
        <f t="shared" si="1"/>
        <v>353.4736509</v>
      </c>
      <c r="P10" s="4">
        <f t="shared" si="2"/>
        <v>81.8385183</v>
      </c>
      <c r="Q10" s="4">
        <f t="shared" si="3"/>
        <v>13.9765625</v>
      </c>
      <c r="V10" s="4">
        <f t="shared" si="4"/>
        <v>353.4736509</v>
      </c>
      <c r="W10" s="4">
        <f t="shared" si="5"/>
        <v>81.8385183</v>
      </c>
      <c r="X10" s="4">
        <f t="shared" si="6"/>
        <v>13.9765625</v>
      </c>
    </row>
    <row r="11">
      <c r="A11" s="3">
        <v>40217.0</v>
      </c>
      <c r="B11" s="2">
        <v>0.0</v>
      </c>
      <c r="C11" s="2">
        <v>0.0</v>
      </c>
      <c r="D11" s="2">
        <v>547.0</v>
      </c>
      <c r="E11" s="2">
        <v>51.0</v>
      </c>
      <c r="F11" s="2">
        <v>512.0</v>
      </c>
      <c r="G11" s="2">
        <v>0.0</v>
      </c>
      <c r="H11" s="2">
        <v>0.0</v>
      </c>
      <c r="I11" s="2">
        <v>68.0</v>
      </c>
      <c r="J11" s="2">
        <v>314.0</v>
      </c>
      <c r="K11" s="2">
        <v>213.0</v>
      </c>
      <c r="L11" s="4">
        <f t="shared" si="7"/>
        <v>1</v>
      </c>
      <c r="M11" s="4">
        <f t="shared" si="8"/>
        <v>-1</v>
      </c>
      <c r="N11" s="4">
        <f t="shared" si="9"/>
        <v>1</v>
      </c>
      <c r="O11" s="4">
        <f t="shared" si="1"/>
        <v>318.1262858</v>
      </c>
      <c r="P11" s="4">
        <f t="shared" si="2"/>
        <v>57.28696281</v>
      </c>
      <c r="Q11" s="4">
        <f t="shared" si="3"/>
        <v>6.98828125</v>
      </c>
      <c r="V11" s="4">
        <f t="shared" si="4"/>
        <v>318.1262858</v>
      </c>
      <c r="W11" s="4">
        <f t="shared" si="5"/>
        <v>57.28696281</v>
      </c>
      <c r="X11" s="4">
        <f t="shared" si="6"/>
        <v>6.98828125</v>
      </c>
    </row>
    <row r="12">
      <c r="A12" s="3">
        <v>40224.0</v>
      </c>
      <c r="B12" s="2">
        <v>0.0</v>
      </c>
      <c r="C12" s="2">
        <v>0.0</v>
      </c>
      <c r="D12" s="2">
        <v>1014.0</v>
      </c>
      <c r="E12" s="2">
        <v>159.0</v>
      </c>
      <c r="F12" s="2">
        <v>587.0</v>
      </c>
      <c r="G12" s="2">
        <v>0.0</v>
      </c>
      <c r="H12" s="2">
        <v>1.0</v>
      </c>
      <c r="I12" s="2">
        <v>19.0</v>
      </c>
      <c r="J12" s="2">
        <v>720.0</v>
      </c>
      <c r="K12" s="2">
        <v>442.0</v>
      </c>
      <c r="L12" s="4">
        <f t="shared" si="7"/>
        <v>0</v>
      </c>
      <c r="M12" s="4">
        <f t="shared" si="8"/>
        <v>0</v>
      </c>
      <c r="N12" s="4">
        <f t="shared" si="9"/>
        <v>0</v>
      </c>
      <c r="O12" s="4">
        <f t="shared" si="1"/>
        <v>286.3136572</v>
      </c>
      <c r="P12" s="4">
        <f t="shared" si="2"/>
        <v>40.10087397</v>
      </c>
      <c r="Q12" s="4">
        <f t="shared" si="3"/>
        <v>3.494140625</v>
      </c>
      <c r="V12" s="4">
        <f t="shared" si="4"/>
        <v>286.3136572</v>
      </c>
      <c r="W12" s="4">
        <f t="shared" si="5"/>
        <v>40.10087397</v>
      </c>
      <c r="X12" s="4">
        <f t="shared" si="6"/>
        <v>3.494140625</v>
      </c>
    </row>
    <row r="13">
      <c r="A13" s="3">
        <v>40231.0</v>
      </c>
      <c r="B13" s="2">
        <v>0.0</v>
      </c>
      <c r="C13" s="2">
        <v>0.0</v>
      </c>
      <c r="D13" s="2">
        <v>613.0</v>
      </c>
      <c r="E13" s="2">
        <v>79.0</v>
      </c>
      <c r="F13" s="2">
        <v>294.0</v>
      </c>
      <c r="G13" s="2">
        <v>0.0</v>
      </c>
      <c r="H13" s="2">
        <v>0.0</v>
      </c>
      <c r="I13" s="2">
        <v>1407.0</v>
      </c>
      <c r="J13" s="2">
        <v>551.0</v>
      </c>
      <c r="K13" s="2">
        <v>272.0</v>
      </c>
      <c r="L13" s="4">
        <f t="shared" si="7"/>
        <v>0</v>
      </c>
      <c r="M13" s="4">
        <f t="shared" si="8"/>
        <v>0</v>
      </c>
      <c r="N13" s="4">
        <f t="shared" si="9"/>
        <v>0</v>
      </c>
      <c r="O13" s="4">
        <f t="shared" si="1"/>
        <v>257.6822915</v>
      </c>
      <c r="P13" s="4">
        <f t="shared" si="2"/>
        <v>28.07061178</v>
      </c>
      <c r="Q13" s="4">
        <f t="shared" si="3"/>
        <v>1.747070313</v>
      </c>
      <c r="V13" s="4">
        <f t="shared" si="4"/>
        <v>257.6822915</v>
      </c>
      <c r="W13" s="4">
        <f t="shared" si="5"/>
        <v>28.07061178</v>
      </c>
      <c r="X13" s="4">
        <f t="shared" si="6"/>
        <v>1.747070313</v>
      </c>
    </row>
    <row r="14">
      <c r="A14" s="3">
        <v>40238.0</v>
      </c>
      <c r="B14" s="2">
        <v>0.0</v>
      </c>
      <c r="C14" s="2">
        <v>3.0</v>
      </c>
      <c r="D14" s="2">
        <v>754.0</v>
      </c>
      <c r="E14" s="2">
        <v>78.0</v>
      </c>
      <c r="F14" s="2">
        <v>735.0</v>
      </c>
      <c r="G14" s="2">
        <v>3.0</v>
      </c>
      <c r="H14" s="2">
        <v>2.0</v>
      </c>
      <c r="I14" s="2">
        <v>133.0</v>
      </c>
      <c r="J14" s="2">
        <v>306.0</v>
      </c>
      <c r="K14" s="2">
        <v>409.0</v>
      </c>
      <c r="L14" s="4">
        <f t="shared" si="7"/>
        <v>0</v>
      </c>
      <c r="M14" s="4">
        <f t="shared" si="8"/>
        <v>3</v>
      </c>
      <c r="N14" s="4">
        <f t="shared" si="9"/>
        <v>3</v>
      </c>
      <c r="O14" s="4">
        <f t="shared" si="1"/>
        <v>231.9140624</v>
      </c>
      <c r="P14" s="4">
        <f t="shared" si="2"/>
        <v>19.64942824</v>
      </c>
      <c r="Q14" s="4">
        <f t="shared" si="3"/>
        <v>0.8735351563</v>
      </c>
      <c r="V14" s="4">
        <f t="shared" si="4"/>
        <v>228.9140624</v>
      </c>
      <c r="W14" s="4">
        <f t="shared" si="5"/>
        <v>16.64942824</v>
      </c>
      <c r="X14" s="4">
        <f t="shared" si="6"/>
        <v>2.126464844</v>
      </c>
    </row>
    <row r="15">
      <c r="A15" s="3">
        <v>40245.0</v>
      </c>
      <c r="B15" s="2">
        <v>0.0</v>
      </c>
      <c r="C15" s="2">
        <v>0.0</v>
      </c>
      <c r="D15" s="2">
        <v>800.0</v>
      </c>
      <c r="E15" s="2">
        <v>262.0</v>
      </c>
      <c r="F15" s="2">
        <v>917.0</v>
      </c>
      <c r="G15" s="2">
        <v>0.0</v>
      </c>
      <c r="H15" s="2">
        <v>0.0</v>
      </c>
      <c r="I15" s="2">
        <v>47.0</v>
      </c>
      <c r="J15" s="2">
        <v>405.0</v>
      </c>
      <c r="K15" s="2">
        <v>337.0</v>
      </c>
      <c r="L15" s="4">
        <f t="shared" si="7"/>
        <v>1</v>
      </c>
      <c r="M15" s="4">
        <f t="shared" si="8"/>
        <v>-1</v>
      </c>
      <c r="N15" s="4">
        <f t="shared" si="9"/>
        <v>1</v>
      </c>
      <c r="O15" s="4">
        <f t="shared" si="1"/>
        <v>209.0226561</v>
      </c>
      <c r="P15" s="4">
        <f t="shared" si="2"/>
        <v>14.65459977</v>
      </c>
      <c r="Q15" s="4">
        <f t="shared" si="3"/>
        <v>1.936767578</v>
      </c>
      <c r="V15" s="4">
        <f t="shared" si="4"/>
        <v>209.0226561</v>
      </c>
      <c r="W15" s="4">
        <f t="shared" si="5"/>
        <v>14.65459977</v>
      </c>
      <c r="X15" s="4">
        <f t="shared" si="6"/>
        <v>1.936767578</v>
      </c>
    </row>
    <row r="16">
      <c r="A16" s="3">
        <v>40252.0</v>
      </c>
      <c r="B16" s="2">
        <v>194.0</v>
      </c>
      <c r="C16" s="2">
        <v>12.0</v>
      </c>
      <c r="D16" s="2">
        <v>555.0</v>
      </c>
      <c r="E16" s="2">
        <v>224.0</v>
      </c>
      <c r="F16" s="2">
        <v>551.0</v>
      </c>
      <c r="G16" s="2">
        <v>12.0</v>
      </c>
      <c r="H16" s="2">
        <v>0.0</v>
      </c>
      <c r="I16" s="2">
        <v>826.0</v>
      </c>
      <c r="J16" s="2">
        <v>179.0</v>
      </c>
      <c r="K16" s="2">
        <v>375.0</v>
      </c>
      <c r="L16" s="4">
        <f t="shared" si="7"/>
        <v>1</v>
      </c>
      <c r="M16" s="4">
        <f t="shared" si="8"/>
        <v>11</v>
      </c>
      <c r="N16" s="4">
        <f t="shared" si="9"/>
        <v>11</v>
      </c>
      <c r="O16" s="4">
        <f t="shared" si="1"/>
        <v>188.1203905</v>
      </c>
      <c r="P16" s="4">
        <f t="shared" si="2"/>
        <v>10.25821984</v>
      </c>
      <c r="Q16" s="4">
        <f t="shared" si="3"/>
        <v>0.9683837891</v>
      </c>
      <c r="V16" s="4">
        <f t="shared" si="4"/>
        <v>176.1203905</v>
      </c>
      <c r="W16" s="4">
        <f t="shared" si="5"/>
        <v>1.741780161</v>
      </c>
      <c r="X16" s="4">
        <f t="shared" si="6"/>
        <v>11.03161621</v>
      </c>
    </row>
    <row r="17">
      <c r="A17" s="3">
        <v>40259.0</v>
      </c>
      <c r="B17" s="2">
        <v>410.0</v>
      </c>
      <c r="C17" s="2">
        <v>0.0</v>
      </c>
      <c r="D17" s="2">
        <v>930.0</v>
      </c>
      <c r="E17" s="2">
        <v>212.0</v>
      </c>
      <c r="F17" s="2">
        <v>808.0</v>
      </c>
      <c r="G17" s="2">
        <v>0.0</v>
      </c>
      <c r="H17" s="2">
        <v>0.0</v>
      </c>
      <c r="I17" s="2">
        <v>103.0</v>
      </c>
      <c r="J17" s="2">
        <v>467.0</v>
      </c>
      <c r="K17" s="2">
        <v>177.0</v>
      </c>
      <c r="L17" s="4">
        <f t="shared" si="7"/>
        <v>5</v>
      </c>
      <c r="M17" s="4">
        <f t="shared" si="8"/>
        <v>-5</v>
      </c>
      <c r="N17" s="4">
        <f t="shared" si="9"/>
        <v>5</v>
      </c>
      <c r="O17" s="4">
        <f t="shared" si="1"/>
        <v>170.5083515</v>
      </c>
      <c r="P17" s="4">
        <f t="shared" si="2"/>
        <v>10.78075389</v>
      </c>
      <c r="Q17" s="4">
        <f t="shared" si="3"/>
        <v>6.484191895</v>
      </c>
      <c r="V17" s="4">
        <f t="shared" si="4"/>
        <v>170.5083515</v>
      </c>
      <c r="W17" s="4">
        <f t="shared" si="5"/>
        <v>10.78075389</v>
      </c>
      <c r="X17" s="4">
        <f t="shared" si="6"/>
        <v>6.484191895</v>
      </c>
    </row>
    <row r="18">
      <c r="A18" s="3">
        <v>40266.0</v>
      </c>
      <c r="B18" s="2">
        <v>186.0</v>
      </c>
      <c r="C18" s="2">
        <v>2.0</v>
      </c>
      <c r="D18" s="2">
        <v>588.0</v>
      </c>
      <c r="E18" s="2">
        <v>149.0</v>
      </c>
      <c r="F18" s="2">
        <v>331.0</v>
      </c>
      <c r="G18" s="2">
        <v>2.0</v>
      </c>
      <c r="H18" s="2">
        <v>450.0</v>
      </c>
      <c r="I18" s="2">
        <v>423.0</v>
      </c>
      <c r="J18" s="2">
        <v>331.0</v>
      </c>
      <c r="K18" s="2">
        <v>425.0</v>
      </c>
      <c r="L18" s="4">
        <f t="shared" si="7"/>
        <v>4</v>
      </c>
      <c r="M18" s="4">
        <f t="shared" si="8"/>
        <v>-2</v>
      </c>
      <c r="N18" s="4">
        <f t="shared" si="9"/>
        <v>2</v>
      </c>
      <c r="O18" s="4">
        <f t="shared" si="1"/>
        <v>153.4575163</v>
      </c>
      <c r="P18" s="4">
        <f t="shared" si="2"/>
        <v>7.546527721</v>
      </c>
      <c r="Q18" s="4">
        <f t="shared" si="3"/>
        <v>3.242095947</v>
      </c>
      <c r="V18" s="4">
        <f t="shared" si="4"/>
        <v>151.4575163</v>
      </c>
      <c r="W18" s="4">
        <f t="shared" si="5"/>
        <v>5.546527721</v>
      </c>
      <c r="X18" s="4">
        <f t="shared" si="6"/>
        <v>1.242095947</v>
      </c>
    </row>
    <row r="19">
      <c r="A19" s="3">
        <v>40273.0</v>
      </c>
      <c r="B19" s="2">
        <v>230.0</v>
      </c>
      <c r="C19" s="2">
        <v>0.0</v>
      </c>
      <c r="D19" s="2">
        <v>416.0</v>
      </c>
      <c r="E19" s="2">
        <v>179.0</v>
      </c>
      <c r="F19" s="2">
        <v>736.0</v>
      </c>
      <c r="G19" s="2">
        <v>0.0</v>
      </c>
      <c r="H19" s="2">
        <v>216.0</v>
      </c>
      <c r="I19" s="2">
        <v>716.0</v>
      </c>
      <c r="J19" s="2">
        <v>164.0</v>
      </c>
      <c r="K19" s="2">
        <v>298.0</v>
      </c>
      <c r="L19" s="4">
        <f t="shared" si="7"/>
        <v>4.666666667</v>
      </c>
      <c r="M19" s="4">
        <f t="shared" si="8"/>
        <v>-4.666666667</v>
      </c>
      <c r="N19" s="4">
        <f t="shared" si="9"/>
        <v>4.666666667</v>
      </c>
      <c r="O19" s="4">
        <f t="shared" si="1"/>
        <v>138.3117647</v>
      </c>
      <c r="P19" s="4">
        <f t="shared" si="2"/>
        <v>5.882569405</v>
      </c>
      <c r="Q19" s="4">
        <f t="shared" si="3"/>
        <v>2.621047974</v>
      </c>
      <c r="V19" s="4">
        <f t="shared" si="4"/>
        <v>138.3117647</v>
      </c>
      <c r="W19" s="4">
        <f t="shared" si="5"/>
        <v>5.882569405</v>
      </c>
      <c r="X19" s="4">
        <f t="shared" si="6"/>
        <v>2.621047974</v>
      </c>
    </row>
    <row r="20">
      <c r="A20" s="3">
        <v>40280.0</v>
      </c>
      <c r="B20" s="2">
        <v>293.0</v>
      </c>
      <c r="C20" s="2">
        <v>0.0</v>
      </c>
      <c r="D20" s="2">
        <v>1007.0</v>
      </c>
      <c r="E20" s="2">
        <v>386.0</v>
      </c>
      <c r="F20" s="2">
        <v>653.0</v>
      </c>
      <c r="G20" s="2">
        <v>0.0</v>
      </c>
      <c r="H20" s="2">
        <v>91.0</v>
      </c>
      <c r="I20" s="2">
        <v>224.0</v>
      </c>
      <c r="J20" s="2">
        <v>218.0</v>
      </c>
      <c r="K20" s="2">
        <v>477.0</v>
      </c>
      <c r="L20" s="4">
        <f t="shared" si="7"/>
        <v>0.6666666667</v>
      </c>
      <c r="M20" s="4">
        <f t="shared" si="8"/>
        <v>-0.6666666667</v>
      </c>
      <c r="N20" s="4">
        <f t="shared" si="9"/>
        <v>0.6666666667</v>
      </c>
      <c r="O20" s="4">
        <f t="shared" si="1"/>
        <v>124.4805882</v>
      </c>
      <c r="P20" s="4">
        <f t="shared" si="2"/>
        <v>4.117798583</v>
      </c>
      <c r="Q20" s="4">
        <f t="shared" si="3"/>
        <v>1.310523987</v>
      </c>
      <c r="V20" s="4">
        <f t="shared" si="4"/>
        <v>124.4805882</v>
      </c>
      <c r="W20" s="4">
        <f t="shared" si="5"/>
        <v>4.117798583</v>
      </c>
      <c r="X20" s="4">
        <f t="shared" si="6"/>
        <v>1.310523987</v>
      </c>
    </row>
    <row r="21">
      <c r="A21" s="3">
        <v>40287.0</v>
      </c>
      <c r="B21" s="2">
        <v>349.0</v>
      </c>
      <c r="C21" s="2">
        <v>1.0</v>
      </c>
      <c r="D21" s="2">
        <v>645.0</v>
      </c>
      <c r="E21" s="2">
        <v>525.0</v>
      </c>
      <c r="F21" s="2">
        <v>504.0</v>
      </c>
      <c r="G21" s="2">
        <v>1.0</v>
      </c>
      <c r="H21" s="2">
        <v>116.0</v>
      </c>
      <c r="I21" s="2">
        <v>378.0</v>
      </c>
      <c r="J21" s="2">
        <v>248.0</v>
      </c>
      <c r="K21" s="2">
        <v>297.0</v>
      </c>
      <c r="L21" s="4">
        <f t="shared" si="7"/>
        <v>0.6666666667</v>
      </c>
      <c r="M21" s="4">
        <f t="shared" si="8"/>
        <v>0.3333333333</v>
      </c>
      <c r="N21" s="4">
        <f t="shared" si="9"/>
        <v>0.3333333333</v>
      </c>
      <c r="O21" s="4">
        <f t="shared" si="1"/>
        <v>112.0325294</v>
      </c>
      <c r="P21" s="4">
        <f t="shared" si="2"/>
        <v>2.882459008</v>
      </c>
      <c r="Q21" s="4">
        <f t="shared" si="3"/>
        <v>0.6552619934</v>
      </c>
      <c r="V21" s="4">
        <f t="shared" si="4"/>
        <v>111.0325294</v>
      </c>
      <c r="W21" s="4">
        <f t="shared" si="5"/>
        <v>1.882459008</v>
      </c>
      <c r="X21" s="4">
        <f t="shared" si="6"/>
        <v>0.3447380066</v>
      </c>
    </row>
    <row r="22">
      <c r="A22" s="3">
        <v>40294.0</v>
      </c>
      <c r="B22" s="2">
        <v>276.0</v>
      </c>
      <c r="C22" s="2">
        <v>18.0</v>
      </c>
      <c r="D22" s="2">
        <v>1539.0</v>
      </c>
      <c r="E22" s="2">
        <v>418.0</v>
      </c>
      <c r="F22" s="2">
        <v>919.0</v>
      </c>
      <c r="G22" s="2">
        <v>18.0</v>
      </c>
      <c r="H22" s="2">
        <v>55.0</v>
      </c>
      <c r="I22" s="2">
        <v>500.0</v>
      </c>
      <c r="J22" s="2">
        <v>386.0</v>
      </c>
      <c r="K22" s="2">
        <v>304.0</v>
      </c>
      <c r="L22" s="4">
        <f t="shared" si="7"/>
        <v>0.3333333333</v>
      </c>
      <c r="M22" s="4">
        <f t="shared" si="8"/>
        <v>17.66666667</v>
      </c>
      <c r="N22" s="4">
        <f t="shared" si="9"/>
        <v>17.66666667</v>
      </c>
      <c r="O22" s="4">
        <f t="shared" si="1"/>
        <v>100.9292765</v>
      </c>
      <c r="P22" s="4">
        <f t="shared" si="2"/>
        <v>2.317721306</v>
      </c>
      <c r="Q22" s="4">
        <f t="shared" si="3"/>
        <v>0.8276309967</v>
      </c>
      <c r="V22" s="4">
        <f t="shared" si="4"/>
        <v>82.92927645</v>
      </c>
      <c r="W22" s="4">
        <f t="shared" si="5"/>
        <v>15.68227869</v>
      </c>
      <c r="X22" s="4">
        <f t="shared" si="6"/>
        <v>17.172369</v>
      </c>
    </row>
    <row r="23">
      <c r="A23" s="3">
        <v>40301.0</v>
      </c>
      <c r="B23" s="2">
        <v>306.0</v>
      </c>
      <c r="C23" s="2">
        <v>46.0</v>
      </c>
      <c r="D23" s="2">
        <v>1207.0</v>
      </c>
      <c r="E23" s="2">
        <v>565.0</v>
      </c>
      <c r="F23" s="2">
        <v>342.0</v>
      </c>
      <c r="G23" s="2">
        <v>46.0</v>
      </c>
      <c r="H23" s="2">
        <v>62.0</v>
      </c>
      <c r="I23" s="2">
        <v>203.0</v>
      </c>
      <c r="J23" s="2">
        <v>751.0</v>
      </c>
      <c r="K23" s="2">
        <v>711.0</v>
      </c>
      <c r="L23" s="4">
        <f t="shared" si="7"/>
        <v>6.333333333</v>
      </c>
      <c r="M23" s="4">
        <f t="shared" si="8"/>
        <v>39.66666667</v>
      </c>
      <c r="N23" s="4">
        <f t="shared" si="9"/>
        <v>39.66666667</v>
      </c>
      <c r="O23" s="4">
        <f t="shared" si="1"/>
        <v>92.63634881</v>
      </c>
      <c r="P23" s="4">
        <f t="shared" si="2"/>
        <v>7.022404914</v>
      </c>
      <c r="Q23" s="4">
        <f t="shared" si="3"/>
        <v>9.413815498</v>
      </c>
      <c r="V23" s="4">
        <f t="shared" si="4"/>
        <v>46.63634881</v>
      </c>
      <c r="W23" s="4">
        <f t="shared" si="5"/>
        <v>38.97759509</v>
      </c>
      <c r="X23" s="4">
        <f t="shared" si="6"/>
        <v>36.5861845</v>
      </c>
    </row>
    <row r="24">
      <c r="A24" s="3">
        <v>40308.0</v>
      </c>
      <c r="B24" s="2">
        <v>130.0</v>
      </c>
      <c r="C24" s="2">
        <v>6.0</v>
      </c>
      <c r="D24" s="2">
        <v>987.0</v>
      </c>
      <c r="E24" s="2">
        <v>436.0</v>
      </c>
      <c r="F24" s="2">
        <v>907.0</v>
      </c>
      <c r="G24" s="2">
        <v>6.0</v>
      </c>
      <c r="H24" s="2">
        <v>16.0</v>
      </c>
      <c r="I24" s="2">
        <v>180.0</v>
      </c>
      <c r="J24" s="2">
        <v>290.0</v>
      </c>
      <c r="K24" s="2">
        <v>517.0</v>
      </c>
      <c r="L24" s="4">
        <f t="shared" si="7"/>
        <v>21.66666667</v>
      </c>
      <c r="M24" s="4">
        <f t="shared" si="8"/>
        <v>-15.66666667</v>
      </c>
      <c r="N24" s="4">
        <f t="shared" si="9"/>
        <v>15.66666667</v>
      </c>
      <c r="O24" s="4">
        <f t="shared" si="1"/>
        <v>87.97271393</v>
      </c>
      <c r="P24" s="4">
        <f t="shared" si="2"/>
        <v>18.71568344</v>
      </c>
      <c r="Q24" s="4">
        <f t="shared" si="3"/>
        <v>27.70690775</v>
      </c>
      <c r="V24" s="4">
        <f t="shared" si="4"/>
        <v>81.97271393</v>
      </c>
      <c r="W24" s="4">
        <f t="shared" si="5"/>
        <v>12.71568344</v>
      </c>
      <c r="X24" s="4">
        <f t="shared" si="6"/>
        <v>21.70690775</v>
      </c>
    </row>
    <row r="25">
      <c r="A25" s="3">
        <v>40315.0</v>
      </c>
      <c r="B25" s="2">
        <v>28.0</v>
      </c>
      <c r="C25" s="2">
        <v>6.0</v>
      </c>
      <c r="D25" s="2">
        <v>621.0</v>
      </c>
      <c r="E25" s="2">
        <v>450.0</v>
      </c>
      <c r="F25" s="2">
        <v>283.0</v>
      </c>
      <c r="G25" s="2">
        <v>6.0</v>
      </c>
      <c r="H25" s="2">
        <v>87.0</v>
      </c>
      <c r="I25" s="2">
        <v>192.0</v>
      </c>
      <c r="J25" s="2">
        <v>512.0</v>
      </c>
      <c r="K25" s="2">
        <v>265.0</v>
      </c>
      <c r="L25" s="4">
        <f t="shared" si="7"/>
        <v>23.33333333</v>
      </c>
      <c r="M25" s="4">
        <f t="shared" si="8"/>
        <v>-17.33333333</v>
      </c>
      <c r="N25" s="4">
        <f t="shared" si="9"/>
        <v>17.33333333</v>
      </c>
      <c r="O25" s="4">
        <f t="shared" si="1"/>
        <v>79.77544253</v>
      </c>
      <c r="P25" s="4">
        <f t="shared" si="2"/>
        <v>14.90097841</v>
      </c>
      <c r="Q25" s="4">
        <f t="shared" si="3"/>
        <v>16.85345387</v>
      </c>
      <c r="V25" s="4">
        <f t="shared" si="4"/>
        <v>73.77544253</v>
      </c>
      <c r="W25" s="4">
        <f t="shared" si="5"/>
        <v>8.900978408</v>
      </c>
      <c r="X25" s="4">
        <f t="shared" si="6"/>
        <v>10.85345387</v>
      </c>
    </row>
    <row r="26">
      <c r="A26" s="3">
        <v>40322.0</v>
      </c>
      <c r="B26" s="2">
        <v>15.0</v>
      </c>
      <c r="C26" s="2">
        <v>0.0</v>
      </c>
      <c r="D26" s="2">
        <v>760.0</v>
      </c>
      <c r="E26" s="2">
        <v>671.0</v>
      </c>
      <c r="F26" s="2">
        <v>560.0</v>
      </c>
      <c r="G26" s="2">
        <v>0.0</v>
      </c>
      <c r="H26" s="2">
        <v>69.0</v>
      </c>
      <c r="I26" s="2">
        <v>218.0</v>
      </c>
      <c r="J26" s="2">
        <v>279.0</v>
      </c>
      <c r="K26" s="2">
        <v>674.0</v>
      </c>
      <c r="L26" s="4">
        <f t="shared" si="7"/>
        <v>19.33333333</v>
      </c>
      <c r="M26" s="4">
        <f t="shared" si="8"/>
        <v>-19.33333333</v>
      </c>
      <c r="N26" s="4">
        <f t="shared" si="9"/>
        <v>19.33333333</v>
      </c>
      <c r="O26" s="4">
        <f t="shared" si="1"/>
        <v>72.39789828</v>
      </c>
      <c r="P26" s="4">
        <f t="shared" si="2"/>
        <v>12.23068489</v>
      </c>
      <c r="Q26" s="4">
        <f t="shared" si="3"/>
        <v>11.42672694</v>
      </c>
      <c r="V26" s="4">
        <f t="shared" si="4"/>
        <v>72.39789828</v>
      </c>
      <c r="W26" s="4">
        <f t="shared" si="5"/>
        <v>12.23068489</v>
      </c>
      <c r="X26" s="4">
        <f t="shared" si="6"/>
        <v>11.42672694</v>
      </c>
    </row>
    <row r="27">
      <c r="A27" s="3">
        <v>40329.0</v>
      </c>
      <c r="B27" s="2">
        <v>93.0</v>
      </c>
      <c r="C27" s="2">
        <v>4.0</v>
      </c>
      <c r="D27" s="2">
        <v>727.0</v>
      </c>
      <c r="E27" s="2">
        <v>301.0</v>
      </c>
      <c r="F27" s="2">
        <v>309.0</v>
      </c>
      <c r="G27" s="2">
        <v>4.0</v>
      </c>
      <c r="H27" s="2">
        <v>29.0</v>
      </c>
      <c r="I27" s="2">
        <v>145.0</v>
      </c>
      <c r="J27" s="2">
        <v>236.0</v>
      </c>
      <c r="K27" s="2">
        <v>300.0</v>
      </c>
      <c r="L27" s="4">
        <f t="shared" si="7"/>
        <v>4</v>
      </c>
      <c r="M27" s="4">
        <f t="shared" si="8"/>
        <v>0</v>
      </c>
      <c r="N27" s="4">
        <f t="shared" si="9"/>
        <v>0</v>
      </c>
      <c r="O27" s="4">
        <f t="shared" si="1"/>
        <v>65.15810845</v>
      </c>
      <c r="P27" s="4">
        <f t="shared" si="2"/>
        <v>8.56147942</v>
      </c>
      <c r="Q27" s="4">
        <f t="shared" si="3"/>
        <v>5.713363469</v>
      </c>
      <c r="V27" s="4">
        <f t="shared" si="4"/>
        <v>61.15810845</v>
      </c>
      <c r="W27" s="4">
        <f t="shared" si="5"/>
        <v>4.56147942</v>
      </c>
      <c r="X27" s="4">
        <f t="shared" si="6"/>
        <v>1.713363469</v>
      </c>
    </row>
    <row r="28">
      <c r="A28" s="3">
        <v>40336.0</v>
      </c>
      <c r="B28" s="2">
        <v>454.0</v>
      </c>
      <c r="C28" s="2">
        <v>3.0</v>
      </c>
      <c r="D28" s="2">
        <v>973.0</v>
      </c>
      <c r="E28" s="2">
        <v>716.0</v>
      </c>
      <c r="F28" s="2">
        <v>264.0</v>
      </c>
      <c r="G28" s="2">
        <v>3.0</v>
      </c>
      <c r="H28" s="2">
        <v>220.0</v>
      </c>
      <c r="I28" s="2">
        <v>617.0</v>
      </c>
      <c r="J28" s="2">
        <v>429.0</v>
      </c>
      <c r="K28" s="2">
        <v>408.0</v>
      </c>
      <c r="L28" s="4">
        <f t="shared" si="7"/>
        <v>3.333333333</v>
      </c>
      <c r="M28" s="4">
        <f t="shared" si="8"/>
        <v>-0.3333333333</v>
      </c>
      <c r="N28" s="4">
        <f t="shared" si="9"/>
        <v>0.3333333333</v>
      </c>
      <c r="O28" s="4">
        <f t="shared" si="1"/>
        <v>59.04229761</v>
      </c>
      <c r="P28" s="4">
        <f t="shared" si="2"/>
        <v>7.193035594</v>
      </c>
      <c r="Q28" s="4">
        <f t="shared" si="3"/>
        <v>4.856681734</v>
      </c>
      <c r="V28" s="4">
        <f t="shared" si="4"/>
        <v>56.04229761</v>
      </c>
      <c r="W28" s="4">
        <f t="shared" si="5"/>
        <v>4.193035594</v>
      </c>
      <c r="X28" s="4">
        <f t="shared" si="6"/>
        <v>1.856681734</v>
      </c>
    </row>
    <row r="29">
      <c r="A29" s="3">
        <v>40343.0</v>
      </c>
      <c r="B29" s="2">
        <v>432.0</v>
      </c>
      <c r="C29" s="2">
        <v>28.0</v>
      </c>
      <c r="D29" s="2">
        <v>696.0</v>
      </c>
      <c r="E29" s="2">
        <v>142.0</v>
      </c>
      <c r="F29" s="2">
        <v>569.0</v>
      </c>
      <c r="G29" s="2">
        <v>28.0</v>
      </c>
      <c r="H29" s="2">
        <v>25.0</v>
      </c>
      <c r="I29" s="2">
        <v>625.0</v>
      </c>
      <c r="J29" s="2">
        <v>362.0</v>
      </c>
      <c r="K29" s="2">
        <v>458.0</v>
      </c>
      <c r="L29" s="4">
        <f t="shared" si="7"/>
        <v>2.333333333</v>
      </c>
      <c r="M29" s="4">
        <f t="shared" si="8"/>
        <v>25.66666667</v>
      </c>
      <c r="N29" s="4">
        <f t="shared" si="9"/>
        <v>25.66666667</v>
      </c>
      <c r="O29" s="4">
        <f t="shared" si="1"/>
        <v>53.43806785</v>
      </c>
      <c r="P29" s="4">
        <f t="shared" si="2"/>
        <v>5.935124916</v>
      </c>
      <c r="Q29" s="4">
        <f t="shared" si="3"/>
        <v>3.928340867</v>
      </c>
      <c r="V29" s="4">
        <f t="shared" si="4"/>
        <v>25.43806785</v>
      </c>
      <c r="W29" s="4">
        <f t="shared" si="5"/>
        <v>22.06487508</v>
      </c>
      <c r="X29" s="4">
        <f t="shared" si="6"/>
        <v>24.07165913</v>
      </c>
    </row>
    <row r="30">
      <c r="A30" s="3">
        <v>40350.0</v>
      </c>
      <c r="B30" s="2">
        <v>151.0</v>
      </c>
      <c r="C30" s="2">
        <v>305.0</v>
      </c>
      <c r="D30" s="2">
        <v>750.0</v>
      </c>
      <c r="E30" s="2">
        <v>52.0</v>
      </c>
      <c r="F30" s="2">
        <v>252.0</v>
      </c>
      <c r="G30" s="2">
        <v>305.0</v>
      </c>
      <c r="H30" s="2">
        <v>35.0</v>
      </c>
      <c r="I30" s="2">
        <v>168.0</v>
      </c>
      <c r="J30" s="2">
        <v>460.0</v>
      </c>
      <c r="K30" s="2">
        <v>511.0</v>
      </c>
      <c r="L30" s="4">
        <f t="shared" si="7"/>
        <v>11.66666667</v>
      </c>
      <c r="M30" s="4">
        <f t="shared" si="8"/>
        <v>293.3333333</v>
      </c>
      <c r="N30" s="4">
        <f t="shared" si="9"/>
        <v>293.3333333</v>
      </c>
      <c r="O30" s="4">
        <f t="shared" si="1"/>
        <v>50.89426106</v>
      </c>
      <c r="P30" s="4">
        <f t="shared" si="2"/>
        <v>12.55458744</v>
      </c>
      <c r="Q30" s="4">
        <f t="shared" si="3"/>
        <v>15.96417043</v>
      </c>
      <c r="V30" s="4">
        <f t="shared" si="4"/>
        <v>254.1057389</v>
      </c>
      <c r="W30" s="4">
        <f t="shared" si="5"/>
        <v>292.4454126</v>
      </c>
      <c r="X30" s="4">
        <f t="shared" si="6"/>
        <v>289.0358296</v>
      </c>
    </row>
    <row r="31">
      <c r="A31" s="3">
        <v>40357.0</v>
      </c>
      <c r="B31" s="2">
        <v>387.0</v>
      </c>
      <c r="C31" s="2">
        <v>44.0</v>
      </c>
      <c r="D31" s="2">
        <v>1415.0</v>
      </c>
      <c r="E31" s="2">
        <v>51.0</v>
      </c>
      <c r="F31" s="2">
        <v>692.0</v>
      </c>
      <c r="G31" s="2">
        <v>44.0</v>
      </c>
      <c r="H31" s="2">
        <v>22.0</v>
      </c>
      <c r="I31" s="2">
        <v>365.0</v>
      </c>
      <c r="J31" s="2">
        <v>598.0</v>
      </c>
      <c r="K31" s="2">
        <v>534.0</v>
      </c>
      <c r="L31" s="4">
        <f t="shared" si="7"/>
        <v>112</v>
      </c>
      <c r="M31" s="4">
        <f t="shared" si="8"/>
        <v>-68</v>
      </c>
      <c r="N31" s="4">
        <f t="shared" si="9"/>
        <v>68</v>
      </c>
      <c r="O31" s="4">
        <f t="shared" si="1"/>
        <v>76.30483496</v>
      </c>
      <c r="P31" s="4">
        <f t="shared" si="2"/>
        <v>100.2882112</v>
      </c>
      <c r="Q31" s="4">
        <f t="shared" si="3"/>
        <v>160.4820852</v>
      </c>
      <c r="V31" s="4">
        <f t="shared" si="4"/>
        <v>32.30483496</v>
      </c>
      <c r="W31" s="4">
        <f t="shared" si="5"/>
        <v>56.28821121</v>
      </c>
      <c r="X31" s="4">
        <f t="shared" si="6"/>
        <v>116.4820852</v>
      </c>
    </row>
    <row r="32">
      <c r="A32" s="3">
        <v>40364.0</v>
      </c>
      <c r="B32" s="2">
        <v>150.0</v>
      </c>
      <c r="C32" s="2">
        <v>14.0</v>
      </c>
      <c r="D32" s="2">
        <v>654.0</v>
      </c>
      <c r="E32" s="2">
        <v>52.0</v>
      </c>
      <c r="F32" s="2">
        <v>874.0</v>
      </c>
      <c r="G32" s="2">
        <v>14.0</v>
      </c>
      <c r="H32" s="2">
        <v>88.0</v>
      </c>
      <c r="I32" s="2">
        <v>278.0</v>
      </c>
      <c r="J32" s="2">
        <v>331.0</v>
      </c>
      <c r="K32" s="2">
        <v>211.0</v>
      </c>
      <c r="L32" s="4">
        <f t="shared" si="7"/>
        <v>125.6666667</v>
      </c>
      <c r="M32" s="4">
        <f t="shared" si="8"/>
        <v>-111.6666667</v>
      </c>
      <c r="N32" s="4">
        <f t="shared" si="9"/>
        <v>111.6666667</v>
      </c>
      <c r="O32" s="4">
        <f t="shared" si="1"/>
        <v>73.07435146</v>
      </c>
      <c r="P32" s="4">
        <f t="shared" si="2"/>
        <v>83.40174785</v>
      </c>
      <c r="Q32" s="4">
        <f t="shared" si="3"/>
        <v>102.2410426</v>
      </c>
      <c r="V32" s="4">
        <f t="shared" si="4"/>
        <v>59.07435146</v>
      </c>
      <c r="W32" s="4">
        <f t="shared" si="5"/>
        <v>69.40174785</v>
      </c>
      <c r="X32" s="4">
        <f t="shared" si="6"/>
        <v>88.24104261</v>
      </c>
    </row>
    <row r="33">
      <c r="A33" s="3">
        <v>40371.0</v>
      </c>
      <c r="B33" s="2">
        <v>160.0</v>
      </c>
      <c r="C33" s="2">
        <v>3.0</v>
      </c>
      <c r="D33" s="2">
        <v>865.0</v>
      </c>
      <c r="E33" s="2">
        <v>44.0</v>
      </c>
      <c r="F33" s="2">
        <v>400.0</v>
      </c>
      <c r="G33" s="2">
        <v>3.0</v>
      </c>
      <c r="H33" s="2">
        <v>6.0</v>
      </c>
      <c r="I33" s="2">
        <v>766.0</v>
      </c>
      <c r="J33" s="2">
        <v>240.0</v>
      </c>
      <c r="K33" s="2">
        <v>575.0</v>
      </c>
      <c r="L33" s="4">
        <f t="shared" si="7"/>
        <v>121</v>
      </c>
      <c r="M33" s="4">
        <f t="shared" si="8"/>
        <v>-118</v>
      </c>
      <c r="N33" s="4">
        <f t="shared" si="9"/>
        <v>118</v>
      </c>
      <c r="O33" s="4">
        <f t="shared" si="1"/>
        <v>67.16691631</v>
      </c>
      <c r="P33" s="4">
        <f t="shared" si="2"/>
        <v>62.58122349</v>
      </c>
      <c r="Q33" s="4">
        <f t="shared" si="3"/>
        <v>58.1205213</v>
      </c>
      <c r="V33" s="4">
        <f t="shared" si="4"/>
        <v>64.16691631</v>
      </c>
      <c r="W33" s="4">
        <f t="shared" si="5"/>
        <v>59.58122349</v>
      </c>
      <c r="X33" s="4">
        <f t="shared" si="6"/>
        <v>55.1205213</v>
      </c>
    </row>
    <row r="34">
      <c r="A34" s="3">
        <v>40378.0</v>
      </c>
      <c r="B34" s="2">
        <v>453.0</v>
      </c>
      <c r="C34" s="2">
        <v>50.0</v>
      </c>
      <c r="D34" s="2">
        <v>1268.0</v>
      </c>
      <c r="E34" s="2">
        <v>52.0</v>
      </c>
      <c r="F34" s="2">
        <v>1043.0</v>
      </c>
      <c r="G34" s="2">
        <v>50.0</v>
      </c>
      <c r="H34" s="2">
        <v>8.0</v>
      </c>
      <c r="I34" s="2">
        <v>691.0</v>
      </c>
      <c r="J34" s="2">
        <v>729.0</v>
      </c>
      <c r="K34" s="2">
        <v>487.0</v>
      </c>
      <c r="L34" s="4">
        <f t="shared" si="7"/>
        <v>20.33333333</v>
      </c>
      <c r="M34" s="4">
        <f t="shared" si="8"/>
        <v>29.66666667</v>
      </c>
      <c r="N34" s="4">
        <f t="shared" si="9"/>
        <v>29.66666667</v>
      </c>
      <c r="O34" s="4">
        <f t="shared" si="1"/>
        <v>60.75022468</v>
      </c>
      <c r="P34" s="4">
        <f t="shared" si="2"/>
        <v>44.70685644</v>
      </c>
      <c r="Q34" s="4">
        <f t="shared" si="3"/>
        <v>30.56026065</v>
      </c>
      <c r="V34" s="4">
        <f t="shared" si="4"/>
        <v>10.75022468</v>
      </c>
      <c r="W34" s="4">
        <f t="shared" si="5"/>
        <v>5.293143555</v>
      </c>
      <c r="X34" s="4">
        <f t="shared" si="6"/>
        <v>19.43973935</v>
      </c>
    </row>
    <row r="35">
      <c r="A35" s="3">
        <v>40385.0</v>
      </c>
      <c r="B35" s="2">
        <v>577.0</v>
      </c>
      <c r="C35" s="2">
        <v>128.0</v>
      </c>
      <c r="D35" s="2">
        <v>618.0</v>
      </c>
      <c r="E35" s="2">
        <v>34.0</v>
      </c>
      <c r="F35" s="2">
        <v>621.0</v>
      </c>
      <c r="G35" s="2">
        <v>128.0</v>
      </c>
      <c r="H35" s="2">
        <v>5.0</v>
      </c>
      <c r="I35" s="2">
        <v>265.0</v>
      </c>
      <c r="J35" s="2">
        <v>171.0</v>
      </c>
      <c r="K35" s="2">
        <v>454.0</v>
      </c>
      <c r="L35" s="4">
        <f t="shared" si="7"/>
        <v>22.33333333</v>
      </c>
      <c r="M35" s="4">
        <f t="shared" si="8"/>
        <v>105.6666667</v>
      </c>
      <c r="N35" s="4">
        <f t="shared" si="9"/>
        <v>105.6666667</v>
      </c>
      <c r="O35" s="4">
        <f t="shared" si="1"/>
        <v>59.67520221</v>
      </c>
      <c r="P35" s="4">
        <f t="shared" si="2"/>
        <v>46.29479951</v>
      </c>
      <c r="Q35" s="4">
        <f t="shared" si="3"/>
        <v>40.28013033</v>
      </c>
      <c r="V35" s="4">
        <f t="shared" si="4"/>
        <v>68.32479779</v>
      </c>
      <c r="W35" s="4">
        <f t="shared" si="5"/>
        <v>81.70520049</v>
      </c>
      <c r="X35" s="4">
        <f t="shared" si="6"/>
        <v>87.71986967</v>
      </c>
    </row>
    <row r="36">
      <c r="A36" s="3">
        <v>40392.0</v>
      </c>
      <c r="B36" s="2">
        <v>294.0</v>
      </c>
      <c r="C36" s="2">
        <v>142.0</v>
      </c>
      <c r="D36" s="2">
        <v>726.0</v>
      </c>
      <c r="E36" s="2">
        <v>57.0</v>
      </c>
      <c r="F36" s="2">
        <v>648.0</v>
      </c>
      <c r="G36" s="2">
        <v>142.0</v>
      </c>
      <c r="H36" s="2">
        <v>17.0</v>
      </c>
      <c r="I36" s="2">
        <v>95.0</v>
      </c>
      <c r="J36" s="2">
        <v>354.0</v>
      </c>
      <c r="K36" s="2">
        <v>694.0</v>
      </c>
      <c r="L36" s="4">
        <f t="shared" si="7"/>
        <v>60.33333333</v>
      </c>
      <c r="M36" s="4">
        <f t="shared" si="8"/>
        <v>81.66666667</v>
      </c>
      <c r="N36" s="4">
        <f t="shared" si="9"/>
        <v>81.66666667</v>
      </c>
      <c r="O36" s="4">
        <f t="shared" si="1"/>
        <v>66.50768199</v>
      </c>
      <c r="P36" s="4">
        <f t="shared" si="2"/>
        <v>70.80635966</v>
      </c>
      <c r="Q36" s="4">
        <f t="shared" si="3"/>
        <v>84.14006516</v>
      </c>
      <c r="V36" s="4">
        <f t="shared" si="4"/>
        <v>75.49231801</v>
      </c>
      <c r="W36" s="4">
        <f t="shared" si="5"/>
        <v>71.19364034</v>
      </c>
      <c r="X36" s="4">
        <f t="shared" si="6"/>
        <v>57.85993484</v>
      </c>
    </row>
    <row r="37">
      <c r="A37" s="3">
        <v>40399.0</v>
      </c>
      <c r="B37" s="2">
        <v>224.0</v>
      </c>
      <c r="C37" s="2">
        <v>74.0</v>
      </c>
      <c r="D37" s="2">
        <v>893.0</v>
      </c>
      <c r="E37" s="2">
        <v>188.0</v>
      </c>
      <c r="F37" s="2">
        <v>758.0</v>
      </c>
      <c r="G37" s="2">
        <v>74.0</v>
      </c>
      <c r="H37" s="2">
        <v>45.0</v>
      </c>
      <c r="I37" s="2">
        <v>552.0</v>
      </c>
      <c r="J37" s="2">
        <v>460.0</v>
      </c>
      <c r="K37" s="2">
        <v>608.0</v>
      </c>
      <c r="L37" s="4">
        <f t="shared" si="7"/>
        <v>106.6666667</v>
      </c>
      <c r="M37" s="4">
        <f t="shared" si="8"/>
        <v>-32.66666667</v>
      </c>
      <c r="N37" s="4">
        <f t="shared" si="9"/>
        <v>32.66666667</v>
      </c>
      <c r="O37" s="4">
        <f t="shared" si="1"/>
        <v>74.05691379</v>
      </c>
      <c r="P37" s="4">
        <f t="shared" si="2"/>
        <v>92.16445176</v>
      </c>
      <c r="Q37" s="4">
        <f t="shared" si="3"/>
        <v>113.0700326</v>
      </c>
      <c r="V37" s="4">
        <f t="shared" si="4"/>
        <v>0.05691379355</v>
      </c>
      <c r="W37" s="4">
        <f t="shared" si="5"/>
        <v>18.16445176</v>
      </c>
      <c r="X37" s="4">
        <f t="shared" si="6"/>
        <v>39.07003258</v>
      </c>
    </row>
    <row r="38">
      <c r="A38" s="3">
        <v>40406.0</v>
      </c>
      <c r="B38" s="2">
        <v>177.0</v>
      </c>
      <c r="C38" s="2">
        <v>19.0</v>
      </c>
      <c r="D38" s="2">
        <v>189.0</v>
      </c>
      <c r="E38" s="2">
        <v>351.0</v>
      </c>
      <c r="F38" s="2">
        <v>664.0</v>
      </c>
      <c r="G38" s="2">
        <v>19.0</v>
      </c>
      <c r="H38" s="2">
        <v>37.0</v>
      </c>
      <c r="I38" s="2">
        <v>1025.0</v>
      </c>
      <c r="J38" s="2">
        <v>677.0</v>
      </c>
      <c r="K38" s="2">
        <v>940.0</v>
      </c>
      <c r="L38" s="4">
        <f t="shared" si="7"/>
        <v>114.6666667</v>
      </c>
      <c r="M38" s="4">
        <f t="shared" si="8"/>
        <v>-95.66666667</v>
      </c>
      <c r="N38" s="4">
        <f t="shared" si="9"/>
        <v>95.66666667</v>
      </c>
      <c r="O38" s="4">
        <f t="shared" si="1"/>
        <v>74.05122241</v>
      </c>
      <c r="P38" s="4">
        <f t="shared" si="2"/>
        <v>86.71511623</v>
      </c>
      <c r="Q38" s="4">
        <f t="shared" si="3"/>
        <v>93.53501629</v>
      </c>
      <c r="V38" s="4">
        <f t="shared" si="4"/>
        <v>55.05122241</v>
      </c>
      <c r="W38" s="4">
        <f t="shared" si="5"/>
        <v>67.71511623</v>
      </c>
      <c r="X38" s="4">
        <f t="shared" si="6"/>
        <v>74.53501629</v>
      </c>
    </row>
    <row r="39">
      <c r="A39" s="3">
        <v>40413.0</v>
      </c>
      <c r="B39" s="2">
        <v>254.0</v>
      </c>
      <c r="C39" s="2">
        <v>27.0</v>
      </c>
      <c r="D39" s="2">
        <v>1.0</v>
      </c>
      <c r="E39" s="2">
        <v>9.0</v>
      </c>
      <c r="F39" s="2">
        <v>1000.0</v>
      </c>
      <c r="G39" s="2">
        <v>27.0</v>
      </c>
      <c r="H39" s="2">
        <v>70.0</v>
      </c>
      <c r="I39" s="2">
        <v>880.0</v>
      </c>
      <c r="J39" s="2">
        <v>338.0</v>
      </c>
      <c r="K39" s="2">
        <v>450.0</v>
      </c>
      <c r="L39" s="4">
        <f t="shared" si="7"/>
        <v>78.33333333</v>
      </c>
      <c r="M39" s="4">
        <f t="shared" si="8"/>
        <v>-51.33333333</v>
      </c>
      <c r="N39" s="4">
        <f t="shared" si="9"/>
        <v>51.33333333</v>
      </c>
      <c r="O39" s="4">
        <f t="shared" si="1"/>
        <v>68.54610017</v>
      </c>
      <c r="P39" s="4">
        <f t="shared" si="2"/>
        <v>66.40058136</v>
      </c>
      <c r="Q39" s="4">
        <f t="shared" si="3"/>
        <v>56.26750815</v>
      </c>
      <c r="V39" s="4">
        <f t="shared" si="4"/>
        <v>41.54610017</v>
      </c>
      <c r="W39" s="4">
        <f t="shared" si="5"/>
        <v>39.40058136</v>
      </c>
      <c r="X39" s="4">
        <f t="shared" si="6"/>
        <v>29.26750815</v>
      </c>
    </row>
    <row r="40">
      <c r="A40" s="3">
        <v>40420.0</v>
      </c>
      <c r="B40" s="2">
        <v>445.0</v>
      </c>
      <c r="C40" s="2">
        <v>3.0</v>
      </c>
      <c r="D40" s="2">
        <v>1889.0</v>
      </c>
      <c r="E40" s="2">
        <v>8.0</v>
      </c>
      <c r="F40" s="2">
        <v>963.0</v>
      </c>
      <c r="G40" s="2">
        <v>3.0</v>
      </c>
      <c r="H40" s="2">
        <v>110.0</v>
      </c>
      <c r="I40" s="2">
        <v>135.0</v>
      </c>
      <c r="J40" s="2">
        <v>652.0</v>
      </c>
      <c r="K40" s="2">
        <v>375.0</v>
      </c>
      <c r="L40" s="4">
        <f t="shared" si="7"/>
        <v>40</v>
      </c>
      <c r="M40" s="4">
        <f t="shared" si="8"/>
        <v>-37</v>
      </c>
      <c r="N40" s="4">
        <f t="shared" si="9"/>
        <v>37</v>
      </c>
      <c r="O40" s="4">
        <f t="shared" si="1"/>
        <v>64.39149016</v>
      </c>
      <c r="P40" s="4">
        <f t="shared" si="2"/>
        <v>54.58040695</v>
      </c>
      <c r="Q40" s="4">
        <f t="shared" si="3"/>
        <v>41.63375407</v>
      </c>
      <c r="V40" s="4">
        <f t="shared" si="4"/>
        <v>61.39149016</v>
      </c>
      <c r="W40" s="4">
        <f t="shared" si="5"/>
        <v>51.58040695</v>
      </c>
      <c r="X40" s="4">
        <f t="shared" si="6"/>
        <v>38.63375407</v>
      </c>
    </row>
    <row r="41">
      <c r="A41" s="3">
        <v>40427.0</v>
      </c>
      <c r="B41" s="2">
        <v>299.0</v>
      </c>
      <c r="C41" s="2">
        <v>6.0</v>
      </c>
      <c r="D41" s="2">
        <v>1313.0</v>
      </c>
      <c r="E41" s="2">
        <v>6.0</v>
      </c>
      <c r="F41" s="2">
        <v>387.0</v>
      </c>
      <c r="G41" s="2">
        <v>6.0</v>
      </c>
      <c r="H41" s="2">
        <v>68.0</v>
      </c>
      <c r="I41" s="2">
        <v>270.0</v>
      </c>
      <c r="J41" s="2">
        <v>617.0</v>
      </c>
      <c r="K41" s="2">
        <v>483.0</v>
      </c>
      <c r="L41" s="4">
        <f t="shared" si="7"/>
        <v>16.33333333</v>
      </c>
      <c r="M41" s="4">
        <f t="shared" si="8"/>
        <v>-10.33333333</v>
      </c>
      <c r="N41" s="4">
        <f t="shared" si="9"/>
        <v>10.33333333</v>
      </c>
      <c r="O41" s="4">
        <f t="shared" si="1"/>
        <v>58.25234114</v>
      </c>
      <c r="P41" s="4">
        <f t="shared" si="2"/>
        <v>39.10628487</v>
      </c>
      <c r="Q41" s="4">
        <f t="shared" si="3"/>
        <v>22.31687704</v>
      </c>
      <c r="V41" s="4">
        <f t="shared" si="4"/>
        <v>52.25234114</v>
      </c>
      <c r="W41" s="4">
        <f t="shared" si="5"/>
        <v>33.10628487</v>
      </c>
      <c r="X41" s="4">
        <f t="shared" si="6"/>
        <v>16.31687704</v>
      </c>
    </row>
    <row r="42">
      <c r="A42" s="3">
        <v>40434.0</v>
      </c>
      <c r="B42" s="2">
        <v>370.0</v>
      </c>
      <c r="C42" s="2">
        <v>344.0</v>
      </c>
      <c r="D42" s="2">
        <v>1118.0</v>
      </c>
      <c r="E42" s="2">
        <v>0.0</v>
      </c>
      <c r="F42" s="2">
        <v>619.0</v>
      </c>
      <c r="G42" s="2">
        <v>344.0</v>
      </c>
      <c r="H42" s="2">
        <v>38.0</v>
      </c>
      <c r="I42" s="2">
        <v>534.0</v>
      </c>
      <c r="J42" s="2">
        <v>305.0</v>
      </c>
      <c r="K42" s="2">
        <v>304.0</v>
      </c>
      <c r="L42" s="4">
        <f t="shared" si="7"/>
        <v>12</v>
      </c>
      <c r="M42" s="4">
        <f t="shared" si="8"/>
        <v>332</v>
      </c>
      <c r="N42" s="4">
        <f t="shared" si="9"/>
        <v>332</v>
      </c>
      <c r="O42" s="4">
        <f t="shared" si="1"/>
        <v>53.02710703</v>
      </c>
      <c r="P42" s="4">
        <f t="shared" si="2"/>
        <v>29.17439941</v>
      </c>
      <c r="Q42" s="4">
        <f t="shared" si="3"/>
        <v>14.15843852</v>
      </c>
      <c r="V42" s="4">
        <f t="shared" si="4"/>
        <v>290.972893</v>
      </c>
      <c r="W42" s="4">
        <f t="shared" si="5"/>
        <v>314.8256006</v>
      </c>
      <c r="X42" s="4">
        <f t="shared" si="6"/>
        <v>329.8415615</v>
      </c>
    </row>
    <row r="43">
      <c r="A43" s="3">
        <v>40441.0</v>
      </c>
      <c r="B43" s="2">
        <v>624.0</v>
      </c>
      <c r="C43" s="2">
        <v>425.0</v>
      </c>
      <c r="D43" s="2">
        <v>1381.0</v>
      </c>
      <c r="E43" s="2">
        <v>99.0</v>
      </c>
      <c r="F43" s="2">
        <v>1792.0</v>
      </c>
      <c r="G43" s="2">
        <v>425.0</v>
      </c>
      <c r="H43" s="2">
        <v>180.0</v>
      </c>
      <c r="I43" s="2">
        <v>1709.0</v>
      </c>
      <c r="J43" s="2">
        <v>352.0</v>
      </c>
      <c r="K43" s="2">
        <v>605.0</v>
      </c>
      <c r="L43" s="4">
        <f t="shared" si="7"/>
        <v>117.6666667</v>
      </c>
      <c r="M43" s="4">
        <f t="shared" si="8"/>
        <v>307.3333333</v>
      </c>
      <c r="N43" s="4">
        <f t="shared" si="9"/>
        <v>307.3333333</v>
      </c>
      <c r="O43" s="4">
        <f t="shared" si="1"/>
        <v>82.12439632</v>
      </c>
      <c r="P43" s="4">
        <f t="shared" si="2"/>
        <v>123.6220796</v>
      </c>
      <c r="Q43" s="4">
        <f t="shared" si="3"/>
        <v>179.0792193</v>
      </c>
      <c r="V43" s="4">
        <f t="shared" si="4"/>
        <v>342.8756037</v>
      </c>
      <c r="W43" s="4">
        <f t="shared" si="5"/>
        <v>301.3779204</v>
      </c>
      <c r="X43" s="4">
        <f t="shared" si="6"/>
        <v>245.9207807</v>
      </c>
    </row>
    <row r="44">
      <c r="A44" s="3">
        <v>40448.0</v>
      </c>
      <c r="B44" s="2">
        <v>385.0</v>
      </c>
      <c r="C44" s="2">
        <v>495.0</v>
      </c>
      <c r="D44" s="2">
        <v>1597.0</v>
      </c>
      <c r="E44" s="2">
        <v>916.0</v>
      </c>
      <c r="F44" s="2">
        <v>773.0</v>
      </c>
      <c r="G44" s="2">
        <v>495.0</v>
      </c>
      <c r="H44" s="2">
        <v>239.0</v>
      </c>
      <c r="I44" s="2">
        <v>284.0</v>
      </c>
      <c r="J44" s="2">
        <v>518.0</v>
      </c>
      <c r="K44" s="2">
        <v>358.0</v>
      </c>
      <c r="L44" s="4">
        <f t="shared" si="7"/>
        <v>258.3333333</v>
      </c>
      <c r="M44" s="4">
        <f t="shared" si="8"/>
        <v>236.6666667</v>
      </c>
      <c r="N44" s="4">
        <f t="shared" si="9"/>
        <v>236.6666667</v>
      </c>
      <c r="O44" s="4">
        <f t="shared" si="1"/>
        <v>116.4119567</v>
      </c>
      <c r="P44" s="4">
        <f t="shared" si="2"/>
        <v>214.0354557</v>
      </c>
      <c r="Q44" s="4">
        <f t="shared" si="3"/>
        <v>302.0396096</v>
      </c>
      <c r="V44" s="4">
        <f t="shared" si="4"/>
        <v>378.5880433</v>
      </c>
      <c r="W44" s="4">
        <f t="shared" si="5"/>
        <v>280.9645443</v>
      </c>
      <c r="X44" s="4">
        <f t="shared" si="6"/>
        <v>192.9603904</v>
      </c>
    </row>
    <row r="45">
      <c r="A45" s="3">
        <v>40455.0</v>
      </c>
      <c r="B45" s="2">
        <v>507.0</v>
      </c>
      <c r="C45" s="2">
        <v>1516.0</v>
      </c>
      <c r="D45" s="2">
        <v>956.0</v>
      </c>
      <c r="E45" s="2">
        <v>262.0</v>
      </c>
      <c r="F45" s="2">
        <v>753.0</v>
      </c>
      <c r="G45" s="2">
        <v>1516.0</v>
      </c>
      <c r="H45" s="2">
        <v>542.0</v>
      </c>
      <c r="I45" s="2">
        <v>919.0</v>
      </c>
      <c r="J45" s="2">
        <v>258.0</v>
      </c>
      <c r="K45" s="2">
        <v>250.0</v>
      </c>
      <c r="L45" s="4">
        <f t="shared" si="7"/>
        <v>421.3333333</v>
      </c>
      <c r="M45" s="4">
        <f t="shared" si="8"/>
        <v>1094.666667</v>
      </c>
      <c r="N45" s="4">
        <f t="shared" si="9"/>
        <v>1094.666667</v>
      </c>
      <c r="O45" s="4">
        <f t="shared" si="1"/>
        <v>154.270761</v>
      </c>
      <c r="P45" s="4">
        <f t="shared" si="2"/>
        <v>298.324819</v>
      </c>
      <c r="Q45" s="4">
        <f t="shared" si="3"/>
        <v>398.5198048</v>
      </c>
      <c r="V45" s="4">
        <f t="shared" si="4"/>
        <v>1361.729239</v>
      </c>
      <c r="W45" s="4">
        <f t="shared" si="5"/>
        <v>1217.675181</v>
      </c>
      <c r="X45" s="4">
        <f t="shared" si="6"/>
        <v>1117.480195</v>
      </c>
    </row>
    <row r="46">
      <c r="A46" s="3">
        <v>40462.0</v>
      </c>
      <c r="B46" s="2">
        <v>322.0</v>
      </c>
      <c r="C46" s="2">
        <v>530.0</v>
      </c>
      <c r="D46" s="2">
        <v>1857.0</v>
      </c>
      <c r="E46" s="2">
        <v>333.0</v>
      </c>
      <c r="F46" s="2">
        <v>2277.0</v>
      </c>
      <c r="G46" s="2">
        <v>530.0</v>
      </c>
      <c r="H46" s="2">
        <v>152.0</v>
      </c>
      <c r="I46" s="2">
        <v>345.0</v>
      </c>
      <c r="J46" s="2">
        <v>917.0</v>
      </c>
      <c r="K46" s="2">
        <v>524.0</v>
      </c>
      <c r="L46" s="4">
        <f t="shared" si="7"/>
        <v>812</v>
      </c>
      <c r="M46" s="4">
        <f t="shared" si="8"/>
        <v>-282</v>
      </c>
      <c r="N46" s="4">
        <f t="shared" si="9"/>
        <v>282</v>
      </c>
      <c r="O46" s="4">
        <f t="shared" si="1"/>
        <v>290.4436849</v>
      </c>
      <c r="P46" s="4">
        <f t="shared" si="2"/>
        <v>663.6273733</v>
      </c>
      <c r="Q46" s="4">
        <f t="shared" si="3"/>
        <v>957.2599024</v>
      </c>
      <c r="V46" s="4">
        <f t="shared" si="4"/>
        <v>239.5563151</v>
      </c>
      <c r="W46" s="4">
        <f t="shared" si="5"/>
        <v>133.6273733</v>
      </c>
      <c r="X46" s="4">
        <f t="shared" si="6"/>
        <v>427.2599024</v>
      </c>
    </row>
    <row r="47">
      <c r="A47" s="3">
        <v>40469.0</v>
      </c>
      <c r="B47" s="2">
        <v>386.0</v>
      </c>
      <c r="C47" s="2">
        <v>406.0</v>
      </c>
      <c r="D47" s="2">
        <v>783.0</v>
      </c>
      <c r="E47" s="2">
        <v>167.0</v>
      </c>
      <c r="F47" s="2">
        <v>1736.0</v>
      </c>
      <c r="G47" s="2">
        <v>406.0</v>
      </c>
      <c r="H47" s="2">
        <v>228.0</v>
      </c>
      <c r="I47" s="2">
        <v>1239.0</v>
      </c>
      <c r="J47" s="2">
        <v>144.0</v>
      </c>
      <c r="K47" s="2">
        <v>141.0</v>
      </c>
      <c r="L47" s="4">
        <f t="shared" si="7"/>
        <v>847</v>
      </c>
      <c r="M47" s="4">
        <f t="shared" si="8"/>
        <v>-441</v>
      </c>
      <c r="N47" s="4">
        <f t="shared" si="9"/>
        <v>441</v>
      </c>
      <c r="O47" s="4">
        <f t="shared" si="1"/>
        <v>314.3993164</v>
      </c>
      <c r="P47" s="4">
        <f t="shared" si="2"/>
        <v>623.5391613</v>
      </c>
      <c r="Q47" s="4">
        <f t="shared" si="3"/>
        <v>743.6299512</v>
      </c>
      <c r="V47" s="4">
        <f t="shared" si="4"/>
        <v>91.60068357</v>
      </c>
      <c r="W47" s="4">
        <f t="shared" si="5"/>
        <v>217.5391613</v>
      </c>
      <c r="X47" s="4">
        <f t="shared" si="6"/>
        <v>337.6299512</v>
      </c>
    </row>
    <row r="48">
      <c r="A48" s="3">
        <v>40476.0</v>
      </c>
      <c r="B48" s="2">
        <v>638.0</v>
      </c>
      <c r="C48" s="2">
        <v>469.0</v>
      </c>
      <c r="D48" s="2">
        <v>515.0</v>
      </c>
      <c r="E48" s="2">
        <v>155.0</v>
      </c>
      <c r="F48" s="2">
        <v>1039.0</v>
      </c>
      <c r="G48" s="2">
        <v>469.0</v>
      </c>
      <c r="H48" s="2">
        <v>175.0</v>
      </c>
      <c r="I48" s="2">
        <v>2582.0</v>
      </c>
      <c r="J48" s="2">
        <v>137.0</v>
      </c>
      <c r="K48" s="2">
        <v>276.0</v>
      </c>
      <c r="L48" s="4">
        <f t="shared" si="7"/>
        <v>817.3333333</v>
      </c>
      <c r="M48" s="4">
        <f t="shared" si="8"/>
        <v>-348.3333333</v>
      </c>
      <c r="N48" s="4">
        <f t="shared" si="9"/>
        <v>348.3333333</v>
      </c>
      <c r="O48" s="4">
        <f t="shared" si="1"/>
        <v>323.5593848</v>
      </c>
      <c r="P48" s="4">
        <f t="shared" si="2"/>
        <v>558.2774129</v>
      </c>
      <c r="Q48" s="4">
        <f t="shared" si="3"/>
        <v>574.8149756</v>
      </c>
      <c r="V48" s="4">
        <f t="shared" si="4"/>
        <v>145.4406152</v>
      </c>
      <c r="W48" s="4">
        <f t="shared" si="5"/>
        <v>89.27741292</v>
      </c>
      <c r="X48" s="4">
        <f t="shared" si="6"/>
        <v>105.8149756</v>
      </c>
    </row>
    <row r="49">
      <c r="A49" s="3">
        <v>40483.0</v>
      </c>
      <c r="B49" s="2">
        <v>227.0</v>
      </c>
      <c r="C49" s="2">
        <v>1549.0</v>
      </c>
      <c r="D49" s="2">
        <v>793.0</v>
      </c>
      <c r="E49" s="2">
        <v>58.0</v>
      </c>
      <c r="F49" s="2">
        <v>992.0</v>
      </c>
      <c r="G49" s="2">
        <v>1549.0</v>
      </c>
      <c r="H49" s="2">
        <v>123.0</v>
      </c>
      <c r="I49" s="2">
        <v>926.0</v>
      </c>
      <c r="J49" s="2">
        <v>347.0</v>
      </c>
      <c r="K49" s="2">
        <v>530.0</v>
      </c>
      <c r="L49" s="4">
        <f t="shared" si="7"/>
        <v>468.3333333</v>
      </c>
      <c r="M49" s="4">
        <f t="shared" si="8"/>
        <v>1080.666667</v>
      </c>
      <c r="N49" s="4">
        <f t="shared" si="9"/>
        <v>1080.666667</v>
      </c>
      <c r="O49" s="4">
        <f t="shared" si="1"/>
        <v>338.1034463</v>
      </c>
      <c r="P49" s="4">
        <f t="shared" si="2"/>
        <v>531.494189</v>
      </c>
      <c r="Q49" s="4">
        <f t="shared" si="3"/>
        <v>521.9074878</v>
      </c>
      <c r="V49" s="4">
        <f t="shared" si="4"/>
        <v>1210.896554</v>
      </c>
      <c r="W49" s="4">
        <f t="shared" si="5"/>
        <v>1017.505811</v>
      </c>
      <c r="X49" s="4">
        <f t="shared" si="6"/>
        <v>1027.092512</v>
      </c>
    </row>
    <row r="50">
      <c r="A50" s="3">
        <v>40490.0</v>
      </c>
      <c r="B50" s="2">
        <v>570.0</v>
      </c>
      <c r="C50" s="2">
        <v>1675.0</v>
      </c>
      <c r="D50" s="2">
        <v>2127.0</v>
      </c>
      <c r="E50" s="2">
        <v>98.0</v>
      </c>
      <c r="F50" s="2">
        <v>5584.0</v>
      </c>
      <c r="G50" s="2">
        <v>1675.0</v>
      </c>
      <c r="H50" s="2">
        <v>517.0</v>
      </c>
      <c r="I50" s="2">
        <v>4115.0</v>
      </c>
      <c r="J50" s="2">
        <v>659.0</v>
      </c>
      <c r="K50" s="2">
        <v>264.0</v>
      </c>
      <c r="L50" s="4">
        <f t="shared" si="7"/>
        <v>808</v>
      </c>
      <c r="M50" s="4">
        <f t="shared" si="8"/>
        <v>867</v>
      </c>
      <c r="N50" s="4">
        <f t="shared" si="9"/>
        <v>867</v>
      </c>
      <c r="O50" s="4">
        <f t="shared" si="1"/>
        <v>459.1931017</v>
      </c>
      <c r="P50" s="4">
        <f t="shared" si="2"/>
        <v>836.7459323</v>
      </c>
      <c r="Q50" s="4">
        <f t="shared" si="3"/>
        <v>1035.453744</v>
      </c>
      <c r="V50" s="4">
        <f t="shared" si="4"/>
        <v>1215.806898</v>
      </c>
      <c r="W50" s="4">
        <f t="shared" si="5"/>
        <v>838.2540677</v>
      </c>
      <c r="X50" s="4">
        <f t="shared" si="6"/>
        <v>639.5462561</v>
      </c>
    </row>
    <row r="51">
      <c r="A51" s="3">
        <v>40497.0</v>
      </c>
      <c r="B51" s="2">
        <v>461.0</v>
      </c>
      <c r="C51" s="2">
        <v>1791.0</v>
      </c>
      <c r="D51" s="2">
        <v>1215.0</v>
      </c>
      <c r="E51" s="2">
        <v>286.0</v>
      </c>
      <c r="F51" s="2">
        <v>1263.0</v>
      </c>
      <c r="G51" s="2">
        <v>1791.0</v>
      </c>
      <c r="H51" s="2">
        <v>304.0</v>
      </c>
      <c r="I51" s="2">
        <v>1746.0</v>
      </c>
      <c r="J51" s="2">
        <v>699.0</v>
      </c>
      <c r="K51" s="2">
        <v>669.0</v>
      </c>
      <c r="L51" s="4">
        <f t="shared" si="7"/>
        <v>1231</v>
      </c>
      <c r="M51" s="4">
        <f t="shared" si="8"/>
        <v>560</v>
      </c>
      <c r="N51" s="4">
        <f t="shared" si="9"/>
        <v>560</v>
      </c>
      <c r="O51" s="4">
        <f t="shared" si="1"/>
        <v>580.7737915</v>
      </c>
      <c r="P51" s="4">
        <f t="shared" si="2"/>
        <v>1088.222153</v>
      </c>
      <c r="Q51" s="4">
        <f t="shared" si="3"/>
        <v>1355.226872</v>
      </c>
      <c r="V51" s="4">
        <f t="shared" si="4"/>
        <v>1210.226208</v>
      </c>
      <c r="W51" s="4">
        <f t="shared" si="5"/>
        <v>702.7778474</v>
      </c>
      <c r="X51" s="4">
        <f t="shared" si="6"/>
        <v>435.773128</v>
      </c>
    </row>
    <row r="52">
      <c r="A52" s="3">
        <v>40504.0</v>
      </c>
      <c r="B52" s="2">
        <v>493.0</v>
      </c>
      <c r="C52" s="2">
        <v>1716.0</v>
      </c>
      <c r="D52" s="2">
        <v>1223.0</v>
      </c>
      <c r="E52" s="2">
        <v>67.0</v>
      </c>
      <c r="F52" s="2">
        <v>787.0</v>
      </c>
      <c r="G52" s="2">
        <v>1716.0</v>
      </c>
      <c r="H52" s="2">
        <v>343.0</v>
      </c>
      <c r="I52" s="2">
        <v>2207.0</v>
      </c>
      <c r="J52" s="2">
        <v>273.0</v>
      </c>
      <c r="K52" s="2">
        <v>327.0</v>
      </c>
      <c r="L52" s="4">
        <f t="shared" si="7"/>
        <v>1671.666667</v>
      </c>
      <c r="M52" s="4">
        <f t="shared" si="8"/>
        <v>44.33333333</v>
      </c>
      <c r="N52" s="4">
        <f t="shared" si="9"/>
        <v>44.33333333</v>
      </c>
      <c r="O52" s="4">
        <f t="shared" si="1"/>
        <v>701.7964124</v>
      </c>
      <c r="P52" s="4">
        <f t="shared" si="2"/>
        <v>1299.055507</v>
      </c>
      <c r="Q52" s="4">
        <f t="shared" si="3"/>
        <v>1573.113436</v>
      </c>
      <c r="V52" s="4">
        <f t="shared" si="4"/>
        <v>1014.203588</v>
      </c>
      <c r="W52" s="4">
        <f t="shared" si="5"/>
        <v>416.9444932</v>
      </c>
      <c r="X52" s="4">
        <f t="shared" si="6"/>
        <v>142.886564</v>
      </c>
    </row>
    <row r="53">
      <c r="A53" s="3">
        <v>40511.0</v>
      </c>
      <c r="B53" s="2">
        <v>928.0</v>
      </c>
      <c r="C53" s="2">
        <v>1149.0</v>
      </c>
      <c r="D53" s="2">
        <v>1767.0</v>
      </c>
      <c r="E53" s="2">
        <v>69.0</v>
      </c>
      <c r="F53" s="2">
        <v>1192.0</v>
      </c>
      <c r="G53" s="2">
        <v>1149.0</v>
      </c>
      <c r="H53" s="2">
        <v>848.0</v>
      </c>
      <c r="I53" s="2">
        <v>683.0</v>
      </c>
      <c r="J53" s="2">
        <v>262.0</v>
      </c>
      <c r="K53" s="2">
        <v>293.0</v>
      </c>
      <c r="L53" s="4">
        <f t="shared" si="7"/>
        <v>1727.333333</v>
      </c>
      <c r="M53" s="4">
        <f t="shared" si="8"/>
        <v>-578.3333333</v>
      </c>
      <c r="N53" s="4">
        <f t="shared" si="9"/>
        <v>578.3333333</v>
      </c>
      <c r="O53" s="4">
        <f t="shared" si="1"/>
        <v>803.2167711</v>
      </c>
      <c r="P53" s="4">
        <f t="shared" si="2"/>
        <v>1424.138855</v>
      </c>
      <c r="Q53" s="4">
        <f t="shared" si="3"/>
        <v>1644.556718</v>
      </c>
      <c r="V53" s="4">
        <f t="shared" si="4"/>
        <v>345.7832289</v>
      </c>
      <c r="W53" s="4">
        <f t="shared" si="5"/>
        <v>275.1388548</v>
      </c>
      <c r="X53" s="4">
        <f t="shared" si="6"/>
        <v>495.556718</v>
      </c>
    </row>
    <row r="54">
      <c r="A54" s="3">
        <v>40518.0</v>
      </c>
      <c r="B54" s="2">
        <v>850.0</v>
      </c>
      <c r="C54" s="2">
        <v>1054.0</v>
      </c>
      <c r="D54" s="2">
        <v>852.0</v>
      </c>
      <c r="E54" s="2">
        <v>165.0</v>
      </c>
      <c r="F54" s="2">
        <v>789.0</v>
      </c>
      <c r="G54" s="2">
        <v>1054.0</v>
      </c>
      <c r="H54" s="2">
        <v>337.0</v>
      </c>
      <c r="I54" s="2">
        <v>1012.0</v>
      </c>
      <c r="J54" s="2">
        <v>270.0</v>
      </c>
      <c r="K54" s="2">
        <v>283.0</v>
      </c>
      <c r="L54" s="4">
        <f t="shared" si="7"/>
        <v>1552</v>
      </c>
      <c r="M54" s="4">
        <f t="shared" si="8"/>
        <v>-498</v>
      </c>
      <c r="N54" s="4">
        <f t="shared" si="9"/>
        <v>498</v>
      </c>
      <c r="O54" s="4">
        <f t="shared" si="1"/>
        <v>837.795094</v>
      </c>
      <c r="P54" s="4">
        <f t="shared" si="2"/>
        <v>1341.597198</v>
      </c>
      <c r="Q54" s="4">
        <f t="shared" si="3"/>
        <v>1396.778359</v>
      </c>
      <c r="V54" s="4">
        <f t="shared" si="4"/>
        <v>216.204906</v>
      </c>
      <c r="W54" s="4">
        <f t="shared" si="5"/>
        <v>287.5971984</v>
      </c>
      <c r="X54" s="4">
        <f t="shared" si="6"/>
        <v>342.778359</v>
      </c>
    </row>
    <row r="55">
      <c r="A55" s="3">
        <v>40525.0</v>
      </c>
      <c r="B55" s="2">
        <v>434.0</v>
      </c>
      <c r="C55" s="2">
        <v>597.0</v>
      </c>
      <c r="D55" s="2">
        <v>417.0</v>
      </c>
      <c r="E55" s="2">
        <v>29.0</v>
      </c>
      <c r="F55" s="2">
        <v>638.0</v>
      </c>
      <c r="G55" s="2">
        <v>597.0</v>
      </c>
      <c r="H55" s="2">
        <v>589.0</v>
      </c>
      <c r="I55" s="2">
        <v>981.0</v>
      </c>
      <c r="J55" s="2">
        <v>107.0</v>
      </c>
      <c r="K55" s="2">
        <v>187.0</v>
      </c>
      <c r="L55" s="4">
        <f t="shared" si="7"/>
        <v>1306.333333</v>
      </c>
      <c r="M55" s="4">
        <f t="shared" si="8"/>
        <v>-709.3333333</v>
      </c>
      <c r="N55" s="4">
        <f t="shared" si="9"/>
        <v>709.3333333</v>
      </c>
      <c r="O55" s="4">
        <f t="shared" si="1"/>
        <v>859.4155846</v>
      </c>
      <c r="P55" s="4">
        <f t="shared" si="2"/>
        <v>1255.318039</v>
      </c>
      <c r="Q55" s="4">
        <f t="shared" si="3"/>
        <v>1225.389179</v>
      </c>
      <c r="V55" s="4">
        <f t="shared" si="4"/>
        <v>262.4155846</v>
      </c>
      <c r="W55" s="4">
        <f t="shared" si="5"/>
        <v>658.3180388</v>
      </c>
      <c r="X55" s="4">
        <f t="shared" si="6"/>
        <v>628.3891795</v>
      </c>
    </row>
    <row r="56">
      <c r="A56" s="3">
        <v>40532.0</v>
      </c>
      <c r="B56" s="2">
        <v>177.0</v>
      </c>
      <c r="C56" s="2">
        <v>125.0</v>
      </c>
      <c r="D56" s="2">
        <v>180.0</v>
      </c>
      <c r="E56" s="2">
        <v>23.0</v>
      </c>
      <c r="F56" s="2">
        <v>40.0</v>
      </c>
      <c r="G56" s="2">
        <v>125.0</v>
      </c>
      <c r="H56" s="2">
        <v>60.0</v>
      </c>
      <c r="I56" s="2">
        <v>252.0</v>
      </c>
      <c r="J56" s="2">
        <v>9.0</v>
      </c>
      <c r="K56" s="2">
        <v>44.0</v>
      </c>
      <c r="L56" s="4">
        <f t="shared" si="7"/>
        <v>933.3333333</v>
      </c>
      <c r="M56" s="4">
        <f t="shared" si="8"/>
        <v>-808.3333333</v>
      </c>
      <c r="N56" s="4">
        <f t="shared" si="9"/>
        <v>808.3333333</v>
      </c>
      <c r="O56" s="4">
        <f t="shared" si="1"/>
        <v>833.1740261</v>
      </c>
      <c r="P56" s="4">
        <f t="shared" si="2"/>
        <v>1057.822627</v>
      </c>
      <c r="Q56" s="4">
        <f t="shared" si="3"/>
        <v>911.1945897</v>
      </c>
      <c r="V56" s="4">
        <f t="shared" si="4"/>
        <v>708.1740261</v>
      </c>
      <c r="W56" s="4">
        <f t="shared" si="5"/>
        <v>932.8226272</v>
      </c>
      <c r="X56" s="4">
        <f t="shared" si="6"/>
        <v>786.1945897</v>
      </c>
    </row>
    <row r="57">
      <c r="A57" s="3">
        <v>40539.0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f t="shared" si="7"/>
        <v>592</v>
      </c>
      <c r="M57" s="4">
        <f t="shared" si="8"/>
        <v>-592</v>
      </c>
      <c r="N57" s="4">
        <f t="shared" si="9"/>
        <v>592</v>
      </c>
      <c r="O57" s="4">
        <f t="shared" si="1"/>
        <v>762.3566235</v>
      </c>
      <c r="P57" s="4">
        <f t="shared" si="2"/>
        <v>777.975839</v>
      </c>
      <c r="Q57" s="4">
        <f t="shared" si="3"/>
        <v>518.0972949</v>
      </c>
      <c r="V57" s="4">
        <f t="shared" si="4"/>
        <v>762.3566235</v>
      </c>
      <c r="W57" s="4">
        <f t="shared" si="5"/>
        <v>777.975839</v>
      </c>
      <c r="X57" s="4">
        <f t="shared" si="6"/>
        <v>518.0972949</v>
      </c>
    </row>
    <row r="58">
      <c r="A58" s="3">
        <v>40546.0</v>
      </c>
      <c r="B58" s="2">
        <v>251.0</v>
      </c>
      <c r="C58" s="2">
        <v>16.0</v>
      </c>
      <c r="D58" s="2">
        <v>1274.0</v>
      </c>
      <c r="E58" s="2">
        <v>145.0</v>
      </c>
      <c r="F58" s="2">
        <v>480.0</v>
      </c>
      <c r="G58" s="2">
        <v>16.0</v>
      </c>
      <c r="H58" s="2">
        <v>861.0</v>
      </c>
      <c r="I58" s="2">
        <v>797.0</v>
      </c>
      <c r="J58" s="2">
        <v>523.0</v>
      </c>
      <c r="K58" s="2">
        <v>362.0</v>
      </c>
      <c r="L58" s="4">
        <f t="shared" si="7"/>
        <v>240.6666667</v>
      </c>
      <c r="M58" s="4">
        <f t="shared" si="8"/>
        <v>-224.6666667</v>
      </c>
      <c r="N58" s="4">
        <f t="shared" si="9"/>
        <v>224.6666667</v>
      </c>
      <c r="O58" s="4">
        <f t="shared" si="1"/>
        <v>686.1209612</v>
      </c>
      <c r="P58" s="4">
        <f t="shared" si="2"/>
        <v>544.5830873</v>
      </c>
      <c r="Q58" s="4">
        <f t="shared" si="3"/>
        <v>259.0486474</v>
      </c>
      <c r="V58" s="4">
        <f t="shared" si="4"/>
        <v>670.1209612</v>
      </c>
      <c r="W58" s="4">
        <f t="shared" si="5"/>
        <v>528.5830873</v>
      </c>
      <c r="X58" s="4">
        <f t="shared" si="6"/>
        <v>243.0486474</v>
      </c>
    </row>
    <row r="59">
      <c r="A59" s="3">
        <v>40553.0</v>
      </c>
      <c r="B59" s="2">
        <v>404.0</v>
      </c>
      <c r="C59" s="2">
        <v>6.0</v>
      </c>
      <c r="D59" s="2">
        <v>225.0</v>
      </c>
      <c r="E59" s="2">
        <v>85.0</v>
      </c>
      <c r="F59" s="2">
        <v>442.0</v>
      </c>
      <c r="G59" s="2">
        <v>6.0</v>
      </c>
      <c r="H59" s="2">
        <v>175.0</v>
      </c>
      <c r="I59" s="2">
        <v>344.0</v>
      </c>
      <c r="J59" s="2">
        <v>323.0</v>
      </c>
      <c r="K59" s="2">
        <v>642.0</v>
      </c>
      <c r="L59" s="4">
        <f t="shared" si="7"/>
        <v>47</v>
      </c>
      <c r="M59" s="4">
        <f t="shared" si="8"/>
        <v>-41</v>
      </c>
      <c r="N59" s="4">
        <f t="shared" si="9"/>
        <v>41</v>
      </c>
      <c r="O59" s="4">
        <f t="shared" si="1"/>
        <v>619.1088651</v>
      </c>
      <c r="P59" s="4">
        <f t="shared" si="2"/>
        <v>386.0081611</v>
      </c>
      <c r="Q59" s="4">
        <f t="shared" si="3"/>
        <v>137.5243237</v>
      </c>
      <c r="V59" s="4">
        <f t="shared" si="4"/>
        <v>613.1088651</v>
      </c>
      <c r="W59" s="4">
        <f t="shared" si="5"/>
        <v>380.0081611</v>
      </c>
      <c r="X59" s="4">
        <f t="shared" si="6"/>
        <v>131.5243237</v>
      </c>
    </row>
    <row r="60">
      <c r="A60" s="3">
        <v>40560.0</v>
      </c>
      <c r="B60" s="2">
        <v>138.0</v>
      </c>
      <c r="C60" s="2">
        <v>2.0</v>
      </c>
      <c r="D60" s="2">
        <v>594.0</v>
      </c>
      <c r="E60" s="2">
        <v>69.0</v>
      </c>
      <c r="F60" s="2">
        <v>139.0</v>
      </c>
      <c r="G60" s="2">
        <v>2.0</v>
      </c>
      <c r="H60" s="2">
        <v>165.0</v>
      </c>
      <c r="I60" s="2">
        <v>261.0</v>
      </c>
      <c r="J60" s="2">
        <v>73.0</v>
      </c>
      <c r="K60" s="2">
        <v>128.0</v>
      </c>
      <c r="L60" s="4">
        <f t="shared" si="7"/>
        <v>7.333333333</v>
      </c>
      <c r="M60" s="4">
        <f t="shared" si="8"/>
        <v>-5.333333333</v>
      </c>
      <c r="N60" s="4">
        <f t="shared" si="9"/>
        <v>5.333333333</v>
      </c>
      <c r="O60" s="4">
        <f t="shared" si="1"/>
        <v>557.7979786</v>
      </c>
      <c r="P60" s="4">
        <f t="shared" si="2"/>
        <v>272.0057128</v>
      </c>
      <c r="Q60" s="4">
        <f t="shared" si="3"/>
        <v>71.76216186</v>
      </c>
      <c r="V60" s="4">
        <f t="shared" si="4"/>
        <v>555.7979786</v>
      </c>
      <c r="W60" s="4">
        <f t="shared" si="5"/>
        <v>270.0057128</v>
      </c>
      <c r="X60" s="4">
        <f t="shared" si="6"/>
        <v>69.76216186</v>
      </c>
    </row>
    <row r="61">
      <c r="A61" s="3">
        <v>40567.0</v>
      </c>
      <c r="B61" s="2">
        <v>228.0</v>
      </c>
      <c r="C61" s="2">
        <v>0.0</v>
      </c>
      <c r="D61" s="2">
        <v>502.0</v>
      </c>
      <c r="E61" s="2">
        <v>171.0</v>
      </c>
      <c r="F61" s="2">
        <v>344.0</v>
      </c>
      <c r="G61" s="2">
        <v>0.0</v>
      </c>
      <c r="H61" s="2">
        <v>105.0</v>
      </c>
      <c r="I61" s="2">
        <v>351.0</v>
      </c>
      <c r="J61" s="2">
        <v>199.0</v>
      </c>
      <c r="K61" s="2">
        <v>171.0</v>
      </c>
      <c r="L61" s="4">
        <f t="shared" si="7"/>
        <v>8</v>
      </c>
      <c r="M61" s="4">
        <f t="shared" si="8"/>
        <v>-8</v>
      </c>
      <c r="N61" s="4">
        <f t="shared" si="9"/>
        <v>8</v>
      </c>
      <c r="O61" s="4">
        <f t="shared" si="1"/>
        <v>502.2181807</v>
      </c>
      <c r="P61" s="4">
        <f t="shared" si="2"/>
        <v>191.003999</v>
      </c>
      <c r="Q61" s="4">
        <f t="shared" si="3"/>
        <v>36.88108093</v>
      </c>
      <c r="V61" s="4">
        <f t="shared" si="4"/>
        <v>502.2181807</v>
      </c>
      <c r="W61" s="4">
        <f t="shared" si="5"/>
        <v>191.003999</v>
      </c>
      <c r="X61" s="4">
        <f t="shared" si="6"/>
        <v>36.88108093</v>
      </c>
    </row>
    <row r="62">
      <c r="A62" s="3">
        <v>40574.0</v>
      </c>
      <c r="B62" s="2">
        <v>149.0</v>
      </c>
      <c r="C62" s="2">
        <v>0.0</v>
      </c>
      <c r="D62" s="2">
        <v>965.0</v>
      </c>
      <c r="E62" s="2">
        <v>232.0</v>
      </c>
      <c r="F62" s="2">
        <v>937.0</v>
      </c>
      <c r="G62" s="2">
        <v>0.0</v>
      </c>
      <c r="H62" s="2">
        <v>99.0</v>
      </c>
      <c r="I62" s="2">
        <v>107.0</v>
      </c>
      <c r="J62" s="2">
        <v>225.0</v>
      </c>
      <c r="K62" s="2">
        <v>417.0</v>
      </c>
      <c r="L62" s="4">
        <f t="shared" si="7"/>
        <v>2.666666667</v>
      </c>
      <c r="M62" s="4">
        <f t="shared" si="8"/>
        <v>-2.666666667</v>
      </c>
      <c r="N62" s="4">
        <f t="shared" si="9"/>
        <v>2.666666667</v>
      </c>
      <c r="O62" s="4">
        <f t="shared" si="1"/>
        <v>451.9963626</v>
      </c>
      <c r="P62" s="4">
        <f t="shared" si="2"/>
        <v>133.7027993</v>
      </c>
      <c r="Q62" s="4">
        <f t="shared" si="3"/>
        <v>18.44054046</v>
      </c>
      <c r="V62" s="4">
        <f t="shared" si="4"/>
        <v>451.9963626</v>
      </c>
      <c r="W62" s="4">
        <f t="shared" si="5"/>
        <v>133.7027993</v>
      </c>
      <c r="X62" s="4">
        <f t="shared" si="6"/>
        <v>18.44054046</v>
      </c>
    </row>
    <row r="63">
      <c r="A63" s="3">
        <v>40581.0</v>
      </c>
      <c r="B63" s="2">
        <v>137.0</v>
      </c>
      <c r="C63" s="2">
        <v>0.0</v>
      </c>
      <c r="D63" s="2">
        <v>288.0</v>
      </c>
      <c r="E63" s="2">
        <v>291.0</v>
      </c>
      <c r="F63" s="2">
        <v>160.0</v>
      </c>
      <c r="G63" s="2">
        <v>0.0</v>
      </c>
      <c r="H63" s="2">
        <v>192.0</v>
      </c>
      <c r="I63" s="2">
        <v>239.0</v>
      </c>
      <c r="J63" s="2">
        <v>95.0</v>
      </c>
      <c r="K63" s="2">
        <v>255.0</v>
      </c>
      <c r="L63" s="4">
        <f t="shared" si="7"/>
        <v>0.6666666667</v>
      </c>
      <c r="M63" s="4">
        <f t="shared" si="8"/>
        <v>-0.6666666667</v>
      </c>
      <c r="N63" s="4">
        <f t="shared" si="9"/>
        <v>0.6666666667</v>
      </c>
      <c r="O63" s="4">
        <f t="shared" si="1"/>
        <v>406.7967264</v>
      </c>
      <c r="P63" s="4">
        <f t="shared" si="2"/>
        <v>93.59195949</v>
      </c>
      <c r="Q63" s="4">
        <f t="shared" si="3"/>
        <v>9.220270232</v>
      </c>
      <c r="V63" s="4">
        <f t="shared" si="4"/>
        <v>406.7967264</v>
      </c>
      <c r="W63" s="4">
        <f t="shared" si="5"/>
        <v>93.59195949</v>
      </c>
      <c r="X63" s="4">
        <f t="shared" si="6"/>
        <v>9.220270232</v>
      </c>
    </row>
    <row r="64">
      <c r="A64" s="3">
        <v>40588.0</v>
      </c>
      <c r="B64" s="2">
        <v>399.0</v>
      </c>
      <c r="C64" s="2">
        <v>2.0</v>
      </c>
      <c r="D64" s="2">
        <v>985.0</v>
      </c>
      <c r="E64" s="2">
        <v>189.0</v>
      </c>
      <c r="F64" s="2">
        <v>588.0</v>
      </c>
      <c r="G64" s="2">
        <v>2.0</v>
      </c>
      <c r="H64" s="2">
        <v>305.0</v>
      </c>
      <c r="I64" s="2">
        <v>1040.0</v>
      </c>
      <c r="J64" s="2">
        <v>409.0</v>
      </c>
      <c r="K64" s="2">
        <v>291.0</v>
      </c>
      <c r="L64" s="4">
        <f t="shared" si="7"/>
        <v>0</v>
      </c>
      <c r="M64" s="4">
        <f t="shared" si="8"/>
        <v>2</v>
      </c>
      <c r="N64" s="4">
        <f t="shared" si="9"/>
        <v>2</v>
      </c>
      <c r="O64" s="4">
        <f t="shared" si="1"/>
        <v>366.1170537</v>
      </c>
      <c r="P64" s="4">
        <f t="shared" si="2"/>
        <v>65.51437164</v>
      </c>
      <c r="Q64" s="4">
        <f t="shared" si="3"/>
        <v>4.610135116</v>
      </c>
      <c r="V64" s="4">
        <f t="shared" si="4"/>
        <v>364.1170537</v>
      </c>
      <c r="W64" s="4">
        <f t="shared" si="5"/>
        <v>63.51437164</v>
      </c>
      <c r="X64" s="4">
        <f t="shared" si="6"/>
        <v>2.610135116</v>
      </c>
    </row>
    <row r="65">
      <c r="A65" s="3">
        <v>40595.0</v>
      </c>
      <c r="B65" s="2">
        <v>203.0</v>
      </c>
      <c r="C65" s="2">
        <v>2.0</v>
      </c>
      <c r="D65" s="2">
        <v>810.0</v>
      </c>
      <c r="E65" s="2">
        <v>157.0</v>
      </c>
      <c r="F65" s="2">
        <v>328.0</v>
      </c>
      <c r="G65" s="2">
        <v>2.0</v>
      </c>
      <c r="H65" s="2">
        <v>75.0</v>
      </c>
      <c r="I65" s="2">
        <v>1312.0</v>
      </c>
      <c r="J65" s="2">
        <v>260.0</v>
      </c>
      <c r="K65" s="2">
        <v>369.0</v>
      </c>
      <c r="L65" s="4">
        <f t="shared" si="7"/>
        <v>0.6666666667</v>
      </c>
      <c r="M65" s="4">
        <f t="shared" si="8"/>
        <v>1.333333333</v>
      </c>
      <c r="N65" s="4">
        <f t="shared" si="9"/>
        <v>1.333333333</v>
      </c>
      <c r="O65" s="4">
        <f t="shared" si="1"/>
        <v>329.7053484</v>
      </c>
      <c r="P65" s="4">
        <f t="shared" si="2"/>
        <v>46.46006015</v>
      </c>
      <c r="Q65" s="4">
        <f t="shared" si="3"/>
        <v>3.305067558</v>
      </c>
      <c r="V65" s="4">
        <f t="shared" si="4"/>
        <v>327.7053484</v>
      </c>
      <c r="W65" s="4">
        <f t="shared" si="5"/>
        <v>44.46006015</v>
      </c>
      <c r="X65" s="4">
        <f t="shared" si="6"/>
        <v>1.305067558</v>
      </c>
    </row>
    <row r="66">
      <c r="A66" s="3">
        <v>40602.0</v>
      </c>
      <c r="B66" s="2">
        <v>348.0</v>
      </c>
      <c r="C66" s="2">
        <v>45.0</v>
      </c>
      <c r="D66" s="2">
        <v>624.0</v>
      </c>
      <c r="E66" s="2">
        <v>255.0</v>
      </c>
      <c r="F66" s="2">
        <v>213.0</v>
      </c>
      <c r="G66" s="2">
        <v>45.0</v>
      </c>
      <c r="H66" s="2">
        <v>39.0</v>
      </c>
      <c r="I66" s="2">
        <v>370.0</v>
      </c>
      <c r="J66" s="2">
        <v>174.0</v>
      </c>
      <c r="K66" s="2">
        <v>175.0</v>
      </c>
      <c r="L66" s="4">
        <f t="shared" si="7"/>
        <v>1.333333333</v>
      </c>
      <c r="M66" s="4">
        <f t="shared" si="8"/>
        <v>43.66666667</v>
      </c>
      <c r="N66" s="4">
        <f t="shared" si="9"/>
        <v>43.66666667</v>
      </c>
      <c r="O66" s="4">
        <f t="shared" si="1"/>
        <v>296.9348135</v>
      </c>
      <c r="P66" s="4">
        <f t="shared" si="2"/>
        <v>33.1220421</v>
      </c>
      <c r="Q66" s="4">
        <f t="shared" si="3"/>
        <v>2.652533779</v>
      </c>
      <c r="V66" s="4">
        <f t="shared" si="4"/>
        <v>251.9348135</v>
      </c>
      <c r="W66" s="4">
        <f t="shared" si="5"/>
        <v>11.8779579</v>
      </c>
      <c r="X66" s="4">
        <f t="shared" si="6"/>
        <v>42.34746622</v>
      </c>
    </row>
    <row r="67">
      <c r="A67" s="3">
        <v>40609.0</v>
      </c>
      <c r="B67" s="2">
        <v>190.0</v>
      </c>
      <c r="C67" s="2">
        <v>1.0</v>
      </c>
      <c r="D67" s="2">
        <v>738.0</v>
      </c>
      <c r="E67" s="2">
        <v>205.0</v>
      </c>
      <c r="F67" s="2">
        <v>642.0</v>
      </c>
      <c r="G67" s="2">
        <v>1.0</v>
      </c>
      <c r="H67" s="2">
        <v>270.0</v>
      </c>
      <c r="I67" s="2">
        <v>779.0</v>
      </c>
      <c r="J67" s="2">
        <v>374.0</v>
      </c>
      <c r="K67" s="2">
        <v>148.0</v>
      </c>
      <c r="L67" s="4">
        <f t="shared" si="7"/>
        <v>16.33333333</v>
      </c>
      <c r="M67" s="4">
        <f t="shared" si="8"/>
        <v>-15.33333333</v>
      </c>
      <c r="N67" s="4">
        <f t="shared" si="9"/>
        <v>15.33333333</v>
      </c>
      <c r="O67" s="4">
        <f t="shared" si="1"/>
        <v>271.7413322</v>
      </c>
      <c r="P67" s="4">
        <f t="shared" si="2"/>
        <v>36.68542947</v>
      </c>
      <c r="Q67" s="4">
        <f t="shared" si="3"/>
        <v>23.82626689</v>
      </c>
      <c r="V67" s="4">
        <f t="shared" si="4"/>
        <v>270.7413322</v>
      </c>
      <c r="W67" s="4">
        <f t="shared" si="5"/>
        <v>35.68542947</v>
      </c>
      <c r="X67" s="4">
        <f t="shared" si="6"/>
        <v>22.82626689</v>
      </c>
    </row>
    <row r="68">
      <c r="A68" s="3">
        <v>40616.0</v>
      </c>
      <c r="B68" s="2">
        <v>308.0</v>
      </c>
      <c r="C68" s="2">
        <v>0.0</v>
      </c>
      <c r="D68" s="2">
        <v>1546.0</v>
      </c>
      <c r="E68" s="2">
        <v>606.0</v>
      </c>
      <c r="F68" s="2">
        <v>963.0</v>
      </c>
      <c r="G68" s="2">
        <v>0.0</v>
      </c>
      <c r="H68" s="2">
        <v>108.0</v>
      </c>
      <c r="I68" s="2">
        <v>583.0</v>
      </c>
      <c r="J68" s="2">
        <v>1083.0</v>
      </c>
      <c r="K68" s="2">
        <v>278.0</v>
      </c>
      <c r="L68" s="4">
        <f t="shared" si="7"/>
        <v>16</v>
      </c>
      <c r="M68" s="4">
        <f t="shared" si="8"/>
        <v>-16</v>
      </c>
      <c r="N68" s="4">
        <f t="shared" si="9"/>
        <v>16</v>
      </c>
      <c r="O68" s="4">
        <f t="shared" si="1"/>
        <v>244.667199</v>
      </c>
      <c r="P68" s="4">
        <f t="shared" si="2"/>
        <v>25.97980063</v>
      </c>
      <c r="Q68" s="4">
        <f t="shared" si="3"/>
        <v>12.41313344</v>
      </c>
      <c r="V68" s="4">
        <f t="shared" si="4"/>
        <v>244.667199</v>
      </c>
      <c r="W68" s="4">
        <f t="shared" si="5"/>
        <v>25.97980063</v>
      </c>
      <c r="X68" s="4">
        <f t="shared" si="6"/>
        <v>12.41313344</v>
      </c>
    </row>
    <row r="69">
      <c r="A69" s="3">
        <v>40623.0</v>
      </c>
      <c r="B69" s="2">
        <v>327.0</v>
      </c>
      <c r="C69" s="2">
        <v>42.0</v>
      </c>
      <c r="D69" s="2">
        <v>1379.0</v>
      </c>
      <c r="E69" s="2">
        <v>325.0</v>
      </c>
      <c r="F69" s="2">
        <v>391.0</v>
      </c>
      <c r="G69" s="2">
        <v>42.0</v>
      </c>
      <c r="H69" s="2">
        <v>22.0</v>
      </c>
      <c r="I69" s="2">
        <v>237.0</v>
      </c>
      <c r="J69" s="2">
        <v>586.0</v>
      </c>
      <c r="K69" s="2">
        <v>379.0</v>
      </c>
      <c r="L69" s="4">
        <f t="shared" si="7"/>
        <v>15.33333333</v>
      </c>
      <c r="M69" s="4">
        <f t="shared" si="8"/>
        <v>26.66666667</v>
      </c>
      <c r="N69" s="4">
        <f t="shared" si="9"/>
        <v>26.66666667</v>
      </c>
      <c r="O69" s="4">
        <f t="shared" si="1"/>
        <v>220.2004791</v>
      </c>
      <c r="P69" s="4">
        <f t="shared" si="2"/>
        <v>18.18586044</v>
      </c>
      <c r="Q69" s="4">
        <f t="shared" si="3"/>
        <v>6.206566722</v>
      </c>
      <c r="V69" s="4">
        <f t="shared" si="4"/>
        <v>178.2004791</v>
      </c>
      <c r="W69" s="4">
        <f t="shared" si="5"/>
        <v>23.81413956</v>
      </c>
      <c r="X69" s="4">
        <f t="shared" si="6"/>
        <v>35.79343328</v>
      </c>
    </row>
    <row r="70">
      <c r="A70" s="3">
        <v>40630.0</v>
      </c>
      <c r="B70" s="2">
        <v>282.0</v>
      </c>
      <c r="C70" s="2">
        <v>3.0</v>
      </c>
      <c r="D70" s="2">
        <v>1103.0</v>
      </c>
      <c r="E70" s="2">
        <v>368.0</v>
      </c>
      <c r="F70" s="2">
        <v>585.0</v>
      </c>
      <c r="G70" s="2">
        <v>3.0</v>
      </c>
      <c r="H70" s="2">
        <v>85.0</v>
      </c>
      <c r="I70" s="2">
        <v>1030.0</v>
      </c>
      <c r="J70" s="2">
        <v>665.0</v>
      </c>
      <c r="K70" s="2">
        <v>587.0</v>
      </c>
      <c r="L70" s="4">
        <f t="shared" si="7"/>
        <v>14.33333333</v>
      </c>
      <c r="M70" s="4">
        <f t="shared" si="8"/>
        <v>-11.33333333</v>
      </c>
      <c r="N70" s="4">
        <f t="shared" si="9"/>
        <v>11.33333333</v>
      </c>
      <c r="O70" s="4">
        <f t="shared" si="1"/>
        <v>202.3804312</v>
      </c>
      <c r="P70" s="4">
        <f t="shared" si="2"/>
        <v>25.33010231</v>
      </c>
      <c r="Q70" s="4">
        <f t="shared" si="3"/>
        <v>24.10328336</v>
      </c>
      <c r="V70" s="4">
        <f t="shared" si="4"/>
        <v>199.3804312</v>
      </c>
      <c r="W70" s="4">
        <f t="shared" si="5"/>
        <v>22.33010231</v>
      </c>
      <c r="X70" s="4">
        <f t="shared" si="6"/>
        <v>21.10328336</v>
      </c>
    </row>
    <row r="71">
      <c r="A71" s="3">
        <v>40637.0</v>
      </c>
      <c r="B71" s="2">
        <v>274.0</v>
      </c>
      <c r="C71" s="2">
        <v>9.0</v>
      </c>
      <c r="D71" s="2">
        <v>975.0</v>
      </c>
      <c r="E71" s="2">
        <v>460.0</v>
      </c>
      <c r="F71" s="2">
        <v>753.0</v>
      </c>
      <c r="G71" s="2">
        <v>9.0</v>
      </c>
      <c r="H71" s="2">
        <v>14.0</v>
      </c>
      <c r="I71" s="2">
        <v>564.0</v>
      </c>
      <c r="J71" s="2">
        <v>125.0</v>
      </c>
      <c r="K71" s="2">
        <v>247.0</v>
      </c>
      <c r="L71" s="4">
        <f t="shared" si="7"/>
        <v>15</v>
      </c>
      <c r="M71" s="4">
        <f t="shared" si="8"/>
        <v>-6</v>
      </c>
      <c r="N71" s="4">
        <f t="shared" si="9"/>
        <v>6</v>
      </c>
      <c r="O71" s="4">
        <f t="shared" si="1"/>
        <v>182.442388</v>
      </c>
      <c r="P71" s="4">
        <f t="shared" si="2"/>
        <v>18.63107162</v>
      </c>
      <c r="Q71" s="4">
        <f t="shared" si="3"/>
        <v>13.55164168</v>
      </c>
      <c r="V71" s="4">
        <f t="shared" si="4"/>
        <v>173.442388</v>
      </c>
      <c r="W71" s="4">
        <f t="shared" si="5"/>
        <v>9.631071616</v>
      </c>
      <c r="X71" s="4">
        <f t="shared" si="6"/>
        <v>4.551641681</v>
      </c>
    </row>
    <row r="72">
      <c r="A72" s="3">
        <v>40644.0</v>
      </c>
      <c r="B72" s="2">
        <v>362.0</v>
      </c>
      <c r="C72" s="2">
        <v>0.0</v>
      </c>
      <c r="D72" s="2">
        <v>616.0</v>
      </c>
      <c r="E72" s="2">
        <v>542.0</v>
      </c>
      <c r="F72" s="2">
        <v>815.0</v>
      </c>
      <c r="G72" s="2">
        <v>0.0</v>
      </c>
      <c r="H72" s="2">
        <v>5.0</v>
      </c>
      <c r="I72" s="2">
        <v>784.0</v>
      </c>
      <c r="J72" s="2">
        <v>119.0</v>
      </c>
      <c r="K72" s="2">
        <v>305.0</v>
      </c>
      <c r="L72" s="4">
        <f t="shared" si="7"/>
        <v>18</v>
      </c>
      <c r="M72" s="4">
        <f t="shared" si="8"/>
        <v>-18</v>
      </c>
      <c r="N72" s="4">
        <f t="shared" si="9"/>
        <v>18</v>
      </c>
      <c r="O72" s="4">
        <f t="shared" si="1"/>
        <v>165.0981492</v>
      </c>
      <c r="P72" s="4">
        <f t="shared" si="2"/>
        <v>15.74175013</v>
      </c>
      <c r="Q72" s="4">
        <f t="shared" si="3"/>
        <v>11.27582084</v>
      </c>
      <c r="V72" s="4">
        <f t="shared" si="4"/>
        <v>165.0981492</v>
      </c>
      <c r="W72" s="4">
        <f t="shared" si="5"/>
        <v>15.74175013</v>
      </c>
      <c r="X72" s="4">
        <f t="shared" si="6"/>
        <v>11.27582084</v>
      </c>
    </row>
    <row r="73">
      <c r="A73" s="3">
        <v>40651.0</v>
      </c>
      <c r="B73" s="2">
        <v>186.0</v>
      </c>
      <c r="C73" s="2">
        <v>1.0</v>
      </c>
      <c r="D73" s="2">
        <v>549.0</v>
      </c>
      <c r="E73" s="2">
        <v>548.0</v>
      </c>
      <c r="F73" s="2">
        <v>612.0</v>
      </c>
      <c r="G73" s="2">
        <v>1.0</v>
      </c>
      <c r="H73" s="2">
        <v>4.0</v>
      </c>
      <c r="I73" s="2">
        <v>232.0</v>
      </c>
      <c r="J73" s="2">
        <v>155.0</v>
      </c>
      <c r="K73" s="2">
        <v>368.0</v>
      </c>
      <c r="L73" s="4">
        <f t="shared" si="7"/>
        <v>4</v>
      </c>
      <c r="M73" s="4">
        <f t="shared" si="8"/>
        <v>-3</v>
      </c>
      <c r="N73" s="4">
        <f t="shared" si="9"/>
        <v>3</v>
      </c>
      <c r="O73" s="4">
        <f t="shared" si="1"/>
        <v>148.5883343</v>
      </c>
      <c r="P73" s="4">
        <f t="shared" si="2"/>
        <v>11.01922509</v>
      </c>
      <c r="Q73" s="4">
        <f t="shared" si="3"/>
        <v>5.63791042</v>
      </c>
      <c r="V73" s="4">
        <f t="shared" si="4"/>
        <v>147.5883343</v>
      </c>
      <c r="W73" s="4">
        <f t="shared" si="5"/>
        <v>10.01922509</v>
      </c>
      <c r="X73" s="4">
        <f t="shared" si="6"/>
        <v>4.63791042</v>
      </c>
    </row>
    <row r="74">
      <c r="A74" s="3">
        <v>40658.0</v>
      </c>
      <c r="B74" s="2">
        <v>175.0</v>
      </c>
      <c r="C74" s="2">
        <v>0.0</v>
      </c>
      <c r="D74" s="2">
        <v>385.0</v>
      </c>
      <c r="E74" s="2">
        <v>276.0</v>
      </c>
      <c r="F74" s="2">
        <v>264.0</v>
      </c>
      <c r="G74" s="2">
        <v>0.0</v>
      </c>
      <c r="H74" s="2">
        <v>5.0</v>
      </c>
      <c r="I74" s="2">
        <v>310.0</v>
      </c>
      <c r="J74" s="2">
        <v>282.0</v>
      </c>
      <c r="K74" s="2">
        <v>164.0</v>
      </c>
      <c r="L74" s="4">
        <f t="shared" si="7"/>
        <v>3.333333333</v>
      </c>
      <c r="M74" s="4">
        <f t="shared" si="8"/>
        <v>-3.333333333</v>
      </c>
      <c r="N74" s="4">
        <f t="shared" si="9"/>
        <v>3.333333333</v>
      </c>
      <c r="O74" s="4">
        <f t="shared" si="1"/>
        <v>133.8295009</v>
      </c>
      <c r="P74" s="4">
        <f t="shared" si="2"/>
        <v>8.013457564</v>
      </c>
      <c r="Q74" s="4">
        <f t="shared" si="3"/>
        <v>3.31895521</v>
      </c>
      <c r="V74" s="4">
        <f t="shared" si="4"/>
        <v>133.8295009</v>
      </c>
      <c r="W74" s="4">
        <f t="shared" si="5"/>
        <v>8.013457564</v>
      </c>
      <c r="X74" s="4">
        <f t="shared" si="6"/>
        <v>3.31895521</v>
      </c>
    </row>
    <row r="75">
      <c r="A75" s="3">
        <v>40665.0</v>
      </c>
      <c r="B75" s="2">
        <v>171.0</v>
      </c>
      <c r="C75" s="2">
        <v>4.0</v>
      </c>
      <c r="D75" s="2">
        <v>380.0</v>
      </c>
      <c r="E75" s="2">
        <v>984.0</v>
      </c>
      <c r="F75" s="2">
        <v>594.0</v>
      </c>
      <c r="G75" s="2">
        <v>4.0</v>
      </c>
      <c r="H75" s="2">
        <v>109.0</v>
      </c>
      <c r="I75" s="2">
        <v>372.0</v>
      </c>
      <c r="J75" s="2">
        <v>154.0</v>
      </c>
      <c r="K75" s="2">
        <v>289.0</v>
      </c>
      <c r="L75" s="4">
        <f t="shared" si="7"/>
        <v>0.3333333333</v>
      </c>
      <c r="M75" s="4">
        <f t="shared" si="8"/>
        <v>3.666666667</v>
      </c>
      <c r="N75" s="4">
        <f t="shared" si="9"/>
        <v>3.666666667</v>
      </c>
      <c r="O75" s="4">
        <f t="shared" si="1"/>
        <v>120.4465508</v>
      </c>
      <c r="P75" s="4">
        <f t="shared" si="2"/>
        <v>5.609420295</v>
      </c>
      <c r="Q75" s="4">
        <f t="shared" si="3"/>
        <v>1.659477605</v>
      </c>
      <c r="V75" s="4">
        <f t="shared" si="4"/>
        <v>116.4465508</v>
      </c>
      <c r="W75" s="4">
        <f t="shared" si="5"/>
        <v>1.609420295</v>
      </c>
      <c r="X75" s="4">
        <f t="shared" si="6"/>
        <v>2.340522395</v>
      </c>
    </row>
    <row r="76">
      <c r="A76" s="3">
        <v>40672.0</v>
      </c>
      <c r="B76" s="2">
        <v>366.0</v>
      </c>
      <c r="C76" s="2">
        <v>13.0</v>
      </c>
      <c r="D76" s="2">
        <v>1206.0</v>
      </c>
      <c r="E76" s="2">
        <v>752.0</v>
      </c>
      <c r="F76" s="2">
        <v>1201.0</v>
      </c>
      <c r="G76" s="2">
        <v>13.0</v>
      </c>
      <c r="H76" s="2">
        <v>187.0</v>
      </c>
      <c r="I76" s="2">
        <v>381.0</v>
      </c>
      <c r="J76" s="2">
        <v>401.0</v>
      </c>
      <c r="K76" s="2">
        <v>885.0</v>
      </c>
      <c r="L76" s="4">
        <f t="shared" si="7"/>
        <v>1.666666667</v>
      </c>
      <c r="M76" s="4">
        <f t="shared" si="8"/>
        <v>11.33333333</v>
      </c>
      <c r="N76" s="4">
        <f t="shared" si="9"/>
        <v>11.33333333</v>
      </c>
      <c r="O76" s="4">
        <f t="shared" si="1"/>
        <v>108.8018957</v>
      </c>
      <c r="P76" s="4">
        <f t="shared" si="2"/>
        <v>5.126594207</v>
      </c>
      <c r="Q76" s="4">
        <f t="shared" si="3"/>
        <v>2.829738803</v>
      </c>
      <c r="V76" s="4">
        <f t="shared" si="4"/>
        <v>95.80189571</v>
      </c>
      <c r="W76" s="4">
        <f t="shared" si="5"/>
        <v>7.873405793</v>
      </c>
      <c r="X76" s="4">
        <f t="shared" si="6"/>
        <v>10.1702612</v>
      </c>
    </row>
    <row r="77">
      <c r="A77" s="3">
        <v>40679.0</v>
      </c>
      <c r="B77" s="2">
        <v>305.0</v>
      </c>
      <c r="C77" s="2">
        <v>0.0</v>
      </c>
      <c r="D77" s="2">
        <v>978.0</v>
      </c>
      <c r="E77" s="2">
        <v>754.0</v>
      </c>
      <c r="F77" s="2">
        <v>595.0</v>
      </c>
      <c r="G77" s="2">
        <v>0.0</v>
      </c>
      <c r="H77" s="2">
        <v>44.0</v>
      </c>
      <c r="I77" s="2">
        <v>1300.0</v>
      </c>
      <c r="J77" s="2">
        <v>169.0</v>
      </c>
      <c r="K77" s="2">
        <v>445.0</v>
      </c>
      <c r="L77" s="4">
        <f t="shared" si="7"/>
        <v>5.666666667</v>
      </c>
      <c r="M77" s="4">
        <f t="shared" si="8"/>
        <v>-5.666666667</v>
      </c>
      <c r="N77" s="4">
        <f t="shared" si="9"/>
        <v>5.666666667</v>
      </c>
      <c r="O77" s="4">
        <f t="shared" si="1"/>
        <v>99.22170614</v>
      </c>
      <c r="P77" s="4">
        <f t="shared" si="2"/>
        <v>7.488615945</v>
      </c>
      <c r="Q77" s="4">
        <f t="shared" si="3"/>
        <v>7.914869401</v>
      </c>
      <c r="V77" s="4">
        <f t="shared" si="4"/>
        <v>99.22170614</v>
      </c>
      <c r="W77" s="4">
        <f t="shared" si="5"/>
        <v>7.488615945</v>
      </c>
      <c r="X77" s="4">
        <f t="shared" si="6"/>
        <v>7.914869401</v>
      </c>
    </row>
    <row r="78">
      <c r="A78" s="3">
        <v>40686.0</v>
      </c>
      <c r="B78" s="2">
        <v>169.0</v>
      </c>
      <c r="C78" s="2">
        <v>0.0</v>
      </c>
      <c r="D78" s="2">
        <v>933.0</v>
      </c>
      <c r="E78" s="2">
        <v>839.0</v>
      </c>
      <c r="F78" s="2">
        <v>565.0</v>
      </c>
      <c r="G78" s="2">
        <v>0.0</v>
      </c>
      <c r="H78" s="2">
        <v>72.0</v>
      </c>
      <c r="I78" s="2">
        <v>4562.0</v>
      </c>
      <c r="J78" s="2">
        <v>558.0</v>
      </c>
      <c r="K78" s="2">
        <v>684.0</v>
      </c>
      <c r="L78" s="4">
        <f t="shared" si="7"/>
        <v>5.666666667</v>
      </c>
      <c r="M78" s="4">
        <f t="shared" si="8"/>
        <v>-5.666666667</v>
      </c>
      <c r="N78" s="4">
        <f t="shared" si="9"/>
        <v>5.666666667</v>
      </c>
      <c r="O78" s="4">
        <f t="shared" si="1"/>
        <v>89.29953553</v>
      </c>
      <c r="P78" s="4">
        <f t="shared" si="2"/>
        <v>5.242031161</v>
      </c>
      <c r="Q78" s="4">
        <f t="shared" si="3"/>
        <v>3.957434701</v>
      </c>
      <c r="V78" s="4">
        <f t="shared" si="4"/>
        <v>89.29953553</v>
      </c>
      <c r="W78" s="4">
        <f t="shared" si="5"/>
        <v>5.242031161</v>
      </c>
      <c r="X78" s="4">
        <f t="shared" si="6"/>
        <v>3.957434701</v>
      </c>
    </row>
    <row r="79">
      <c r="A79" s="3">
        <v>40693.0</v>
      </c>
      <c r="B79" s="2">
        <v>263.0</v>
      </c>
      <c r="C79" s="2">
        <v>0.0</v>
      </c>
      <c r="D79" s="2">
        <v>273.0</v>
      </c>
      <c r="E79" s="2">
        <v>434.0</v>
      </c>
      <c r="F79" s="2">
        <v>384.0</v>
      </c>
      <c r="G79" s="2">
        <v>0.0</v>
      </c>
      <c r="H79" s="2">
        <v>27.0</v>
      </c>
      <c r="I79" s="2">
        <v>533.0</v>
      </c>
      <c r="J79" s="2">
        <v>410.0</v>
      </c>
      <c r="K79" s="2">
        <v>184.0</v>
      </c>
      <c r="L79" s="4">
        <f t="shared" si="7"/>
        <v>4.333333333</v>
      </c>
      <c r="M79" s="4">
        <f t="shared" si="8"/>
        <v>-4.333333333</v>
      </c>
      <c r="N79" s="4">
        <f t="shared" si="9"/>
        <v>4.333333333</v>
      </c>
      <c r="O79" s="4">
        <f t="shared" si="1"/>
        <v>80.36958197</v>
      </c>
      <c r="P79" s="4">
        <f t="shared" si="2"/>
        <v>3.669421813</v>
      </c>
      <c r="Q79" s="4">
        <f t="shared" si="3"/>
        <v>1.97871735</v>
      </c>
      <c r="V79" s="4">
        <f t="shared" si="4"/>
        <v>80.36958197</v>
      </c>
      <c r="W79" s="4">
        <f t="shared" si="5"/>
        <v>3.669421813</v>
      </c>
      <c r="X79" s="4">
        <f t="shared" si="6"/>
        <v>1.97871735</v>
      </c>
    </row>
    <row r="80">
      <c r="A80" s="3">
        <v>40700.0</v>
      </c>
      <c r="B80" s="2">
        <v>207.0</v>
      </c>
      <c r="C80" s="2">
        <v>2.0</v>
      </c>
      <c r="D80" s="2">
        <v>883.0</v>
      </c>
      <c r="E80" s="2">
        <v>651.0</v>
      </c>
      <c r="F80" s="2">
        <v>292.0</v>
      </c>
      <c r="G80" s="2">
        <v>2.0</v>
      </c>
      <c r="H80" s="2">
        <v>91.0</v>
      </c>
      <c r="I80" s="2">
        <v>410.0</v>
      </c>
      <c r="J80" s="2">
        <v>478.0</v>
      </c>
      <c r="K80" s="2">
        <v>585.0</v>
      </c>
      <c r="L80" s="4">
        <f t="shared" si="7"/>
        <v>0</v>
      </c>
      <c r="M80" s="4">
        <f t="shared" si="8"/>
        <v>2</v>
      </c>
      <c r="N80" s="4">
        <f t="shared" si="9"/>
        <v>2</v>
      </c>
      <c r="O80" s="4">
        <f t="shared" si="1"/>
        <v>72.33262378</v>
      </c>
      <c r="P80" s="4">
        <f t="shared" si="2"/>
        <v>2.568595269</v>
      </c>
      <c r="Q80" s="4">
        <f t="shared" si="3"/>
        <v>0.9893586752</v>
      </c>
      <c r="V80" s="4">
        <f t="shared" si="4"/>
        <v>70.33262378</v>
      </c>
      <c r="W80" s="4">
        <f t="shared" si="5"/>
        <v>0.568595269</v>
      </c>
      <c r="X80" s="4">
        <f t="shared" si="6"/>
        <v>1.010641325</v>
      </c>
    </row>
    <row r="81">
      <c r="A81" s="3">
        <v>40707.0</v>
      </c>
      <c r="B81" s="2">
        <v>173.0</v>
      </c>
      <c r="C81" s="2">
        <v>1.0</v>
      </c>
      <c r="D81" s="2">
        <v>959.0</v>
      </c>
      <c r="E81" s="2">
        <v>507.0</v>
      </c>
      <c r="F81" s="2">
        <v>446.0</v>
      </c>
      <c r="G81" s="2">
        <v>1.0</v>
      </c>
      <c r="H81" s="2">
        <v>113.0</v>
      </c>
      <c r="I81" s="2">
        <v>437.0</v>
      </c>
      <c r="J81" s="2">
        <v>243.0</v>
      </c>
      <c r="K81" s="2">
        <v>448.0</v>
      </c>
      <c r="L81" s="4">
        <f t="shared" si="7"/>
        <v>0.6666666667</v>
      </c>
      <c r="M81" s="4">
        <f t="shared" si="8"/>
        <v>0.3333333333</v>
      </c>
      <c r="N81" s="4">
        <f t="shared" si="9"/>
        <v>0.3333333333</v>
      </c>
      <c r="O81" s="4">
        <f t="shared" si="1"/>
        <v>65.2993614</v>
      </c>
      <c r="P81" s="4">
        <f t="shared" si="2"/>
        <v>2.398016688</v>
      </c>
      <c r="Q81" s="4">
        <f t="shared" si="3"/>
        <v>1.494679338</v>
      </c>
      <c r="V81" s="4">
        <f t="shared" si="4"/>
        <v>64.2993614</v>
      </c>
      <c r="W81" s="4">
        <f t="shared" si="5"/>
        <v>1.398016688</v>
      </c>
      <c r="X81" s="4">
        <f t="shared" si="6"/>
        <v>0.4946793376</v>
      </c>
    </row>
    <row r="82">
      <c r="A82" s="3">
        <v>40714.0</v>
      </c>
      <c r="B82" s="2">
        <v>143.0</v>
      </c>
      <c r="C82" s="2">
        <v>6.0</v>
      </c>
      <c r="D82" s="2">
        <v>841.0</v>
      </c>
      <c r="E82" s="2">
        <v>598.0</v>
      </c>
      <c r="F82" s="2">
        <v>270.0</v>
      </c>
      <c r="G82" s="2">
        <v>6.0</v>
      </c>
      <c r="H82" s="2">
        <v>60.0</v>
      </c>
      <c r="I82" s="2">
        <v>345.0</v>
      </c>
      <c r="J82" s="2">
        <v>611.0</v>
      </c>
      <c r="K82" s="2">
        <v>238.0</v>
      </c>
      <c r="L82" s="4">
        <f t="shared" si="7"/>
        <v>1</v>
      </c>
      <c r="M82" s="4">
        <f t="shared" si="8"/>
        <v>5</v>
      </c>
      <c r="N82" s="4">
        <f t="shared" si="9"/>
        <v>5</v>
      </c>
      <c r="O82" s="4">
        <f t="shared" si="1"/>
        <v>58.86942526</v>
      </c>
      <c r="P82" s="4">
        <f t="shared" si="2"/>
        <v>1.978611682</v>
      </c>
      <c r="Q82" s="4">
        <f t="shared" si="3"/>
        <v>1.247339669</v>
      </c>
      <c r="V82" s="4">
        <f t="shared" si="4"/>
        <v>52.86942526</v>
      </c>
      <c r="W82" s="4">
        <f t="shared" si="5"/>
        <v>4.021388318</v>
      </c>
      <c r="X82" s="4">
        <f t="shared" si="6"/>
        <v>4.752660331</v>
      </c>
    </row>
    <row r="83">
      <c r="A83" s="3">
        <v>40721.0</v>
      </c>
      <c r="B83" s="2">
        <v>79.0</v>
      </c>
      <c r="C83" s="2">
        <v>365.0</v>
      </c>
      <c r="D83" s="2">
        <v>815.0</v>
      </c>
      <c r="E83" s="2">
        <v>276.0</v>
      </c>
      <c r="F83" s="2">
        <v>292.0</v>
      </c>
      <c r="G83" s="2">
        <v>365.0</v>
      </c>
      <c r="H83" s="2">
        <v>113.0</v>
      </c>
      <c r="I83" s="2">
        <v>430.0</v>
      </c>
      <c r="J83" s="2">
        <v>456.0</v>
      </c>
      <c r="K83" s="2">
        <v>303.0</v>
      </c>
      <c r="L83" s="4">
        <f t="shared" si="7"/>
        <v>3</v>
      </c>
      <c r="M83" s="4">
        <f t="shared" si="8"/>
        <v>362</v>
      </c>
      <c r="N83" s="4">
        <f t="shared" si="9"/>
        <v>362</v>
      </c>
      <c r="O83" s="4">
        <f t="shared" si="1"/>
        <v>53.58248273</v>
      </c>
      <c r="P83" s="4">
        <f t="shared" si="2"/>
        <v>3.185028177</v>
      </c>
      <c r="Q83" s="4">
        <f t="shared" si="3"/>
        <v>3.623669834</v>
      </c>
      <c r="V83" s="4">
        <f t="shared" si="4"/>
        <v>311.4175173</v>
      </c>
      <c r="W83" s="4">
        <f t="shared" si="5"/>
        <v>361.8149718</v>
      </c>
      <c r="X83" s="4">
        <f t="shared" si="6"/>
        <v>361.3763302</v>
      </c>
    </row>
    <row r="84">
      <c r="A84" s="3">
        <v>40728.0</v>
      </c>
      <c r="B84" s="2">
        <v>131.0</v>
      </c>
      <c r="C84" s="2">
        <v>18.0</v>
      </c>
      <c r="D84" s="2">
        <v>1364.0</v>
      </c>
      <c r="E84" s="2">
        <v>901.0</v>
      </c>
      <c r="F84" s="2">
        <v>460.0</v>
      </c>
      <c r="G84" s="2">
        <v>18.0</v>
      </c>
      <c r="H84" s="2">
        <v>23.0</v>
      </c>
      <c r="I84" s="2">
        <v>636.0</v>
      </c>
      <c r="J84" s="2">
        <v>452.0</v>
      </c>
      <c r="K84" s="2">
        <v>440.0</v>
      </c>
      <c r="L84" s="4">
        <f t="shared" si="7"/>
        <v>124</v>
      </c>
      <c r="M84" s="4">
        <f t="shared" si="8"/>
        <v>-106</v>
      </c>
      <c r="N84" s="4">
        <f t="shared" si="9"/>
        <v>106</v>
      </c>
      <c r="O84" s="4">
        <f t="shared" si="1"/>
        <v>84.72423446</v>
      </c>
      <c r="P84" s="4">
        <f t="shared" si="2"/>
        <v>111.7295197</v>
      </c>
      <c r="Q84" s="4">
        <f t="shared" si="3"/>
        <v>184.3118349</v>
      </c>
      <c r="V84" s="4">
        <f t="shared" si="4"/>
        <v>66.72423446</v>
      </c>
      <c r="W84" s="4">
        <f t="shared" si="5"/>
        <v>93.72951972</v>
      </c>
      <c r="X84" s="4">
        <f t="shared" si="6"/>
        <v>166.3118349</v>
      </c>
    </row>
    <row r="85">
      <c r="A85" s="3">
        <v>40735.0</v>
      </c>
      <c r="B85" s="2">
        <v>292.0</v>
      </c>
      <c r="C85" s="2">
        <v>10.0</v>
      </c>
      <c r="D85" s="2">
        <v>421.0</v>
      </c>
      <c r="E85" s="2">
        <v>354.0</v>
      </c>
      <c r="F85" s="2">
        <v>372.0</v>
      </c>
      <c r="G85" s="2">
        <v>10.0</v>
      </c>
      <c r="H85" s="2">
        <v>33.0</v>
      </c>
      <c r="I85" s="2">
        <v>157.0</v>
      </c>
      <c r="J85" s="2">
        <v>315.0</v>
      </c>
      <c r="K85" s="2">
        <v>231.0</v>
      </c>
      <c r="L85" s="4">
        <f t="shared" si="7"/>
        <v>129.6666667</v>
      </c>
      <c r="M85" s="4">
        <f t="shared" si="8"/>
        <v>-119.6666667</v>
      </c>
      <c r="N85" s="4">
        <f t="shared" si="9"/>
        <v>119.6666667</v>
      </c>
      <c r="O85" s="4">
        <f t="shared" si="1"/>
        <v>78.05181101</v>
      </c>
      <c r="P85" s="4">
        <f t="shared" si="2"/>
        <v>83.61066381</v>
      </c>
      <c r="Q85" s="4">
        <f t="shared" si="3"/>
        <v>101.1559175</v>
      </c>
      <c r="V85" s="4">
        <f t="shared" si="4"/>
        <v>68.05181101</v>
      </c>
      <c r="W85" s="4">
        <f t="shared" si="5"/>
        <v>73.61066381</v>
      </c>
      <c r="X85" s="4">
        <f t="shared" si="6"/>
        <v>91.15591746</v>
      </c>
    </row>
    <row r="86">
      <c r="A86" s="3">
        <v>40742.0</v>
      </c>
      <c r="B86" s="2">
        <v>340.0</v>
      </c>
      <c r="C86" s="2">
        <v>32.0</v>
      </c>
      <c r="D86" s="2">
        <v>732.0</v>
      </c>
      <c r="E86" s="2">
        <v>927.0</v>
      </c>
      <c r="F86" s="2">
        <v>519.0</v>
      </c>
      <c r="G86" s="2">
        <v>32.0</v>
      </c>
      <c r="H86" s="2">
        <v>133.0</v>
      </c>
      <c r="I86" s="2">
        <v>621.0</v>
      </c>
      <c r="J86" s="2">
        <v>307.0</v>
      </c>
      <c r="K86" s="2">
        <v>495.0</v>
      </c>
      <c r="L86" s="4">
        <f t="shared" si="7"/>
        <v>131</v>
      </c>
      <c r="M86" s="4">
        <f t="shared" si="8"/>
        <v>-99</v>
      </c>
      <c r="N86" s="4">
        <f t="shared" si="9"/>
        <v>99</v>
      </c>
      <c r="O86" s="4">
        <f t="shared" si="1"/>
        <v>71.24662991</v>
      </c>
      <c r="P86" s="4">
        <f t="shared" si="2"/>
        <v>61.52746466</v>
      </c>
      <c r="Q86" s="4">
        <f t="shared" si="3"/>
        <v>55.57795873</v>
      </c>
      <c r="V86" s="4">
        <f t="shared" si="4"/>
        <v>39.24662991</v>
      </c>
      <c r="W86" s="4">
        <f t="shared" si="5"/>
        <v>29.52746466</v>
      </c>
      <c r="X86" s="4">
        <f t="shared" si="6"/>
        <v>23.57795873</v>
      </c>
    </row>
    <row r="87">
      <c r="A87" s="3">
        <v>40749.0</v>
      </c>
      <c r="B87" s="2">
        <v>341.0</v>
      </c>
      <c r="C87" s="2">
        <v>287.0</v>
      </c>
      <c r="D87" s="2">
        <v>440.0</v>
      </c>
      <c r="E87" s="2">
        <v>520.0</v>
      </c>
      <c r="F87" s="2">
        <v>478.0</v>
      </c>
      <c r="G87" s="2">
        <v>287.0</v>
      </c>
      <c r="H87" s="2">
        <v>651.0</v>
      </c>
      <c r="I87" s="2">
        <v>436.0</v>
      </c>
      <c r="J87" s="2">
        <v>403.0</v>
      </c>
      <c r="K87" s="2">
        <v>385.0</v>
      </c>
      <c r="L87" s="4">
        <f t="shared" si="7"/>
        <v>20</v>
      </c>
      <c r="M87" s="4">
        <f t="shared" si="8"/>
        <v>267</v>
      </c>
      <c r="N87" s="4">
        <f t="shared" si="9"/>
        <v>267</v>
      </c>
      <c r="O87" s="4">
        <f t="shared" si="1"/>
        <v>67.32196692</v>
      </c>
      <c r="P87" s="4">
        <f t="shared" si="2"/>
        <v>52.66922527</v>
      </c>
      <c r="Q87" s="4">
        <f t="shared" si="3"/>
        <v>43.78897936</v>
      </c>
      <c r="V87" s="4">
        <f t="shared" si="4"/>
        <v>219.6780331</v>
      </c>
      <c r="W87" s="4">
        <f t="shared" si="5"/>
        <v>234.3307747</v>
      </c>
      <c r="X87" s="4">
        <f t="shared" si="6"/>
        <v>243.2110206</v>
      </c>
    </row>
    <row r="88">
      <c r="A88" s="3">
        <v>40756.0</v>
      </c>
      <c r="B88" s="2">
        <v>148.0</v>
      </c>
      <c r="C88" s="2">
        <v>161.0</v>
      </c>
      <c r="D88" s="2">
        <v>1040.0</v>
      </c>
      <c r="E88" s="2">
        <v>423.0</v>
      </c>
      <c r="F88" s="2">
        <v>3800.0</v>
      </c>
      <c r="G88" s="2">
        <v>161.0</v>
      </c>
      <c r="H88" s="2">
        <v>87.0</v>
      </c>
      <c r="I88" s="2">
        <v>2178.0</v>
      </c>
      <c r="J88" s="2">
        <v>382.0</v>
      </c>
      <c r="K88" s="2">
        <v>603.0</v>
      </c>
      <c r="L88" s="4">
        <f t="shared" si="7"/>
        <v>109.6666667</v>
      </c>
      <c r="M88" s="4">
        <f t="shared" si="8"/>
        <v>51.33333333</v>
      </c>
      <c r="N88" s="4">
        <f t="shared" si="9"/>
        <v>51.33333333</v>
      </c>
      <c r="O88" s="4">
        <f t="shared" si="1"/>
        <v>89.28977023</v>
      </c>
      <c r="P88" s="4">
        <f t="shared" si="2"/>
        <v>122.9684577</v>
      </c>
      <c r="Q88" s="4">
        <f t="shared" si="3"/>
        <v>165.3944897</v>
      </c>
      <c r="V88" s="4">
        <f t="shared" si="4"/>
        <v>71.71022977</v>
      </c>
      <c r="W88" s="4">
        <f t="shared" si="5"/>
        <v>38.03154231</v>
      </c>
      <c r="X88" s="4">
        <f t="shared" si="6"/>
        <v>4.394489682</v>
      </c>
    </row>
    <row r="89">
      <c r="A89" s="3">
        <v>40763.0</v>
      </c>
      <c r="B89" s="2">
        <v>177.0</v>
      </c>
      <c r="C89" s="2">
        <v>22.0</v>
      </c>
      <c r="D89" s="2">
        <v>1373.0</v>
      </c>
      <c r="E89" s="2">
        <v>280.0</v>
      </c>
      <c r="F89" s="2">
        <v>1323.0</v>
      </c>
      <c r="G89" s="2">
        <v>22.0</v>
      </c>
      <c r="H89" s="2">
        <v>135.0</v>
      </c>
      <c r="I89" s="2">
        <v>1735.0</v>
      </c>
      <c r="J89" s="2">
        <v>551.0</v>
      </c>
      <c r="K89" s="2">
        <v>725.0</v>
      </c>
      <c r="L89" s="4">
        <f t="shared" si="7"/>
        <v>160</v>
      </c>
      <c r="M89" s="4">
        <f t="shared" si="8"/>
        <v>-138</v>
      </c>
      <c r="N89" s="4">
        <f t="shared" si="9"/>
        <v>138</v>
      </c>
      <c r="O89" s="4">
        <f t="shared" si="1"/>
        <v>96.46079321</v>
      </c>
      <c r="P89" s="4">
        <f t="shared" si="2"/>
        <v>134.3779204</v>
      </c>
      <c r="Q89" s="4">
        <f t="shared" si="3"/>
        <v>163.1972448</v>
      </c>
      <c r="V89" s="4">
        <f t="shared" si="4"/>
        <v>74.46079321</v>
      </c>
      <c r="W89" s="4">
        <f t="shared" si="5"/>
        <v>112.3779204</v>
      </c>
      <c r="X89" s="4">
        <f t="shared" si="6"/>
        <v>141.1972448</v>
      </c>
    </row>
    <row r="90">
      <c r="A90" s="3">
        <v>40770.0</v>
      </c>
      <c r="B90" s="2">
        <v>210.0</v>
      </c>
      <c r="C90" s="2">
        <v>36.0</v>
      </c>
      <c r="D90" s="2">
        <v>1356.0</v>
      </c>
      <c r="E90" s="2">
        <v>402.0</v>
      </c>
      <c r="F90" s="2">
        <v>556.0</v>
      </c>
      <c r="G90" s="2">
        <v>36.0</v>
      </c>
      <c r="H90" s="2">
        <v>62.0</v>
      </c>
      <c r="I90" s="2">
        <v>518.0</v>
      </c>
      <c r="J90" s="2">
        <v>586.0</v>
      </c>
      <c r="K90" s="2">
        <v>423.0</v>
      </c>
      <c r="L90" s="4">
        <f t="shared" si="7"/>
        <v>156.6666667</v>
      </c>
      <c r="M90" s="4">
        <f t="shared" si="8"/>
        <v>-120.6666667</v>
      </c>
      <c r="N90" s="4">
        <f t="shared" si="9"/>
        <v>120.6666667</v>
      </c>
      <c r="O90" s="4">
        <f t="shared" si="1"/>
        <v>89.01471389</v>
      </c>
      <c r="P90" s="4">
        <f t="shared" si="2"/>
        <v>100.6645443</v>
      </c>
      <c r="Q90" s="4">
        <f t="shared" si="3"/>
        <v>92.59862242</v>
      </c>
      <c r="V90" s="4">
        <f t="shared" si="4"/>
        <v>53.01471389</v>
      </c>
      <c r="W90" s="4">
        <f t="shared" si="5"/>
        <v>64.66454427</v>
      </c>
      <c r="X90" s="4">
        <f t="shared" si="6"/>
        <v>56.59862242</v>
      </c>
    </row>
    <row r="91">
      <c r="A91" s="3">
        <v>40777.0</v>
      </c>
      <c r="B91" s="2">
        <v>241.0</v>
      </c>
      <c r="C91" s="2">
        <v>28.0</v>
      </c>
      <c r="D91" s="2">
        <v>1518.0</v>
      </c>
      <c r="E91" s="2">
        <v>470.0</v>
      </c>
      <c r="F91" s="2">
        <v>850.0</v>
      </c>
      <c r="G91" s="2">
        <v>28.0</v>
      </c>
      <c r="H91" s="2">
        <v>110.0</v>
      </c>
      <c r="I91" s="2">
        <v>826.0</v>
      </c>
      <c r="J91" s="2">
        <v>619.0</v>
      </c>
      <c r="K91" s="2">
        <v>340.0</v>
      </c>
      <c r="L91" s="4">
        <f t="shared" si="7"/>
        <v>73</v>
      </c>
      <c r="M91" s="4">
        <f t="shared" si="8"/>
        <v>-45</v>
      </c>
      <c r="N91" s="4">
        <f t="shared" si="9"/>
        <v>45</v>
      </c>
      <c r="O91" s="4">
        <f t="shared" si="1"/>
        <v>83.7132425</v>
      </c>
      <c r="P91" s="4">
        <f t="shared" si="2"/>
        <v>81.26518099</v>
      </c>
      <c r="Q91" s="4">
        <f t="shared" si="3"/>
        <v>64.29931121</v>
      </c>
      <c r="V91" s="4">
        <f t="shared" si="4"/>
        <v>55.7132425</v>
      </c>
      <c r="W91" s="4">
        <f t="shared" si="5"/>
        <v>53.26518099</v>
      </c>
      <c r="X91" s="4">
        <f t="shared" si="6"/>
        <v>36.29931121</v>
      </c>
    </row>
    <row r="92">
      <c r="A92" s="3">
        <v>40784.0</v>
      </c>
      <c r="B92" s="2">
        <v>146.0</v>
      </c>
      <c r="C92" s="2">
        <v>192.0</v>
      </c>
      <c r="D92" s="2">
        <v>717.0</v>
      </c>
      <c r="E92" s="2">
        <v>207.0</v>
      </c>
      <c r="F92" s="2">
        <v>216.0</v>
      </c>
      <c r="G92" s="2">
        <v>192.0</v>
      </c>
      <c r="H92" s="2">
        <v>210.0</v>
      </c>
      <c r="I92" s="2">
        <v>956.0</v>
      </c>
      <c r="J92" s="2">
        <v>248.0</v>
      </c>
      <c r="K92" s="2">
        <v>202.0</v>
      </c>
      <c r="L92" s="4">
        <f t="shared" si="7"/>
        <v>28.66666667</v>
      </c>
      <c r="M92" s="4">
        <f t="shared" si="8"/>
        <v>163.3333333</v>
      </c>
      <c r="N92" s="4">
        <f t="shared" si="9"/>
        <v>163.3333333</v>
      </c>
      <c r="O92" s="4">
        <f t="shared" si="1"/>
        <v>78.14191825</v>
      </c>
      <c r="P92" s="4">
        <f t="shared" si="2"/>
        <v>65.28562669</v>
      </c>
      <c r="Q92" s="4">
        <f t="shared" si="3"/>
        <v>46.14965561</v>
      </c>
      <c r="V92" s="4">
        <f t="shared" si="4"/>
        <v>113.8580818</v>
      </c>
      <c r="W92" s="4">
        <f t="shared" si="5"/>
        <v>126.7143733</v>
      </c>
      <c r="X92" s="4">
        <f t="shared" si="6"/>
        <v>145.8503444</v>
      </c>
    </row>
    <row r="93">
      <c r="A93" s="3">
        <v>40791.0</v>
      </c>
      <c r="B93" s="2">
        <v>149.0</v>
      </c>
      <c r="C93" s="2">
        <v>455.0</v>
      </c>
      <c r="D93" s="2">
        <v>556.0</v>
      </c>
      <c r="E93" s="2">
        <v>300.0</v>
      </c>
      <c r="F93" s="2">
        <v>488.0</v>
      </c>
      <c r="G93" s="2">
        <v>455.0</v>
      </c>
      <c r="H93" s="2">
        <v>70.0</v>
      </c>
      <c r="I93" s="2">
        <v>516.0</v>
      </c>
      <c r="J93" s="2">
        <v>657.0</v>
      </c>
      <c r="K93" s="2">
        <v>424.0</v>
      </c>
      <c r="L93" s="4">
        <f t="shared" si="7"/>
        <v>85.33333333</v>
      </c>
      <c r="M93" s="4">
        <f t="shared" si="8"/>
        <v>369.6666667</v>
      </c>
      <c r="N93" s="4">
        <f t="shared" si="9"/>
        <v>369.6666667</v>
      </c>
      <c r="O93" s="4">
        <f t="shared" si="1"/>
        <v>89.52772642</v>
      </c>
      <c r="P93" s="4">
        <f t="shared" si="2"/>
        <v>103.2999387</v>
      </c>
      <c r="Q93" s="4">
        <f t="shared" si="3"/>
        <v>119.0748278</v>
      </c>
      <c r="V93" s="4">
        <f t="shared" si="4"/>
        <v>365.4722736</v>
      </c>
      <c r="W93" s="4">
        <f t="shared" si="5"/>
        <v>351.7000613</v>
      </c>
      <c r="X93" s="4">
        <f t="shared" si="6"/>
        <v>335.9251722</v>
      </c>
    </row>
    <row r="94">
      <c r="A94" s="3">
        <v>40798.0</v>
      </c>
      <c r="B94" s="2">
        <v>218.0</v>
      </c>
      <c r="C94" s="2">
        <v>561.0</v>
      </c>
      <c r="D94" s="2">
        <v>743.0</v>
      </c>
      <c r="E94" s="2">
        <v>334.0</v>
      </c>
      <c r="F94" s="2">
        <v>908.0</v>
      </c>
      <c r="G94" s="2">
        <v>561.0</v>
      </c>
      <c r="H94" s="2">
        <v>262.0</v>
      </c>
      <c r="I94" s="2">
        <v>570.0</v>
      </c>
      <c r="J94" s="2">
        <v>478.0</v>
      </c>
      <c r="K94" s="2">
        <v>329.0</v>
      </c>
      <c r="L94" s="4">
        <f t="shared" si="7"/>
        <v>225</v>
      </c>
      <c r="M94" s="4">
        <f t="shared" si="8"/>
        <v>336</v>
      </c>
      <c r="N94" s="4">
        <f t="shared" si="9"/>
        <v>336</v>
      </c>
      <c r="O94" s="4">
        <f t="shared" si="1"/>
        <v>126.0749538</v>
      </c>
      <c r="P94" s="4">
        <f t="shared" si="2"/>
        <v>208.8099571</v>
      </c>
      <c r="Q94" s="4">
        <f t="shared" si="3"/>
        <v>287.0374139</v>
      </c>
      <c r="V94" s="4">
        <f t="shared" si="4"/>
        <v>434.9250462</v>
      </c>
      <c r="W94" s="4">
        <f t="shared" si="5"/>
        <v>352.1900429</v>
      </c>
      <c r="X94" s="4">
        <f t="shared" si="6"/>
        <v>273.9625861</v>
      </c>
    </row>
    <row r="95">
      <c r="A95" s="3">
        <v>40805.0</v>
      </c>
      <c r="B95" s="2">
        <v>147.0</v>
      </c>
      <c r="C95" s="2">
        <v>602.0</v>
      </c>
      <c r="D95" s="2">
        <v>1667.0</v>
      </c>
      <c r="E95" s="2">
        <v>158.0</v>
      </c>
      <c r="F95" s="2">
        <v>677.0</v>
      </c>
      <c r="G95" s="2">
        <v>602.0</v>
      </c>
      <c r="H95" s="2">
        <v>28.0</v>
      </c>
      <c r="I95" s="2">
        <v>682.0</v>
      </c>
      <c r="J95" s="2">
        <v>809.0</v>
      </c>
      <c r="K95" s="2">
        <v>482.0</v>
      </c>
      <c r="L95" s="4">
        <f t="shared" si="7"/>
        <v>402.6666667</v>
      </c>
      <c r="M95" s="4">
        <f t="shared" si="8"/>
        <v>199.3333333</v>
      </c>
      <c r="N95" s="4">
        <f t="shared" si="9"/>
        <v>199.3333333</v>
      </c>
      <c r="O95" s="4">
        <f t="shared" si="1"/>
        <v>169.5674584</v>
      </c>
      <c r="P95" s="4">
        <f t="shared" si="2"/>
        <v>314.46697</v>
      </c>
      <c r="Q95" s="4">
        <f t="shared" si="3"/>
        <v>424.018707</v>
      </c>
      <c r="V95" s="4">
        <f t="shared" si="4"/>
        <v>432.4325416</v>
      </c>
      <c r="W95" s="4">
        <f t="shared" si="5"/>
        <v>287.53303</v>
      </c>
      <c r="X95" s="4">
        <f t="shared" si="6"/>
        <v>177.981293</v>
      </c>
    </row>
    <row r="96">
      <c r="A96" s="3">
        <v>40812.0</v>
      </c>
      <c r="B96" s="2">
        <v>148.0</v>
      </c>
      <c r="C96" s="2">
        <v>359.0</v>
      </c>
      <c r="D96" s="2">
        <v>929.0</v>
      </c>
      <c r="E96" s="2">
        <v>209.0</v>
      </c>
      <c r="F96" s="2">
        <v>799.0</v>
      </c>
      <c r="G96" s="2">
        <v>359.0</v>
      </c>
      <c r="H96" s="2">
        <v>162.0</v>
      </c>
      <c r="I96" s="2">
        <v>1675.0</v>
      </c>
      <c r="J96" s="2">
        <v>665.0</v>
      </c>
      <c r="K96" s="2">
        <v>318.0</v>
      </c>
      <c r="L96" s="4">
        <f t="shared" si="7"/>
        <v>539.3333333</v>
      </c>
      <c r="M96" s="4">
        <f t="shared" si="8"/>
        <v>-180.3333333</v>
      </c>
      <c r="N96" s="4">
        <f t="shared" si="9"/>
        <v>180.3333333</v>
      </c>
      <c r="O96" s="4">
        <f t="shared" si="1"/>
        <v>212.8107126</v>
      </c>
      <c r="P96" s="4">
        <f t="shared" si="2"/>
        <v>400.726879</v>
      </c>
      <c r="Q96" s="4">
        <f t="shared" si="3"/>
        <v>513.0093535</v>
      </c>
      <c r="V96" s="4">
        <f t="shared" si="4"/>
        <v>146.1892874</v>
      </c>
      <c r="W96" s="4">
        <f t="shared" si="5"/>
        <v>41.72687897</v>
      </c>
      <c r="X96" s="4">
        <f t="shared" si="6"/>
        <v>154.0093535</v>
      </c>
    </row>
    <row r="97">
      <c r="A97" s="3">
        <v>40819.0</v>
      </c>
      <c r="B97" s="2">
        <v>409.0</v>
      </c>
      <c r="C97" s="2">
        <v>977.0</v>
      </c>
      <c r="D97" s="2">
        <v>2569.0</v>
      </c>
      <c r="E97" s="2">
        <v>183.0</v>
      </c>
      <c r="F97" s="2">
        <v>589.0</v>
      </c>
      <c r="G97" s="2">
        <v>977.0</v>
      </c>
      <c r="H97" s="2">
        <v>51.0</v>
      </c>
      <c r="I97" s="2">
        <v>835.0</v>
      </c>
      <c r="J97" s="2">
        <v>1649.0</v>
      </c>
      <c r="K97" s="2">
        <v>322.0</v>
      </c>
      <c r="L97" s="4">
        <f t="shared" si="7"/>
        <v>507.3333333</v>
      </c>
      <c r="M97" s="4">
        <f t="shared" si="8"/>
        <v>469.6666667</v>
      </c>
      <c r="N97" s="4">
        <f t="shared" si="9"/>
        <v>469.6666667</v>
      </c>
      <c r="O97" s="4">
        <f t="shared" si="1"/>
        <v>227.4296413</v>
      </c>
      <c r="P97" s="4">
        <f t="shared" si="2"/>
        <v>388.2088153</v>
      </c>
      <c r="Q97" s="4">
        <f t="shared" si="3"/>
        <v>436.0046767</v>
      </c>
      <c r="V97" s="4">
        <f t="shared" si="4"/>
        <v>749.5703587</v>
      </c>
      <c r="W97" s="4">
        <f t="shared" si="5"/>
        <v>588.7911847</v>
      </c>
      <c r="X97" s="4">
        <f t="shared" si="6"/>
        <v>540.9953233</v>
      </c>
    </row>
    <row r="98">
      <c r="A98" s="3">
        <v>40826.0</v>
      </c>
      <c r="B98" s="2">
        <v>181.0</v>
      </c>
      <c r="C98" s="2">
        <v>739.0</v>
      </c>
      <c r="D98" s="2">
        <v>647.0</v>
      </c>
      <c r="E98" s="2">
        <v>106.0</v>
      </c>
      <c r="F98" s="2">
        <v>420.0</v>
      </c>
      <c r="G98" s="2">
        <v>739.0</v>
      </c>
      <c r="H98" s="2">
        <v>150.0</v>
      </c>
      <c r="I98" s="2">
        <v>884.0</v>
      </c>
      <c r="J98" s="2">
        <v>237.0</v>
      </c>
      <c r="K98" s="2">
        <v>443.0</v>
      </c>
      <c r="L98" s="4">
        <f t="shared" si="7"/>
        <v>646</v>
      </c>
      <c r="M98" s="4">
        <f t="shared" si="8"/>
        <v>93</v>
      </c>
      <c r="N98" s="4">
        <f t="shared" si="9"/>
        <v>93</v>
      </c>
      <c r="O98" s="4">
        <f t="shared" si="1"/>
        <v>302.3866772</v>
      </c>
      <c r="P98" s="4">
        <f t="shared" si="2"/>
        <v>564.8461707</v>
      </c>
      <c r="Q98" s="4">
        <f t="shared" si="3"/>
        <v>706.5023384</v>
      </c>
      <c r="V98" s="4">
        <f t="shared" si="4"/>
        <v>436.6133228</v>
      </c>
      <c r="W98" s="4">
        <f t="shared" si="5"/>
        <v>174.1538293</v>
      </c>
      <c r="X98" s="4">
        <f t="shared" si="6"/>
        <v>32.49766163</v>
      </c>
    </row>
    <row r="99">
      <c r="A99" s="3">
        <v>40833.0</v>
      </c>
      <c r="B99" s="2">
        <v>268.0</v>
      </c>
      <c r="C99" s="2">
        <v>756.0</v>
      </c>
      <c r="D99" s="2">
        <v>1045.0</v>
      </c>
      <c r="E99" s="2">
        <v>211.0</v>
      </c>
      <c r="F99" s="2">
        <v>829.0</v>
      </c>
      <c r="G99" s="2">
        <v>756.0</v>
      </c>
      <c r="H99" s="2">
        <v>109.0</v>
      </c>
      <c r="I99" s="2">
        <v>1164.0</v>
      </c>
      <c r="J99" s="2">
        <v>334.0</v>
      </c>
      <c r="K99" s="2">
        <v>276.0</v>
      </c>
      <c r="L99" s="4">
        <f t="shared" si="7"/>
        <v>691.6666667</v>
      </c>
      <c r="M99" s="4">
        <f t="shared" si="8"/>
        <v>64.33333333</v>
      </c>
      <c r="N99" s="4">
        <f t="shared" si="9"/>
        <v>64.33333333</v>
      </c>
      <c r="O99" s="4">
        <f t="shared" si="1"/>
        <v>346.0480095</v>
      </c>
      <c r="P99" s="4">
        <f t="shared" si="2"/>
        <v>617.0923195</v>
      </c>
      <c r="Q99" s="4">
        <f t="shared" si="3"/>
        <v>722.7511692</v>
      </c>
      <c r="V99" s="4">
        <f t="shared" si="4"/>
        <v>409.9519905</v>
      </c>
      <c r="W99" s="4">
        <f t="shared" si="5"/>
        <v>138.9076805</v>
      </c>
      <c r="X99" s="4">
        <f t="shared" si="6"/>
        <v>33.24883082</v>
      </c>
    </row>
    <row r="100">
      <c r="A100" s="3">
        <v>40840.0</v>
      </c>
      <c r="B100" s="2">
        <v>135.0</v>
      </c>
      <c r="C100" s="2">
        <v>644.0</v>
      </c>
      <c r="D100" s="2">
        <v>500.0</v>
      </c>
      <c r="E100" s="2">
        <v>78.0</v>
      </c>
      <c r="F100" s="2">
        <v>778.0</v>
      </c>
      <c r="G100" s="2">
        <v>644.0</v>
      </c>
      <c r="H100" s="2">
        <v>431.0</v>
      </c>
      <c r="I100" s="2">
        <v>2775.0</v>
      </c>
      <c r="J100" s="2">
        <v>643.0</v>
      </c>
      <c r="K100" s="2">
        <v>314.0</v>
      </c>
      <c r="L100" s="4">
        <f t="shared" si="7"/>
        <v>824</v>
      </c>
      <c r="M100" s="4">
        <f t="shared" si="8"/>
        <v>-180</v>
      </c>
      <c r="N100" s="4">
        <f t="shared" si="9"/>
        <v>180</v>
      </c>
      <c r="O100" s="4">
        <f t="shared" si="1"/>
        <v>387.0432085</v>
      </c>
      <c r="P100" s="4">
        <f t="shared" si="2"/>
        <v>658.7646236</v>
      </c>
      <c r="Q100" s="4">
        <f t="shared" si="3"/>
        <v>739.3755846</v>
      </c>
      <c r="V100" s="4">
        <f t="shared" si="4"/>
        <v>256.9567915</v>
      </c>
      <c r="W100" s="4">
        <f t="shared" si="5"/>
        <v>14.76462364</v>
      </c>
      <c r="X100" s="4">
        <f t="shared" si="6"/>
        <v>95.37558459</v>
      </c>
    </row>
    <row r="101">
      <c r="A101" s="3">
        <v>40847.0</v>
      </c>
      <c r="B101" s="2">
        <v>279.0</v>
      </c>
      <c r="C101" s="2">
        <v>1745.0</v>
      </c>
      <c r="D101" s="2">
        <v>1063.0</v>
      </c>
      <c r="E101" s="2">
        <v>102.0</v>
      </c>
      <c r="F101" s="2">
        <v>968.0</v>
      </c>
      <c r="G101" s="2">
        <v>1745.0</v>
      </c>
      <c r="H101" s="2">
        <v>166.0</v>
      </c>
      <c r="I101" s="2">
        <v>1156.0</v>
      </c>
      <c r="J101" s="2">
        <v>313.0</v>
      </c>
      <c r="K101" s="2">
        <v>223.0</v>
      </c>
      <c r="L101" s="4">
        <f t="shared" si="7"/>
        <v>713</v>
      </c>
      <c r="M101" s="4">
        <f t="shared" si="8"/>
        <v>1032</v>
      </c>
      <c r="N101" s="4">
        <f t="shared" si="9"/>
        <v>1032</v>
      </c>
      <c r="O101" s="4">
        <f t="shared" si="1"/>
        <v>412.7388877</v>
      </c>
      <c r="P101" s="4">
        <f t="shared" si="2"/>
        <v>654.3352365</v>
      </c>
      <c r="Q101" s="4">
        <f t="shared" si="3"/>
        <v>691.6877923</v>
      </c>
      <c r="V101" s="4">
        <f t="shared" si="4"/>
        <v>1332.261112</v>
      </c>
      <c r="W101" s="4">
        <f t="shared" si="5"/>
        <v>1090.664763</v>
      </c>
      <c r="X101" s="4">
        <f t="shared" si="6"/>
        <v>1053.312208</v>
      </c>
    </row>
    <row r="102">
      <c r="A102" s="3">
        <v>40854.0</v>
      </c>
      <c r="B102" s="2">
        <v>167.0</v>
      </c>
      <c r="C102" s="2">
        <v>1436.0</v>
      </c>
      <c r="D102" s="2">
        <v>2100.0</v>
      </c>
      <c r="E102" s="2">
        <v>135.0</v>
      </c>
      <c r="F102" s="2">
        <v>1748.0</v>
      </c>
      <c r="G102" s="2">
        <v>1436.0</v>
      </c>
      <c r="H102" s="2">
        <v>482.0</v>
      </c>
      <c r="I102" s="2">
        <v>3900.0</v>
      </c>
      <c r="J102" s="2">
        <v>416.0</v>
      </c>
      <c r="K102" s="2">
        <v>556.0</v>
      </c>
      <c r="L102" s="4">
        <f t="shared" si="7"/>
        <v>1048.333333</v>
      </c>
      <c r="M102" s="4">
        <f t="shared" si="8"/>
        <v>387.6666667</v>
      </c>
      <c r="N102" s="4">
        <f t="shared" si="9"/>
        <v>387.6666667</v>
      </c>
      <c r="O102" s="4">
        <f t="shared" si="1"/>
        <v>545.9649989</v>
      </c>
      <c r="P102" s="4">
        <f t="shared" si="2"/>
        <v>981.5346656</v>
      </c>
      <c r="Q102" s="4">
        <f t="shared" si="3"/>
        <v>1218.343896</v>
      </c>
      <c r="V102" s="4">
        <f t="shared" si="4"/>
        <v>890.0350011</v>
      </c>
      <c r="W102" s="4">
        <f t="shared" si="5"/>
        <v>454.4653344</v>
      </c>
      <c r="X102" s="4">
        <f t="shared" si="6"/>
        <v>217.6561039</v>
      </c>
    </row>
    <row r="103">
      <c r="A103" s="3">
        <v>40861.0</v>
      </c>
      <c r="B103" s="2">
        <v>235.0</v>
      </c>
      <c r="C103" s="2">
        <v>2161.0</v>
      </c>
      <c r="D103" s="2">
        <v>1602.0</v>
      </c>
      <c r="E103" s="2">
        <v>218.0</v>
      </c>
      <c r="F103" s="2">
        <v>1326.0</v>
      </c>
      <c r="G103" s="2">
        <v>2161.0</v>
      </c>
      <c r="H103" s="2">
        <v>389.0</v>
      </c>
      <c r="I103" s="2">
        <v>3145.0</v>
      </c>
      <c r="J103" s="2">
        <v>522.0</v>
      </c>
      <c r="K103" s="2">
        <v>650.0</v>
      </c>
      <c r="L103" s="4">
        <f t="shared" si="7"/>
        <v>1275</v>
      </c>
      <c r="M103" s="4">
        <f t="shared" si="8"/>
        <v>886</v>
      </c>
      <c r="N103" s="4">
        <f t="shared" si="9"/>
        <v>886</v>
      </c>
      <c r="O103" s="4">
        <f t="shared" si="1"/>
        <v>634.968499</v>
      </c>
      <c r="P103" s="4">
        <f t="shared" si="2"/>
        <v>1117.874266</v>
      </c>
      <c r="Q103" s="4">
        <f t="shared" si="3"/>
        <v>1327.171948</v>
      </c>
      <c r="V103" s="4">
        <f t="shared" si="4"/>
        <v>1526.031501</v>
      </c>
      <c r="W103" s="4">
        <f t="shared" si="5"/>
        <v>1043.125734</v>
      </c>
      <c r="X103" s="4">
        <f t="shared" si="6"/>
        <v>833.8280519</v>
      </c>
    </row>
    <row r="104">
      <c r="A104" s="3">
        <v>40868.0</v>
      </c>
      <c r="B104" s="2">
        <v>249.0</v>
      </c>
      <c r="C104" s="2">
        <v>1692.0</v>
      </c>
      <c r="D104" s="2">
        <v>753.0</v>
      </c>
      <c r="E104" s="2">
        <v>455.0</v>
      </c>
      <c r="F104" s="2">
        <v>1037.0</v>
      </c>
      <c r="G104" s="2">
        <v>1692.0</v>
      </c>
      <c r="H104" s="2">
        <v>959.0</v>
      </c>
      <c r="I104" s="2">
        <v>2755.0</v>
      </c>
      <c r="J104" s="2">
        <v>253.0</v>
      </c>
      <c r="K104" s="2">
        <v>276.0</v>
      </c>
      <c r="L104" s="4">
        <f t="shared" si="7"/>
        <v>1780.666667</v>
      </c>
      <c r="M104" s="4">
        <f t="shared" si="8"/>
        <v>-88.66666667</v>
      </c>
      <c r="N104" s="4">
        <f t="shared" si="9"/>
        <v>88.66666667</v>
      </c>
      <c r="O104" s="4">
        <f t="shared" si="1"/>
        <v>787.5716491</v>
      </c>
      <c r="P104" s="4">
        <f t="shared" si="2"/>
        <v>1430.811986</v>
      </c>
      <c r="Q104" s="4">
        <f t="shared" si="3"/>
        <v>1744.085974</v>
      </c>
      <c r="V104" s="4">
        <f t="shared" si="4"/>
        <v>904.4283509</v>
      </c>
      <c r="W104" s="4">
        <f t="shared" si="5"/>
        <v>261.1880139</v>
      </c>
      <c r="X104" s="4">
        <f t="shared" si="6"/>
        <v>52.08597404</v>
      </c>
    </row>
    <row r="105">
      <c r="A105" s="3">
        <v>40875.0</v>
      </c>
      <c r="B105" s="2">
        <v>226.0</v>
      </c>
      <c r="C105" s="2">
        <v>1564.0</v>
      </c>
      <c r="D105" s="2">
        <v>1040.0</v>
      </c>
      <c r="E105" s="2">
        <v>105.0</v>
      </c>
      <c r="F105" s="2">
        <v>953.0</v>
      </c>
      <c r="G105" s="2">
        <v>1564.0</v>
      </c>
      <c r="H105" s="2">
        <v>314.0</v>
      </c>
      <c r="I105" s="2">
        <v>3275.0</v>
      </c>
      <c r="J105" s="2">
        <v>436.0</v>
      </c>
      <c r="K105" s="2">
        <v>331.0</v>
      </c>
      <c r="L105" s="4">
        <f t="shared" si="7"/>
        <v>1763</v>
      </c>
      <c r="M105" s="4">
        <f t="shared" si="8"/>
        <v>-199</v>
      </c>
      <c r="N105" s="4">
        <f t="shared" si="9"/>
        <v>199</v>
      </c>
      <c r="O105" s="4">
        <f t="shared" si="1"/>
        <v>878.0144842</v>
      </c>
      <c r="P105" s="4">
        <f t="shared" si="2"/>
        <v>1509.16839</v>
      </c>
      <c r="Q105" s="4">
        <f t="shared" si="3"/>
        <v>1718.042987</v>
      </c>
      <c r="V105" s="4">
        <f t="shared" si="4"/>
        <v>685.9855158</v>
      </c>
      <c r="W105" s="4">
        <f t="shared" si="5"/>
        <v>54.8316097</v>
      </c>
      <c r="X105" s="4">
        <f t="shared" si="6"/>
        <v>154.042987</v>
      </c>
    </row>
    <row r="106">
      <c r="T106" s="1" t="s">
        <v>21</v>
      </c>
      <c r="U106" s="5">
        <f>AVERAGE(N94:N105)</f>
        <v>343</v>
      </c>
    </row>
    <row r="107">
      <c r="T107" s="1" t="s">
        <v>22</v>
      </c>
      <c r="U107" s="5">
        <f>AVERAGE(V94:V105)</f>
        <v>683.781735</v>
      </c>
    </row>
    <row r="108">
      <c r="T108" s="1" t="s">
        <v>23</v>
      </c>
      <c r="U108" s="5">
        <f>AVERAGE(W94:W105)</f>
        <v>375.1952271</v>
      </c>
    </row>
    <row r="109">
      <c r="T109" s="1" t="s">
        <v>24</v>
      </c>
      <c r="U109" s="5">
        <f>AVERAGE(X94:X105)</f>
        <v>301.5829965</v>
      </c>
    </row>
    <row r="111">
      <c r="V111" s="1" t="s">
        <v>25</v>
      </c>
      <c r="W111" s="1" t="s">
        <v>26</v>
      </c>
    </row>
    <row r="112">
      <c r="V112" s="4">
        <f>AVERAGE(C2:C105)</f>
        <v>299.125</v>
      </c>
      <c r="W112" s="4">
        <f>STDEV(C2:C105)</f>
        <v>522.8001286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0.1</v>
      </c>
      <c r="V1" s="1" t="s">
        <v>18</v>
      </c>
      <c r="W1" s="1" t="s">
        <v>19</v>
      </c>
      <c r="X1" s="1" t="s">
        <v>20</v>
      </c>
    </row>
    <row r="2">
      <c r="A2" s="3">
        <v>40154.0</v>
      </c>
      <c r="B2" s="2">
        <v>0.0</v>
      </c>
      <c r="C2" s="2">
        <v>19.0</v>
      </c>
      <c r="D2" s="2">
        <v>1233.0</v>
      </c>
      <c r="E2" s="2">
        <v>19.0</v>
      </c>
      <c r="F2" s="2">
        <v>1213.0</v>
      </c>
      <c r="G2" s="2">
        <v>663.0</v>
      </c>
      <c r="H2" s="2">
        <v>175.0</v>
      </c>
      <c r="I2" s="2">
        <v>153.0</v>
      </c>
      <c r="J2" s="2">
        <v>0.0</v>
      </c>
      <c r="K2" s="2">
        <v>324.0</v>
      </c>
      <c r="O2" s="4">
        <f>(C2)</f>
        <v>19</v>
      </c>
      <c r="P2" s="4">
        <f>(C2)</f>
        <v>19</v>
      </c>
      <c r="Q2" s="4">
        <f>(C2)</f>
        <v>19</v>
      </c>
      <c r="S2" s="2">
        <v>0.3</v>
      </c>
    </row>
    <row r="3">
      <c r="A3" s="3">
        <v>40161.0</v>
      </c>
      <c r="B3" s="2">
        <v>0.0</v>
      </c>
      <c r="C3" s="2">
        <v>52.0</v>
      </c>
      <c r="D3" s="2">
        <v>1304.0</v>
      </c>
      <c r="E3" s="2">
        <v>52.0</v>
      </c>
      <c r="F3" s="2">
        <v>1324.0</v>
      </c>
      <c r="G3" s="2">
        <v>572.0</v>
      </c>
      <c r="H3" s="2">
        <v>173.0</v>
      </c>
      <c r="I3" s="2">
        <v>644.0</v>
      </c>
      <c r="J3" s="2">
        <v>0.0</v>
      </c>
      <c r="K3" s="2">
        <v>236.0</v>
      </c>
      <c r="O3" s="4">
        <f t="shared" ref="O3:O105" si="1">($S$1*C2+(1-$S$1)*O2)</f>
        <v>19</v>
      </c>
      <c r="P3" s="4">
        <f t="shared" ref="P3:P105" si="2">($S$2*C2+(1-$S$2)*P2)</f>
        <v>19</v>
      </c>
      <c r="Q3" s="4">
        <f t="shared" ref="Q3:Q105" si="3">($S$3*C2+(1-$S$3)*Q2)</f>
        <v>19</v>
      </c>
      <c r="S3" s="2">
        <v>0.5</v>
      </c>
      <c r="V3" s="4">
        <f t="shared" ref="V3:V105" si="4">ABS(C3-O3)</f>
        <v>33</v>
      </c>
      <c r="W3" s="4">
        <f t="shared" ref="W3:W105" si="5">ABS(C3-P3)</f>
        <v>33</v>
      </c>
      <c r="X3" s="4">
        <f t="shared" ref="X3:X105" si="6">ABS(C3-Q3)</f>
        <v>33</v>
      </c>
    </row>
    <row r="4">
      <c r="A4" s="3">
        <v>40168.0</v>
      </c>
      <c r="B4" s="2">
        <v>0.0</v>
      </c>
      <c r="C4" s="2">
        <v>1.0</v>
      </c>
      <c r="D4" s="2">
        <v>36.0</v>
      </c>
      <c r="E4" s="2">
        <v>1.0</v>
      </c>
      <c r="F4" s="2">
        <v>82.0</v>
      </c>
      <c r="G4" s="2">
        <v>69.0</v>
      </c>
      <c r="H4" s="2">
        <v>19.0</v>
      </c>
      <c r="I4" s="2">
        <v>2.0</v>
      </c>
      <c r="J4" s="2">
        <v>0.0</v>
      </c>
      <c r="K4" s="2">
        <v>111.0</v>
      </c>
      <c r="O4" s="4">
        <f t="shared" si="1"/>
        <v>22.3</v>
      </c>
      <c r="P4" s="4">
        <f t="shared" si="2"/>
        <v>28.9</v>
      </c>
      <c r="Q4" s="4">
        <f t="shared" si="3"/>
        <v>35.5</v>
      </c>
      <c r="V4" s="4">
        <f t="shared" si="4"/>
        <v>21.3</v>
      </c>
      <c r="W4" s="4">
        <f t="shared" si="5"/>
        <v>27.9</v>
      </c>
      <c r="X4" s="4">
        <f t="shared" si="6"/>
        <v>34.5</v>
      </c>
    </row>
    <row r="5">
      <c r="A5" s="3">
        <v>40175.0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f t="shared" ref="L5:L105" si="7">AVERAGE(C2:C4)</f>
        <v>24</v>
      </c>
      <c r="M5" s="4">
        <f t="shared" ref="M5:M105" si="8">(C5-L5)</f>
        <v>-24</v>
      </c>
      <c r="N5" s="4">
        <f t="shared" ref="N5:N105" si="9">ABS(M5)</f>
        <v>24</v>
      </c>
      <c r="O5" s="4">
        <f t="shared" si="1"/>
        <v>20.17</v>
      </c>
      <c r="P5" s="4">
        <f t="shared" si="2"/>
        <v>20.53</v>
      </c>
      <c r="Q5" s="4">
        <f t="shared" si="3"/>
        <v>18.25</v>
      </c>
      <c r="V5" s="4">
        <f t="shared" si="4"/>
        <v>20.17</v>
      </c>
      <c r="W5" s="4">
        <f t="shared" si="5"/>
        <v>20.53</v>
      </c>
      <c r="X5" s="4">
        <f t="shared" si="6"/>
        <v>18.25</v>
      </c>
    </row>
    <row r="6">
      <c r="A6" s="3">
        <v>40182.0</v>
      </c>
      <c r="B6" s="2">
        <v>0.0</v>
      </c>
      <c r="C6" s="2">
        <v>47.0</v>
      </c>
      <c r="D6" s="2">
        <v>1152.0</v>
      </c>
      <c r="E6" s="2">
        <v>47.0</v>
      </c>
      <c r="F6" s="2">
        <v>168.0</v>
      </c>
      <c r="G6" s="2">
        <v>0.0</v>
      </c>
      <c r="H6" s="2">
        <v>17.0</v>
      </c>
      <c r="I6" s="2">
        <v>21.0</v>
      </c>
      <c r="J6" s="2">
        <v>0.0</v>
      </c>
      <c r="K6" s="2">
        <v>324.0</v>
      </c>
      <c r="L6" s="4">
        <f t="shared" si="7"/>
        <v>17.66666667</v>
      </c>
      <c r="M6" s="4">
        <f t="shared" si="8"/>
        <v>29.33333333</v>
      </c>
      <c r="N6" s="4">
        <f t="shared" si="9"/>
        <v>29.33333333</v>
      </c>
      <c r="O6" s="4">
        <f t="shared" si="1"/>
        <v>18.153</v>
      </c>
      <c r="P6" s="4">
        <f t="shared" si="2"/>
        <v>14.371</v>
      </c>
      <c r="Q6" s="4">
        <f t="shared" si="3"/>
        <v>9.125</v>
      </c>
      <c r="V6" s="4">
        <f t="shared" si="4"/>
        <v>28.847</v>
      </c>
      <c r="W6" s="4">
        <f t="shared" si="5"/>
        <v>32.629</v>
      </c>
      <c r="X6" s="4">
        <f t="shared" si="6"/>
        <v>37.875</v>
      </c>
    </row>
    <row r="7">
      <c r="A7" s="3">
        <v>40189.0</v>
      </c>
      <c r="B7" s="2">
        <v>0.0</v>
      </c>
      <c r="C7" s="2">
        <v>64.0</v>
      </c>
      <c r="D7" s="2">
        <v>928.0</v>
      </c>
      <c r="E7" s="2">
        <v>64.0</v>
      </c>
      <c r="F7" s="2">
        <v>233.0</v>
      </c>
      <c r="G7" s="2">
        <v>20.0</v>
      </c>
      <c r="H7" s="2">
        <v>23.0</v>
      </c>
      <c r="I7" s="2">
        <v>72.0</v>
      </c>
      <c r="J7" s="2">
        <v>0.0</v>
      </c>
      <c r="K7" s="2">
        <v>190.0</v>
      </c>
      <c r="L7" s="4">
        <f t="shared" si="7"/>
        <v>16</v>
      </c>
      <c r="M7" s="4">
        <f t="shared" si="8"/>
        <v>48</v>
      </c>
      <c r="N7" s="4">
        <f t="shared" si="9"/>
        <v>48</v>
      </c>
      <c r="O7" s="4">
        <f t="shared" si="1"/>
        <v>21.0377</v>
      </c>
      <c r="P7" s="4">
        <f t="shared" si="2"/>
        <v>24.1597</v>
      </c>
      <c r="Q7" s="4">
        <f t="shared" si="3"/>
        <v>28.0625</v>
      </c>
      <c r="V7" s="4">
        <f t="shared" si="4"/>
        <v>42.9623</v>
      </c>
      <c r="W7" s="4">
        <f t="shared" si="5"/>
        <v>39.8403</v>
      </c>
      <c r="X7" s="4">
        <f t="shared" si="6"/>
        <v>35.9375</v>
      </c>
    </row>
    <row r="8">
      <c r="A8" s="3">
        <v>40196.0</v>
      </c>
      <c r="B8" s="2">
        <v>0.0</v>
      </c>
      <c r="C8" s="2">
        <v>49.0</v>
      </c>
      <c r="D8" s="2">
        <v>627.0</v>
      </c>
      <c r="E8" s="2">
        <v>49.0</v>
      </c>
      <c r="F8" s="2">
        <v>897.0</v>
      </c>
      <c r="G8" s="2">
        <v>3.0</v>
      </c>
      <c r="H8" s="2">
        <v>0.0</v>
      </c>
      <c r="I8" s="2">
        <v>23.0</v>
      </c>
      <c r="J8" s="2">
        <v>0.0</v>
      </c>
      <c r="K8" s="2">
        <v>479.0</v>
      </c>
      <c r="L8" s="4">
        <f t="shared" si="7"/>
        <v>37</v>
      </c>
      <c r="M8" s="4">
        <f t="shared" si="8"/>
        <v>12</v>
      </c>
      <c r="N8" s="4">
        <f t="shared" si="9"/>
        <v>12</v>
      </c>
      <c r="O8" s="4">
        <f t="shared" si="1"/>
        <v>25.33393</v>
      </c>
      <c r="P8" s="4">
        <f t="shared" si="2"/>
        <v>36.11179</v>
      </c>
      <c r="Q8" s="4">
        <f t="shared" si="3"/>
        <v>46.03125</v>
      </c>
      <c r="V8" s="4">
        <f t="shared" si="4"/>
        <v>23.66607</v>
      </c>
      <c r="W8" s="4">
        <f t="shared" si="5"/>
        <v>12.88821</v>
      </c>
      <c r="X8" s="4">
        <f t="shared" si="6"/>
        <v>2.96875</v>
      </c>
    </row>
    <row r="9">
      <c r="A9" s="3">
        <v>40203.0</v>
      </c>
      <c r="B9" s="2">
        <v>0.0</v>
      </c>
      <c r="C9" s="2">
        <v>186.0</v>
      </c>
      <c r="D9" s="2">
        <v>864.0</v>
      </c>
      <c r="E9" s="2">
        <v>186.0</v>
      </c>
      <c r="F9" s="2">
        <v>211.0</v>
      </c>
      <c r="G9" s="2">
        <v>0.0</v>
      </c>
      <c r="H9" s="2">
        <v>0.0</v>
      </c>
      <c r="I9" s="2">
        <v>621.0</v>
      </c>
      <c r="J9" s="2">
        <v>114.0</v>
      </c>
      <c r="K9" s="2">
        <v>504.0</v>
      </c>
      <c r="L9" s="4">
        <f t="shared" si="7"/>
        <v>53.33333333</v>
      </c>
      <c r="M9" s="4">
        <f t="shared" si="8"/>
        <v>132.6666667</v>
      </c>
      <c r="N9" s="4">
        <f t="shared" si="9"/>
        <v>132.6666667</v>
      </c>
      <c r="O9" s="4">
        <f t="shared" si="1"/>
        <v>27.700537</v>
      </c>
      <c r="P9" s="4">
        <f t="shared" si="2"/>
        <v>39.978253</v>
      </c>
      <c r="Q9" s="4">
        <f t="shared" si="3"/>
        <v>47.515625</v>
      </c>
      <c r="V9" s="4">
        <f t="shared" si="4"/>
        <v>158.299463</v>
      </c>
      <c r="W9" s="4">
        <f t="shared" si="5"/>
        <v>146.021747</v>
      </c>
      <c r="X9" s="4">
        <f t="shared" si="6"/>
        <v>138.484375</v>
      </c>
    </row>
    <row r="10">
      <c r="A10" s="3">
        <v>40210.0</v>
      </c>
      <c r="B10" s="2">
        <v>0.0</v>
      </c>
      <c r="C10" s="2">
        <v>53.0</v>
      </c>
      <c r="D10" s="2">
        <v>488.0</v>
      </c>
      <c r="E10" s="2">
        <v>53.0</v>
      </c>
      <c r="F10" s="2">
        <v>274.0</v>
      </c>
      <c r="G10" s="2">
        <v>0.0</v>
      </c>
      <c r="H10" s="2">
        <v>24.0</v>
      </c>
      <c r="I10" s="2">
        <v>81.0</v>
      </c>
      <c r="J10" s="2">
        <v>338.0</v>
      </c>
      <c r="K10" s="2">
        <v>326.0</v>
      </c>
      <c r="L10" s="4">
        <f t="shared" si="7"/>
        <v>99.66666667</v>
      </c>
      <c r="M10" s="4">
        <f t="shared" si="8"/>
        <v>-46.66666667</v>
      </c>
      <c r="N10" s="4">
        <f t="shared" si="9"/>
        <v>46.66666667</v>
      </c>
      <c r="O10" s="4">
        <f t="shared" si="1"/>
        <v>43.5304833</v>
      </c>
      <c r="P10" s="4">
        <f t="shared" si="2"/>
        <v>83.7847771</v>
      </c>
      <c r="Q10" s="4">
        <f t="shared" si="3"/>
        <v>116.7578125</v>
      </c>
      <c r="V10" s="4">
        <f t="shared" si="4"/>
        <v>9.4695167</v>
      </c>
      <c r="W10" s="4">
        <f t="shared" si="5"/>
        <v>30.7847771</v>
      </c>
      <c r="X10" s="4">
        <f t="shared" si="6"/>
        <v>63.7578125</v>
      </c>
    </row>
    <row r="11">
      <c r="A11" s="3">
        <v>40217.0</v>
      </c>
      <c r="B11" s="2">
        <v>0.0</v>
      </c>
      <c r="C11" s="2">
        <v>51.0</v>
      </c>
      <c r="D11" s="2">
        <v>547.0</v>
      </c>
      <c r="E11" s="2">
        <v>51.0</v>
      </c>
      <c r="F11" s="2">
        <v>512.0</v>
      </c>
      <c r="G11" s="2">
        <v>0.0</v>
      </c>
      <c r="H11" s="2">
        <v>0.0</v>
      </c>
      <c r="I11" s="2">
        <v>68.0</v>
      </c>
      <c r="J11" s="2">
        <v>314.0</v>
      </c>
      <c r="K11" s="2">
        <v>213.0</v>
      </c>
      <c r="L11" s="4">
        <f t="shared" si="7"/>
        <v>96</v>
      </c>
      <c r="M11" s="4">
        <f t="shared" si="8"/>
        <v>-45</v>
      </c>
      <c r="N11" s="4">
        <f t="shared" si="9"/>
        <v>45</v>
      </c>
      <c r="O11" s="4">
        <f t="shared" si="1"/>
        <v>44.47743497</v>
      </c>
      <c r="P11" s="4">
        <f t="shared" si="2"/>
        <v>74.54934397</v>
      </c>
      <c r="Q11" s="4">
        <f t="shared" si="3"/>
        <v>84.87890625</v>
      </c>
      <c r="V11" s="4">
        <f t="shared" si="4"/>
        <v>6.52256503</v>
      </c>
      <c r="W11" s="4">
        <f t="shared" si="5"/>
        <v>23.54934397</v>
      </c>
      <c r="X11" s="4">
        <f t="shared" si="6"/>
        <v>33.87890625</v>
      </c>
    </row>
    <row r="12">
      <c r="A12" s="3">
        <v>40224.0</v>
      </c>
      <c r="B12" s="2">
        <v>0.0</v>
      </c>
      <c r="C12" s="2">
        <v>159.0</v>
      </c>
      <c r="D12" s="2">
        <v>1014.0</v>
      </c>
      <c r="E12" s="2">
        <v>159.0</v>
      </c>
      <c r="F12" s="2">
        <v>587.0</v>
      </c>
      <c r="G12" s="2">
        <v>0.0</v>
      </c>
      <c r="H12" s="2">
        <v>1.0</v>
      </c>
      <c r="I12" s="2">
        <v>19.0</v>
      </c>
      <c r="J12" s="2">
        <v>720.0</v>
      </c>
      <c r="K12" s="2">
        <v>442.0</v>
      </c>
      <c r="L12" s="4">
        <f t="shared" si="7"/>
        <v>96.66666667</v>
      </c>
      <c r="M12" s="4">
        <f t="shared" si="8"/>
        <v>62.33333333</v>
      </c>
      <c r="N12" s="4">
        <f t="shared" si="9"/>
        <v>62.33333333</v>
      </c>
      <c r="O12" s="4">
        <f t="shared" si="1"/>
        <v>45.12969147</v>
      </c>
      <c r="P12" s="4">
        <f t="shared" si="2"/>
        <v>67.48454078</v>
      </c>
      <c r="Q12" s="4">
        <f t="shared" si="3"/>
        <v>67.93945313</v>
      </c>
      <c r="V12" s="4">
        <f t="shared" si="4"/>
        <v>113.8703085</v>
      </c>
      <c r="W12" s="4">
        <f t="shared" si="5"/>
        <v>91.51545922</v>
      </c>
      <c r="X12" s="4">
        <f t="shared" si="6"/>
        <v>91.06054688</v>
      </c>
    </row>
    <row r="13">
      <c r="A13" s="3">
        <v>40231.0</v>
      </c>
      <c r="B13" s="2">
        <v>0.0</v>
      </c>
      <c r="C13" s="2">
        <v>79.0</v>
      </c>
      <c r="D13" s="2">
        <v>613.0</v>
      </c>
      <c r="E13" s="2">
        <v>79.0</v>
      </c>
      <c r="F13" s="2">
        <v>294.0</v>
      </c>
      <c r="G13" s="2">
        <v>0.0</v>
      </c>
      <c r="H13" s="2">
        <v>0.0</v>
      </c>
      <c r="I13" s="2">
        <v>1407.0</v>
      </c>
      <c r="J13" s="2">
        <v>551.0</v>
      </c>
      <c r="K13" s="2">
        <v>272.0</v>
      </c>
      <c r="L13" s="4">
        <f t="shared" si="7"/>
        <v>87.66666667</v>
      </c>
      <c r="M13" s="4">
        <f t="shared" si="8"/>
        <v>-8.666666667</v>
      </c>
      <c r="N13" s="4">
        <f t="shared" si="9"/>
        <v>8.666666667</v>
      </c>
      <c r="O13" s="4">
        <f t="shared" si="1"/>
        <v>56.51672233</v>
      </c>
      <c r="P13" s="4">
        <f t="shared" si="2"/>
        <v>94.93917855</v>
      </c>
      <c r="Q13" s="4">
        <f t="shared" si="3"/>
        <v>113.4697266</v>
      </c>
      <c r="V13" s="4">
        <f t="shared" si="4"/>
        <v>22.48327767</v>
      </c>
      <c r="W13" s="4">
        <f t="shared" si="5"/>
        <v>15.93917855</v>
      </c>
      <c r="X13" s="4">
        <f t="shared" si="6"/>
        <v>34.46972656</v>
      </c>
    </row>
    <row r="14">
      <c r="A14" s="3">
        <v>40238.0</v>
      </c>
      <c r="B14" s="2">
        <v>0.0</v>
      </c>
      <c r="C14" s="2">
        <v>78.0</v>
      </c>
      <c r="D14" s="2">
        <v>754.0</v>
      </c>
      <c r="E14" s="2">
        <v>78.0</v>
      </c>
      <c r="F14" s="2">
        <v>735.0</v>
      </c>
      <c r="G14" s="2">
        <v>3.0</v>
      </c>
      <c r="H14" s="2">
        <v>2.0</v>
      </c>
      <c r="I14" s="2">
        <v>133.0</v>
      </c>
      <c r="J14" s="2">
        <v>306.0</v>
      </c>
      <c r="K14" s="2">
        <v>409.0</v>
      </c>
      <c r="L14" s="4">
        <f t="shared" si="7"/>
        <v>96.33333333</v>
      </c>
      <c r="M14" s="4">
        <f t="shared" si="8"/>
        <v>-18.33333333</v>
      </c>
      <c r="N14" s="4">
        <f t="shared" si="9"/>
        <v>18.33333333</v>
      </c>
      <c r="O14" s="4">
        <f t="shared" si="1"/>
        <v>58.76505009</v>
      </c>
      <c r="P14" s="4">
        <f t="shared" si="2"/>
        <v>90.15742498</v>
      </c>
      <c r="Q14" s="4">
        <f t="shared" si="3"/>
        <v>96.23486328</v>
      </c>
      <c r="V14" s="4">
        <f t="shared" si="4"/>
        <v>19.23494991</v>
      </c>
      <c r="W14" s="4">
        <f t="shared" si="5"/>
        <v>12.15742498</v>
      </c>
      <c r="X14" s="4">
        <f t="shared" si="6"/>
        <v>18.23486328</v>
      </c>
    </row>
    <row r="15">
      <c r="A15" s="3">
        <v>40245.0</v>
      </c>
      <c r="B15" s="2">
        <v>0.0</v>
      </c>
      <c r="C15" s="2">
        <v>262.0</v>
      </c>
      <c r="D15" s="2">
        <v>800.0</v>
      </c>
      <c r="E15" s="2">
        <v>262.0</v>
      </c>
      <c r="F15" s="2">
        <v>917.0</v>
      </c>
      <c r="G15" s="2">
        <v>0.0</v>
      </c>
      <c r="H15" s="2">
        <v>0.0</v>
      </c>
      <c r="I15" s="2">
        <v>47.0</v>
      </c>
      <c r="J15" s="2">
        <v>405.0</v>
      </c>
      <c r="K15" s="2">
        <v>337.0</v>
      </c>
      <c r="L15" s="4">
        <f t="shared" si="7"/>
        <v>105.3333333</v>
      </c>
      <c r="M15" s="4">
        <f t="shared" si="8"/>
        <v>156.6666667</v>
      </c>
      <c r="N15" s="4">
        <f t="shared" si="9"/>
        <v>156.6666667</v>
      </c>
      <c r="O15" s="4">
        <f t="shared" si="1"/>
        <v>60.68854508</v>
      </c>
      <c r="P15" s="4">
        <f t="shared" si="2"/>
        <v>86.51019749</v>
      </c>
      <c r="Q15" s="4">
        <f t="shared" si="3"/>
        <v>87.11743164</v>
      </c>
      <c r="V15" s="4">
        <f t="shared" si="4"/>
        <v>201.3114549</v>
      </c>
      <c r="W15" s="4">
        <f t="shared" si="5"/>
        <v>175.4898025</v>
      </c>
      <c r="X15" s="4">
        <f t="shared" si="6"/>
        <v>174.8825684</v>
      </c>
    </row>
    <row r="16">
      <c r="A16" s="3">
        <v>40252.0</v>
      </c>
      <c r="B16" s="2">
        <v>194.0</v>
      </c>
      <c r="C16" s="2">
        <v>224.0</v>
      </c>
      <c r="D16" s="2">
        <v>555.0</v>
      </c>
      <c r="E16" s="2">
        <v>224.0</v>
      </c>
      <c r="F16" s="2">
        <v>551.0</v>
      </c>
      <c r="G16" s="2">
        <v>12.0</v>
      </c>
      <c r="H16" s="2">
        <v>0.0</v>
      </c>
      <c r="I16" s="2">
        <v>826.0</v>
      </c>
      <c r="J16" s="2">
        <v>179.0</v>
      </c>
      <c r="K16" s="2">
        <v>375.0</v>
      </c>
      <c r="L16" s="4">
        <f t="shared" si="7"/>
        <v>139.6666667</v>
      </c>
      <c r="M16" s="4">
        <f t="shared" si="8"/>
        <v>84.33333333</v>
      </c>
      <c r="N16" s="4">
        <f t="shared" si="9"/>
        <v>84.33333333</v>
      </c>
      <c r="O16" s="4">
        <f t="shared" si="1"/>
        <v>80.81969058</v>
      </c>
      <c r="P16" s="4">
        <f t="shared" si="2"/>
        <v>139.1571382</v>
      </c>
      <c r="Q16" s="4">
        <f t="shared" si="3"/>
        <v>174.5587158</v>
      </c>
      <c r="V16" s="4">
        <f t="shared" si="4"/>
        <v>143.1803094</v>
      </c>
      <c r="W16" s="4">
        <f t="shared" si="5"/>
        <v>84.84286176</v>
      </c>
      <c r="X16" s="4">
        <f t="shared" si="6"/>
        <v>49.44128418</v>
      </c>
    </row>
    <row r="17">
      <c r="A17" s="3">
        <v>40259.0</v>
      </c>
      <c r="B17" s="2">
        <v>410.0</v>
      </c>
      <c r="C17" s="2">
        <v>212.0</v>
      </c>
      <c r="D17" s="2">
        <v>930.0</v>
      </c>
      <c r="E17" s="2">
        <v>212.0</v>
      </c>
      <c r="F17" s="2">
        <v>808.0</v>
      </c>
      <c r="G17" s="2">
        <v>0.0</v>
      </c>
      <c r="H17" s="2">
        <v>0.0</v>
      </c>
      <c r="I17" s="2">
        <v>103.0</v>
      </c>
      <c r="J17" s="2">
        <v>467.0</v>
      </c>
      <c r="K17" s="2">
        <v>177.0</v>
      </c>
      <c r="L17" s="4">
        <f t="shared" si="7"/>
        <v>188</v>
      </c>
      <c r="M17" s="4">
        <f t="shared" si="8"/>
        <v>24</v>
      </c>
      <c r="N17" s="4">
        <f t="shared" si="9"/>
        <v>24</v>
      </c>
      <c r="O17" s="4">
        <f t="shared" si="1"/>
        <v>95.13772152</v>
      </c>
      <c r="P17" s="4">
        <f t="shared" si="2"/>
        <v>164.6099968</v>
      </c>
      <c r="Q17" s="4">
        <f t="shared" si="3"/>
        <v>199.2793579</v>
      </c>
      <c r="V17" s="4">
        <f t="shared" si="4"/>
        <v>116.8622785</v>
      </c>
      <c r="W17" s="4">
        <f t="shared" si="5"/>
        <v>47.39000323</v>
      </c>
      <c r="X17" s="4">
        <f t="shared" si="6"/>
        <v>12.72064209</v>
      </c>
    </row>
    <row r="18">
      <c r="A18" s="3">
        <v>40266.0</v>
      </c>
      <c r="B18" s="2">
        <v>186.0</v>
      </c>
      <c r="C18" s="2">
        <v>149.0</v>
      </c>
      <c r="D18" s="2">
        <v>588.0</v>
      </c>
      <c r="E18" s="2">
        <v>149.0</v>
      </c>
      <c r="F18" s="2">
        <v>331.0</v>
      </c>
      <c r="G18" s="2">
        <v>2.0</v>
      </c>
      <c r="H18" s="2">
        <v>450.0</v>
      </c>
      <c r="I18" s="2">
        <v>423.0</v>
      </c>
      <c r="J18" s="2">
        <v>331.0</v>
      </c>
      <c r="K18" s="2">
        <v>425.0</v>
      </c>
      <c r="L18" s="4">
        <f t="shared" si="7"/>
        <v>232.6666667</v>
      </c>
      <c r="M18" s="4">
        <f t="shared" si="8"/>
        <v>-83.66666667</v>
      </c>
      <c r="N18" s="4">
        <f t="shared" si="9"/>
        <v>83.66666667</v>
      </c>
      <c r="O18" s="4">
        <f t="shared" si="1"/>
        <v>106.8239494</v>
      </c>
      <c r="P18" s="4">
        <f t="shared" si="2"/>
        <v>178.8269977</v>
      </c>
      <c r="Q18" s="4">
        <f t="shared" si="3"/>
        <v>205.639679</v>
      </c>
      <c r="V18" s="4">
        <f t="shared" si="4"/>
        <v>42.17605063</v>
      </c>
      <c r="W18" s="4">
        <f t="shared" si="5"/>
        <v>29.82699774</v>
      </c>
      <c r="X18" s="4">
        <f t="shared" si="6"/>
        <v>56.63967896</v>
      </c>
    </row>
    <row r="19">
      <c r="A19" s="3">
        <v>40273.0</v>
      </c>
      <c r="B19" s="2">
        <v>230.0</v>
      </c>
      <c r="C19" s="2">
        <v>179.0</v>
      </c>
      <c r="D19" s="2">
        <v>416.0</v>
      </c>
      <c r="E19" s="2">
        <v>179.0</v>
      </c>
      <c r="F19" s="2">
        <v>736.0</v>
      </c>
      <c r="G19" s="2">
        <v>0.0</v>
      </c>
      <c r="H19" s="2">
        <v>216.0</v>
      </c>
      <c r="I19" s="2">
        <v>716.0</v>
      </c>
      <c r="J19" s="2">
        <v>164.0</v>
      </c>
      <c r="K19" s="2">
        <v>298.0</v>
      </c>
      <c r="L19" s="4">
        <f t="shared" si="7"/>
        <v>195</v>
      </c>
      <c r="M19" s="4">
        <f t="shared" si="8"/>
        <v>-16</v>
      </c>
      <c r="N19" s="4">
        <f t="shared" si="9"/>
        <v>16</v>
      </c>
      <c r="O19" s="4">
        <f t="shared" si="1"/>
        <v>111.0415544</v>
      </c>
      <c r="P19" s="4">
        <f t="shared" si="2"/>
        <v>169.8788984</v>
      </c>
      <c r="Q19" s="4">
        <f t="shared" si="3"/>
        <v>177.3198395</v>
      </c>
      <c r="V19" s="4">
        <f t="shared" si="4"/>
        <v>67.95844557</v>
      </c>
      <c r="W19" s="4">
        <f t="shared" si="5"/>
        <v>9.121101583</v>
      </c>
      <c r="X19" s="4">
        <f t="shared" si="6"/>
        <v>1.680160522</v>
      </c>
    </row>
    <row r="20">
      <c r="A20" s="3">
        <v>40280.0</v>
      </c>
      <c r="B20" s="2">
        <v>293.0</v>
      </c>
      <c r="C20" s="2">
        <v>386.0</v>
      </c>
      <c r="D20" s="2">
        <v>1007.0</v>
      </c>
      <c r="E20" s="2">
        <v>386.0</v>
      </c>
      <c r="F20" s="2">
        <v>653.0</v>
      </c>
      <c r="G20" s="2">
        <v>0.0</v>
      </c>
      <c r="H20" s="2">
        <v>91.0</v>
      </c>
      <c r="I20" s="2">
        <v>224.0</v>
      </c>
      <c r="J20" s="2">
        <v>218.0</v>
      </c>
      <c r="K20" s="2">
        <v>477.0</v>
      </c>
      <c r="L20" s="4">
        <f t="shared" si="7"/>
        <v>180</v>
      </c>
      <c r="M20" s="4">
        <f t="shared" si="8"/>
        <v>206</v>
      </c>
      <c r="N20" s="4">
        <f t="shared" si="9"/>
        <v>206</v>
      </c>
      <c r="O20" s="4">
        <f t="shared" si="1"/>
        <v>117.837399</v>
      </c>
      <c r="P20" s="4">
        <f t="shared" si="2"/>
        <v>172.6152289</v>
      </c>
      <c r="Q20" s="4">
        <f t="shared" si="3"/>
        <v>178.1599197</v>
      </c>
      <c r="V20" s="4">
        <f t="shared" si="4"/>
        <v>268.162601</v>
      </c>
      <c r="W20" s="4">
        <f t="shared" si="5"/>
        <v>213.3847711</v>
      </c>
      <c r="X20" s="4">
        <f t="shared" si="6"/>
        <v>207.8400803</v>
      </c>
    </row>
    <row r="21">
      <c r="A21" s="3">
        <v>40287.0</v>
      </c>
      <c r="B21" s="2">
        <v>349.0</v>
      </c>
      <c r="C21" s="2">
        <v>525.0</v>
      </c>
      <c r="D21" s="2">
        <v>645.0</v>
      </c>
      <c r="E21" s="2">
        <v>525.0</v>
      </c>
      <c r="F21" s="2">
        <v>504.0</v>
      </c>
      <c r="G21" s="2">
        <v>1.0</v>
      </c>
      <c r="H21" s="2">
        <v>116.0</v>
      </c>
      <c r="I21" s="2">
        <v>378.0</v>
      </c>
      <c r="J21" s="2">
        <v>248.0</v>
      </c>
      <c r="K21" s="2">
        <v>297.0</v>
      </c>
      <c r="L21" s="4">
        <f t="shared" si="7"/>
        <v>238</v>
      </c>
      <c r="M21" s="4">
        <f t="shared" si="8"/>
        <v>287</v>
      </c>
      <c r="N21" s="4">
        <f t="shared" si="9"/>
        <v>287</v>
      </c>
      <c r="O21" s="4">
        <f t="shared" si="1"/>
        <v>144.6536591</v>
      </c>
      <c r="P21" s="4">
        <f t="shared" si="2"/>
        <v>236.6306602</v>
      </c>
      <c r="Q21" s="4">
        <f t="shared" si="3"/>
        <v>282.0799599</v>
      </c>
      <c r="V21" s="4">
        <f t="shared" si="4"/>
        <v>380.3463409</v>
      </c>
      <c r="W21" s="4">
        <f t="shared" si="5"/>
        <v>288.3693398</v>
      </c>
      <c r="X21" s="4">
        <f t="shared" si="6"/>
        <v>242.9200401</v>
      </c>
    </row>
    <row r="22">
      <c r="A22" s="3">
        <v>40294.0</v>
      </c>
      <c r="B22" s="2">
        <v>276.0</v>
      </c>
      <c r="C22" s="2">
        <v>418.0</v>
      </c>
      <c r="D22" s="2">
        <v>1539.0</v>
      </c>
      <c r="E22" s="2">
        <v>418.0</v>
      </c>
      <c r="F22" s="2">
        <v>919.0</v>
      </c>
      <c r="G22" s="2">
        <v>18.0</v>
      </c>
      <c r="H22" s="2">
        <v>55.0</v>
      </c>
      <c r="I22" s="2">
        <v>500.0</v>
      </c>
      <c r="J22" s="2">
        <v>386.0</v>
      </c>
      <c r="K22" s="2">
        <v>304.0</v>
      </c>
      <c r="L22" s="4">
        <f t="shared" si="7"/>
        <v>363.3333333</v>
      </c>
      <c r="M22" s="4">
        <f t="shared" si="8"/>
        <v>54.66666667</v>
      </c>
      <c r="N22" s="4">
        <f t="shared" si="9"/>
        <v>54.66666667</v>
      </c>
      <c r="O22" s="4">
        <f t="shared" si="1"/>
        <v>182.6882932</v>
      </c>
      <c r="P22" s="4">
        <f t="shared" si="2"/>
        <v>323.1414622</v>
      </c>
      <c r="Q22" s="4">
        <f t="shared" si="3"/>
        <v>403.5399799</v>
      </c>
      <c r="V22" s="4">
        <f t="shared" si="4"/>
        <v>235.3117068</v>
      </c>
      <c r="W22" s="4">
        <f t="shared" si="5"/>
        <v>94.85853784</v>
      </c>
      <c r="X22" s="4">
        <f t="shared" si="6"/>
        <v>14.46002007</v>
      </c>
    </row>
    <row r="23">
      <c r="A23" s="3">
        <v>40301.0</v>
      </c>
      <c r="B23" s="2">
        <v>306.0</v>
      </c>
      <c r="C23" s="2">
        <v>565.0</v>
      </c>
      <c r="D23" s="2">
        <v>1207.0</v>
      </c>
      <c r="E23" s="2">
        <v>565.0</v>
      </c>
      <c r="F23" s="2">
        <v>342.0</v>
      </c>
      <c r="G23" s="2">
        <v>46.0</v>
      </c>
      <c r="H23" s="2">
        <v>62.0</v>
      </c>
      <c r="I23" s="2">
        <v>203.0</v>
      </c>
      <c r="J23" s="2">
        <v>751.0</v>
      </c>
      <c r="K23" s="2">
        <v>711.0</v>
      </c>
      <c r="L23" s="4">
        <f t="shared" si="7"/>
        <v>443</v>
      </c>
      <c r="M23" s="4">
        <f t="shared" si="8"/>
        <v>122</v>
      </c>
      <c r="N23" s="4">
        <f t="shared" si="9"/>
        <v>122</v>
      </c>
      <c r="O23" s="4">
        <f t="shared" si="1"/>
        <v>206.2194639</v>
      </c>
      <c r="P23" s="4">
        <f t="shared" si="2"/>
        <v>351.5990235</v>
      </c>
      <c r="Q23" s="4">
        <f t="shared" si="3"/>
        <v>410.76999</v>
      </c>
      <c r="V23" s="4">
        <f t="shared" si="4"/>
        <v>358.7805361</v>
      </c>
      <c r="W23" s="4">
        <f t="shared" si="5"/>
        <v>213.4009765</v>
      </c>
      <c r="X23" s="4">
        <f t="shared" si="6"/>
        <v>154.23001</v>
      </c>
    </row>
    <row r="24">
      <c r="A24" s="3">
        <v>40308.0</v>
      </c>
      <c r="B24" s="2">
        <v>130.0</v>
      </c>
      <c r="C24" s="2">
        <v>436.0</v>
      </c>
      <c r="D24" s="2">
        <v>987.0</v>
      </c>
      <c r="E24" s="2">
        <v>436.0</v>
      </c>
      <c r="F24" s="2">
        <v>907.0</v>
      </c>
      <c r="G24" s="2">
        <v>6.0</v>
      </c>
      <c r="H24" s="2">
        <v>16.0</v>
      </c>
      <c r="I24" s="2">
        <v>180.0</v>
      </c>
      <c r="J24" s="2">
        <v>290.0</v>
      </c>
      <c r="K24" s="2">
        <v>517.0</v>
      </c>
      <c r="L24" s="4">
        <f t="shared" si="7"/>
        <v>502.6666667</v>
      </c>
      <c r="M24" s="4">
        <f t="shared" si="8"/>
        <v>-66.66666667</v>
      </c>
      <c r="N24" s="4">
        <f t="shared" si="9"/>
        <v>66.66666667</v>
      </c>
      <c r="O24" s="4">
        <f t="shared" si="1"/>
        <v>242.0975175</v>
      </c>
      <c r="P24" s="4">
        <f t="shared" si="2"/>
        <v>415.6193165</v>
      </c>
      <c r="Q24" s="4">
        <f t="shared" si="3"/>
        <v>487.884995</v>
      </c>
      <c r="V24" s="4">
        <f t="shared" si="4"/>
        <v>193.9024825</v>
      </c>
      <c r="W24" s="4">
        <f t="shared" si="5"/>
        <v>20.38068354</v>
      </c>
      <c r="X24" s="4">
        <f t="shared" si="6"/>
        <v>51.88499498</v>
      </c>
    </row>
    <row r="25">
      <c r="A25" s="3">
        <v>40315.0</v>
      </c>
      <c r="B25" s="2">
        <v>28.0</v>
      </c>
      <c r="C25" s="2">
        <v>450.0</v>
      </c>
      <c r="D25" s="2">
        <v>621.0</v>
      </c>
      <c r="E25" s="2">
        <v>450.0</v>
      </c>
      <c r="F25" s="2">
        <v>283.0</v>
      </c>
      <c r="G25" s="2">
        <v>6.0</v>
      </c>
      <c r="H25" s="2">
        <v>87.0</v>
      </c>
      <c r="I25" s="2">
        <v>192.0</v>
      </c>
      <c r="J25" s="2">
        <v>512.0</v>
      </c>
      <c r="K25" s="2">
        <v>265.0</v>
      </c>
      <c r="L25" s="4">
        <f t="shared" si="7"/>
        <v>473</v>
      </c>
      <c r="M25" s="4">
        <f t="shared" si="8"/>
        <v>-23</v>
      </c>
      <c r="N25" s="4">
        <f t="shared" si="9"/>
        <v>23</v>
      </c>
      <c r="O25" s="4">
        <f t="shared" si="1"/>
        <v>261.4877657</v>
      </c>
      <c r="P25" s="4">
        <f t="shared" si="2"/>
        <v>421.7335215</v>
      </c>
      <c r="Q25" s="4">
        <f t="shared" si="3"/>
        <v>461.9424975</v>
      </c>
      <c r="V25" s="4">
        <f t="shared" si="4"/>
        <v>188.5122343</v>
      </c>
      <c r="W25" s="4">
        <f t="shared" si="5"/>
        <v>28.26647848</v>
      </c>
      <c r="X25" s="4">
        <f t="shared" si="6"/>
        <v>11.94249749</v>
      </c>
    </row>
    <row r="26">
      <c r="A26" s="3">
        <v>40322.0</v>
      </c>
      <c r="B26" s="2">
        <v>15.0</v>
      </c>
      <c r="C26" s="2">
        <v>671.0</v>
      </c>
      <c r="D26" s="2">
        <v>760.0</v>
      </c>
      <c r="E26" s="2">
        <v>671.0</v>
      </c>
      <c r="F26" s="2">
        <v>560.0</v>
      </c>
      <c r="G26" s="2">
        <v>0.0</v>
      </c>
      <c r="H26" s="2">
        <v>69.0</v>
      </c>
      <c r="I26" s="2">
        <v>218.0</v>
      </c>
      <c r="J26" s="2">
        <v>279.0</v>
      </c>
      <c r="K26" s="2">
        <v>674.0</v>
      </c>
      <c r="L26" s="4">
        <f t="shared" si="7"/>
        <v>483.6666667</v>
      </c>
      <c r="M26" s="4">
        <f t="shared" si="8"/>
        <v>187.3333333</v>
      </c>
      <c r="N26" s="4">
        <f t="shared" si="9"/>
        <v>187.3333333</v>
      </c>
      <c r="O26" s="4">
        <f t="shared" si="1"/>
        <v>280.3389892</v>
      </c>
      <c r="P26" s="4">
        <f t="shared" si="2"/>
        <v>430.2134651</v>
      </c>
      <c r="Q26" s="4">
        <f t="shared" si="3"/>
        <v>455.9712487</v>
      </c>
      <c r="V26" s="4">
        <f t="shared" si="4"/>
        <v>390.6610108</v>
      </c>
      <c r="W26" s="4">
        <f t="shared" si="5"/>
        <v>240.7865349</v>
      </c>
      <c r="X26" s="4">
        <f t="shared" si="6"/>
        <v>215.0287513</v>
      </c>
    </row>
    <row r="27">
      <c r="A27" s="3">
        <v>40329.0</v>
      </c>
      <c r="B27" s="2">
        <v>93.0</v>
      </c>
      <c r="C27" s="2">
        <v>301.0</v>
      </c>
      <c r="D27" s="2">
        <v>727.0</v>
      </c>
      <c r="E27" s="2">
        <v>301.0</v>
      </c>
      <c r="F27" s="2">
        <v>309.0</v>
      </c>
      <c r="G27" s="2">
        <v>4.0</v>
      </c>
      <c r="H27" s="2">
        <v>29.0</v>
      </c>
      <c r="I27" s="2">
        <v>145.0</v>
      </c>
      <c r="J27" s="2">
        <v>236.0</v>
      </c>
      <c r="K27" s="2">
        <v>300.0</v>
      </c>
      <c r="L27" s="4">
        <f t="shared" si="7"/>
        <v>519</v>
      </c>
      <c r="M27" s="4">
        <f t="shared" si="8"/>
        <v>-218</v>
      </c>
      <c r="N27" s="4">
        <f t="shared" si="9"/>
        <v>218</v>
      </c>
      <c r="O27" s="4">
        <f t="shared" si="1"/>
        <v>319.4050902</v>
      </c>
      <c r="P27" s="4">
        <f t="shared" si="2"/>
        <v>502.4494255</v>
      </c>
      <c r="Q27" s="4">
        <f t="shared" si="3"/>
        <v>563.4856244</v>
      </c>
      <c r="V27" s="4">
        <f t="shared" si="4"/>
        <v>18.40509024</v>
      </c>
      <c r="W27" s="4">
        <f t="shared" si="5"/>
        <v>201.4494255</v>
      </c>
      <c r="X27" s="4">
        <f t="shared" si="6"/>
        <v>262.4856244</v>
      </c>
    </row>
    <row r="28">
      <c r="A28" s="3">
        <v>40336.0</v>
      </c>
      <c r="B28" s="2">
        <v>454.0</v>
      </c>
      <c r="C28" s="2">
        <v>716.0</v>
      </c>
      <c r="D28" s="2">
        <v>973.0</v>
      </c>
      <c r="E28" s="2">
        <v>716.0</v>
      </c>
      <c r="F28" s="2">
        <v>264.0</v>
      </c>
      <c r="G28" s="2">
        <v>3.0</v>
      </c>
      <c r="H28" s="2">
        <v>220.0</v>
      </c>
      <c r="I28" s="2">
        <v>617.0</v>
      </c>
      <c r="J28" s="2">
        <v>429.0</v>
      </c>
      <c r="K28" s="2">
        <v>408.0</v>
      </c>
      <c r="L28" s="4">
        <f t="shared" si="7"/>
        <v>474</v>
      </c>
      <c r="M28" s="4">
        <f t="shared" si="8"/>
        <v>242</v>
      </c>
      <c r="N28" s="4">
        <f t="shared" si="9"/>
        <v>242</v>
      </c>
      <c r="O28" s="4">
        <f t="shared" si="1"/>
        <v>317.5645812</v>
      </c>
      <c r="P28" s="4">
        <f t="shared" si="2"/>
        <v>442.0145979</v>
      </c>
      <c r="Q28" s="4">
        <f t="shared" si="3"/>
        <v>432.2428122</v>
      </c>
      <c r="V28" s="4">
        <f t="shared" si="4"/>
        <v>398.4354188</v>
      </c>
      <c r="W28" s="4">
        <f t="shared" si="5"/>
        <v>273.9854021</v>
      </c>
      <c r="X28" s="4">
        <f t="shared" si="6"/>
        <v>283.7571878</v>
      </c>
    </row>
    <row r="29">
      <c r="A29" s="3">
        <v>40343.0</v>
      </c>
      <c r="B29" s="2">
        <v>432.0</v>
      </c>
      <c r="C29" s="2">
        <v>142.0</v>
      </c>
      <c r="D29" s="2">
        <v>696.0</v>
      </c>
      <c r="E29" s="2">
        <v>142.0</v>
      </c>
      <c r="F29" s="2">
        <v>569.0</v>
      </c>
      <c r="G29" s="2">
        <v>28.0</v>
      </c>
      <c r="H29" s="2">
        <v>25.0</v>
      </c>
      <c r="I29" s="2">
        <v>625.0</v>
      </c>
      <c r="J29" s="2">
        <v>362.0</v>
      </c>
      <c r="K29" s="2">
        <v>458.0</v>
      </c>
      <c r="L29" s="4">
        <f t="shared" si="7"/>
        <v>562.6666667</v>
      </c>
      <c r="M29" s="4">
        <f t="shared" si="8"/>
        <v>-420.6666667</v>
      </c>
      <c r="N29" s="4">
        <f t="shared" si="9"/>
        <v>420.6666667</v>
      </c>
      <c r="O29" s="4">
        <f t="shared" si="1"/>
        <v>357.4081231</v>
      </c>
      <c r="P29" s="4">
        <f t="shared" si="2"/>
        <v>524.2102185</v>
      </c>
      <c r="Q29" s="4">
        <f t="shared" si="3"/>
        <v>574.1214061</v>
      </c>
      <c r="V29" s="4">
        <f t="shared" si="4"/>
        <v>215.4081231</v>
      </c>
      <c r="W29" s="4">
        <f t="shared" si="5"/>
        <v>382.2102185</v>
      </c>
      <c r="X29" s="4">
        <f t="shared" si="6"/>
        <v>432.1214061</v>
      </c>
    </row>
    <row r="30">
      <c r="A30" s="3">
        <v>40350.0</v>
      </c>
      <c r="B30" s="2">
        <v>151.0</v>
      </c>
      <c r="C30" s="2">
        <v>52.0</v>
      </c>
      <c r="D30" s="2">
        <v>750.0</v>
      </c>
      <c r="E30" s="2">
        <v>52.0</v>
      </c>
      <c r="F30" s="2">
        <v>252.0</v>
      </c>
      <c r="G30" s="2">
        <v>305.0</v>
      </c>
      <c r="H30" s="2">
        <v>35.0</v>
      </c>
      <c r="I30" s="2">
        <v>168.0</v>
      </c>
      <c r="J30" s="2">
        <v>460.0</v>
      </c>
      <c r="K30" s="2">
        <v>511.0</v>
      </c>
      <c r="L30" s="4">
        <f t="shared" si="7"/>
        <v>386.3333333</v>
      </c>
      <c r="M30" s="4">
        <f t="shared" si="8"/>
        <v>-334.3333333</v>
      </c>
      <c r="N30" s="4">
        <f t="shared" si="9"/>
        <v>334.3333333</v>
      </c>
      <c r="O30" s="4">
        <f t="shared" si="1"/>
        <v>335.8673108</v>
      </c>
      <c r="P30" s="4">
        <f t="shared" si="2"/>
        <v>409.547153</v>
      </c>
      <c r="Q30" s="4">
        <f t="shared" si="3"/>
        <v>358.060703</v>
      </c>
      <c r="V30" s="4">
        <f t="shared" si="4"/>
        <v>283.8673108</v>
      </c>
      <c r="W30" s="4">
        <f t="shared" si="5"/>
        <v>357.547153</v>
      </c>
      <c r="X30" s="4">
        <f t="shared" si="6"/>
        <v>306.060703</v>
      </c>
    </row>
    <row r="31">
      <c r="A31" s="3">
        <v>40357.0</v>
      </c>
      <c r="B31" s="2">
        <v>387.0</v>
      </c>
      <c r="C31" s="2">
        <v>51.0</v>
      </c>
      <c r="D31" s="2">
        <v>1415.0</v>
      </c>
      <c r="E31" s="2">
        <v>51.0</v>
      </c>
      <c r="F31" s="2">
        <v>692.0</v>
      </c>
      <c r="G31" s="2">
        <v>44.0</v>
      </c>
      <c r="H31" s="2">
        <v>22.0</v>
      </c>
      <c r="I31" s="2">
        <v>365.0</v>
      </c>
      <c r="J31" s="2">
        <v>598.0</v>
      </c>
      <c r="K31" s="2">
        <v>534.0</v>
      </c>
      <c r="L31" s="4">
        <f t="shared" si="7"/>
        <v>303.3333333</v>
      </c>
      <c r="M31" s="4">
        <f t="shared" si="8"/>
        <v>-252.3333333</v>
      </c>
      <c r="N31" s="4">
        <f t="shared" si="9"/>
        <v>252.3333333</v>
      </c>
      <c r="O31" s="4">
        <f t="shared" si="1"/>
        <v>307.4805797</v>
      </c>
      <c r="P31" s="4">
        <f t="shared" si="2"/>
        <v>302.2830071</v>
      </c>
      <c r="Q31" s="4">
        <f t="shared" si="3"/>
        <v>205.0303515</v>
      </c>
      <c r="V31" s="4">
        <f t="shared" si="4"/>
        <v>256.4805797</v>
      </c>
      <c r="W31" s="4">
        <f t="shared" si="5"/>
        <v>251.2830071</v>
      </c>
      <c r="X31" s="4">
        <f t="shared" si="6"/>
        <v>154.0303515</v>
      </c>
    </row>
    <row r="32">
      <c r="A32" s="3">
        <v>40364.0</v>
      </c>
      <c r="B32" s="2">
        <v>150.0</v>
      </c>
      <c r="C32" s="2">
        <v>52.0</v>
      </c>
      <c r="D32" s="2">
        <v>654.0</v>
      </c>
      <c r="E32" s="2">
        <v>52.0</v>
      </c>
      <c r="F32" s="2">
        <v>874.0</v>
      </c>
      <c r="G32" s="2">
        <v>14.0</v>
      </c>
      <c r="H32" s="2">
        <v>88.0</v>
      </c>
      <c r="I32" s="2">
        <v>278.0</v>
      </c>
      <c r="J32" s="2">
        <v>331.0</v>
      </c>
      <c r="K32" s="2">
        <v>211.0</v>
      </c>
      <c r="L32" s="4">
        <f t="shared" si="7"/>
        <v>81.66666667</v>
      </c>
      <c r="M32" s="4">
        <f t="shared" si="8"/>
        <v>-29.66666667</v>
      </c>
      <c r="N32" s="4">
        <f t="shared" si="9"/>
        <v>29.66666667</v>
      </c>
      <c r="O32" s="4">
        <f t="shared" si="1"/>
        <v>281.8325217</v>
      </c>
      <c r="P32" s="4">
        <f t="shared" si="2"/>
        <v>226.898105</v>
      </c>
      <c r="Q32" s="4">
        <f t="shared" si="3"/>
        <v>128.0151758</v>
      </c>
      <c r="V32" s="4">
        <f t="shared" si="4"/>
        <v>229.8325217</v>
      </c>
      <c r="W32" s="4">
        <f t="shared" si="5"/>
        <v>174.898105</v>
      </c>
      <c r="X32" s="4">
        <f t="shared" si="6"/>
        <v>76.01517576</v>
      </c>
    </row>
    <row r="33">
      <c r="A33" s="3">
        <v>40371.0</v>
      </c>
      <c r="B33" s="2">
        <v>160.0</v>
      </c>
      <c r="C33" s="2">
        <v>44.0</v>
      </c>
      <c r="D33" s="2">
        <v>865.0</v>
      </c>
      <c r="E33" s="2">
        <v>44.0</v>
      </c>
      <c r="F33" s="2">
        <v>400.0</v>
      </c>
      <c r="G33" s="2">
        <v>3.0</v>
      </c>
      <c r="H33" s="2">
        <v>6.0</v>
      </c>
      <c r="I33" s="2">
        <v>766.0</v>
      </c>
      <c r="J33" s="2">
        <v>240.0</v>
      </c>
      <c r="K33" s="2">
        <v>575.0</v>
      </c>
      <c r="L33" s="4">
        <f t="shared" si="7"/>
        <v>51.66666667</v>
      </c>
      <c r="M33" s="4">
        <f t="shared" si="8"/>
        <v>-7.666666667</v>
      </c>
      <c r="N33" s="4">
        <f t="shared" si="9"/>
        <v>7.666666667</v>
      </c>
      <c r="O33" s="4">
        <f t="shared" si="1"/>
        <v>258.8492696</v>
      </c>
      <c r="P33" s="4">
        <f t="shared" si="2"/>
        <v>174.4286735</v>
      </c>
      <c r="Q33" s="4">
        <f t="shared" si="3"/>
        <v>90.00758788</v>
      </c>
      <c r="V33" s="4">
        <f t="shared" si="4"/>
        <v>214.8492696</v>
      </c>
      <c r="W33" s="4">
        <f t="shared" si="5"/>
        <v>130.4286735</v>
      </c>
      <c r="X33" s="4">
        <f t="shared" si="6"/>
        <v>46.00758788</v>
      </c>
    </row>
    <row r="34">
      <c r="A34" s="3">
        <v>40378.0</v>
      </c>
      <c r="B34" s="2">
        <v>453.0</v>
      </c>
      <c r="C34" s="2">
        <v>52.0</v>
      </c>
      <c r="D34" s="2">
        <v>1268.0</v>
      </c>
      <c r="E34" s="2">
        <v>52.0</v>
      </c>
      <c r="F34" s="2">
        <v>1043.0</v>
      </c>
      <c r="G34" s="2">
        <v>50.0</v>
      </c>
      <c r="H34" s="2">
        <v>8.0</v>
      </c>
      <c r="I34" s="2">
        <v>691.0</v>
      </c>
      <c r="J34" s="2">
        <v>729.0</v>
      </c>
      <c r="K34" s="2">
        <v>487.0</v>
      </c>
      <c r="L34" s="4">
        <f t="shared" si="7"/>
        <v>49</v>
      </c>
      <c r="M34" s="4">
        <f t="shared" si="8"/>
        <v>3</v>
      </c>
      <c r="N34" s="4">
        <f t="shared" si="9"/>
        <v>3</v>
      </c>
      <c r="O34" s="4">
        <f t="shared" si="1"/>
        <v>237.3643426</v>
      </c>
      <c r="P34" s="4">
        <f t="shared" si="2"/>
        <v>135.3000714</v>
      </c>
      <c r="Q34" s="4">
        <f t="shared" si="3"/>
        <v>67.00379394</v>
      </c>
      <c r="V34" s="4">
        <f t="shared" si="4"/>
        <v>185.3643426</v>
      </c>
      <c r="W34" s="4">
        <f t="shared" si="5"/>
        <v>83.30007143</v>
      </c>
      <c r="X34" s="4">
        <f t="shared" si="6"/>
        <v>15.00379394</v>
      </c>
    </row>
    <row r="35">
      <c r="A35" s="3">
        <v>40385.0</v>
      </c>
      <c r="B35" s="2">
        <v>577.0</v>
      </c>
      <c r="C35" s="2">
        <v>34.0</v>
      </c>
      <c r="D35" s="2">
        <v>618.0</v>
      </c>
      <c r="E35" s="2">
        <v>34.0</v>
      </c>
      <c r="F35" s="2">
        <v>621.0</v>
      </c>
      <c r="G35" s="2">
        <v>128.0</v>
      </c>
      <c r="H35" s="2">
        <v>5.0</v>
      </c>
      <c r="I35" s="2">
        <v>265.0</v>
      </c>
      <c r="J35" s="2">
        <v>171.0</v>
      </c>
      <c r="K35" s="2">
        <v>454.0</v>
      </c>
      <c r="L35" s="4">
        <f t="shared" si="7"/>
        <v>49.33333333</v>
      </c>
      <c r="M35" s="4">
        <f t="shared" si="8"/>
        <v>-15.33333333</v>
      </c>
      <c r="N35" s="4">
        <f t="shared" si="9"/>
        <v>15.33333333</v>
      </c>
      <c r="O35" s="4">
        <f t="shared" si="1"/>
        <v>218.8279083</v>
      </c>
      <c r="P35" s="4">
        <f t="shared" si="2"/>
        <v>110.31005</v>
      </c>
      <c r="Q35" s="4">
        <f t="shared" si="3"/>
        <v>59.50189697</v>
      </c>
      <c r="V35" s="4">
        <f t="shared" si="4"/>
        <v>184.8279083</v>
      </c>
      <c r="W35" s="4">
        <f t="shared" si="5"/>
        <v>76.31005</v>
      </c>
      <c r="X35" s="4">
        <f t="shared" si="6"/>
        <v>25.50189697</v>
      </c>
    </row>
    <row r="36">
      <c r="A36" s="3">
        <v>40392.0</v>
      </c>
      <c r="B36" s="2">
        <v>294.0</v>
      </c>
      <c r="C36" s="2">
        <v>57.0</v>
      </c>
      <c r="D36" s="2">
        <v>726.0</v>
      </c>
      <c r="E36" s="2">
        <v>57.0</v>
      </c>
      <c r="F36" s="2">
        <v>648.0</v>
      </c>
      <c r="G36" s="2">
        <v>142.0</v>
      </c>
      <c r="H36" s="2">
        <v>17.0</v>
      </c>
      <c r="I36" s="2">
        <v>95.0</v>
      </c>
      <c r="J36" s="2">
        <v>354.0</v>
      </c>
      <c r="K36" s="2">
        <v>694.0</v>
      </c>
      <c r="L36" s="4">
        <f t="shared" si="7"/>
        <v>43.33333333</v>
      </c>
      <c r="M36" s="4">
        <f t="shared" si="8"/>
        <v>13.66666667</v>
      </c>
      <c r="N36" s="4">
        <f t="shared" si="9"/>
        <v>13.66666667</v>
      </c>
      <c r="O36" s="4">
        <f t="shared" si="1"/>
        <v>200.3451175</v>
      </c>
      <c r="P36" s="4">
        <f t="shared" si="2"/>
        <v>87.417035</v>
      </c>
      <c r="Q36" s="4">
        <f t="shared" si="3"/>
        <v>46.75094849</v>
      </c>
      <c r="V36" s="4">
        <f t="shared" si="4"/>
        <v>143.3451175</v>
      </c>
      <c r="W36" s="4">
        <f t="shared" si="5"/>
        <v>30.417035</v>
      </c>
      <c r="X36" s="4">
        <f t="shared" si="6"/>
        <v>10.24905151</v>
      </c>
    </row>
    <row r="37">
      <c r="A37" s="3">
        <v>40399.0</v>
      </c>
      <c r="B37" s="2">
        <v>224.0</v>
      </c>
      <c r="C37" s="2">
        <v>188.0</v>
      </c>
      <c r="D37" s="2">
        <v>893.0</v>
      </c>
      <c r="E37" s="2">
        <v>188.0</v>
      </c>
      <c r="F37" s="2">
        <v>758.0</v>
      </c>
      <c r="G37" s="2">
        <v>74.0</v>
      </c>
      <c r="H37" s="2">
        <v>45.0</v>
      </c>
      <c r="I37" s="2">
        <v>552.0</v>
      </c>
      <c r="J37" s="2">
        <v>460.0</v>
      </c>
      <c r="K37" s="2">
        <v>608.0</v>
      </c>
      <c r="L37" s="4">
        <f t="shared" si="7"/>
        <v>47.66666667</v>
      </c>
      <c r="M37" s="4">
        <f t="shared" si="8"/>
        <v>140.3333333</v>
      </c>
      <c r="N37" s="4">
        <f t="shared" si="9"/>
        <v>140.3333333</v>
      </c>
      <c r="O37" s="4">
        <f t="shared" si="1"/>
        <v>186.0106058</v>
      </c>
      <c r="P37" s="4">
        <f t="shared" si="2"/>
        <v>78.2919245</v>
      </c>
      <c r="Q37" s="4">
        <f t="shared" si="3"/>
        <v>51.87547424</v>
      </c>
      <c r="V37" s="4">
        <f t="shared" si="4"/>
        <v>1.98939424</v>
      </c>
      <c r="W37" s="4">
        <f t="shared" si="5"/>
        <v>109.7080755</v>
      </c>
      <c r="X37" s="4">
        <f t="shared" si="6"/>
        <v>136.1245258</v>
      </c>
    </row>
    <row r="38">
      <c r="A38" s="3">
        <v>40406.0</v>
      </c>
      <c r="B38" s="2">
        <v>177.0</v>
      </c>
      <c r="C38" s="2">
        <v>351.0</v>
      </c>
      <c r="D38" s="2">
        <v>189.0</v>
      </c>
      <c r="E38" s="2">
        <v>351.0</v>
      </c>
      <c r="F38" s="2">
        <v>664.0</v>
      </c>
      <c r="G38" s="2">
        <v>19.0</v>
      </c>
      <c r="H38" s="2">
        <v>37.0</v>
      </c>
      <c r="I38" s="2">
        <v>1025.0</v>
      </c>
      <c r="J38" s="2">
        <v>677.0</v>
      </c>
      <c r="K38" s="2">
        <v>940.0</v>
      </c>
      <c r="L38" s="4">
        <f t="shared" si="7"/>
        <v>93</v>
      </c>
      <c r="M38" s="4">
        <f t="shared" si="8"/>
        <v>258</v>
      </c>
      <c r="N38" s="4">
        <f t="shared" si="9"/>
        <v>258</v>
      </c>
      <c r="O38" s="4">
        <f t="shared" si="1"/>
        <v>186.2095452</v>
      </c>
      <c r="P38" s="4">
        <f t="shared" si="2"/>
        <v>111.2043471</v>
      </c>
      <c r="Q38" s="4">
        <f t="shared" si="3"/>
        <v>119.9377371</v>
      </c>
      <c r="V38" s="4">
        <f t="shared" si="4"/>
        <v>164.7904548</v>
      </c>
      <c r="W38" s="4">
        <f t="shared" si="5"/>
        <v>239.7956529</v>
      </c>
      <c r="X38" s="4">
        <f t="shared" si="6"/>
        <v>231.0622629</v>
      </c>
    </row>
    <row r="39">
      <c r="A39" s="3">
        <v>40413.0</v>
      </c>
      <c r="B39" s="2">
        <v>254.0</v>
      </c>
      <c r="C39" s="2">
        <v>9.0</v>
      </c>
      <c r="D39" s="2">
        <v>1.0</v>
      </c>
      <c r="E39" s="2">
        <v>9.0</v>
      </c>
      <c r="F39" s="2">
        <v>1000.0</v>
      </c>
      <c r="G39" s="2">
        <v>27.0</v>
      </c>
      <c r="H39" s="2">
        <v>70.0</v>
      </c>
      <c r="I39" s="2">
        <v>880.0</v>
      </c>
      <c r="J39" s="2">
        <v>338.0</v>
      </c>
      <c r="K39" s="2">
        <v>450.0</v>
      </c>
      <c r="L39" s="4">
        <f t="shared" si="7"/>
        <v>198.6666667</v>
      </c>
      <c r="M39" s="4">
        <f t="shared" si="8"/>
        <v>-189.6666667</v>
      </c>
      <c r="N39" s="4">
        <f t="shared" si="9"/>
        <v>189.6666667</v>
      </c>
      <c r="O39" s="4">
        <f t="shared" si="1"/>
        <v>202.6885907</v>
      </c>
      <c r="P39" s="4">
        <f t="shared" si="2"/>
        <v>183.143043</v>
      </c>
      <c r="Q39" s="4">
        <f t="shared" si="3"/>
        <v>235.4688686</v>
      </c>
      <c r="V39" s="4">
        <f t="shared" si="4"/>
        <v>193.6885907</v>
      </c>
      <c r="W39" s="4">
        <f t="shared" si="5"/>
        <v>174.143043</v>
      </c>
      <c r="X39" s="4">
        <f t="shared" si="6"/>
        <v>226.4688686</v>
      </c>
    </row>
    <row r="40">
      <c r="A40" s="3">
        <v>40420.0</v>
      </c>
      <c r="B40" s="2">
        <v>445.0</v>
      </c>
      <c r="C40" s="2">
        <v>8.0</v>
      </c>
      <c r="D40" s="2">
        <v>1889.0</v>
      </c>
      <c r="E40" s="2">
        <v>8.0</v>
      </c>
      <c r="F40" s="2">
        <v>963.0</v>
      </c>
      <c r="G40" s="2">
        <v>3.0</v>
      </c>
      <c r="H40" s="2">
        <v>110.0</v>
      </c>
      <c r="I40" s="2">
        <v>135.0</v>
      </c>
      <c r="J40" s="2">
        <v>652.0</v>
      </c>
      <c r="K40" s="2">
        <v>375.0</v>
      </c>
      <c r="L40" s="4">
        <f t="shared" si="7"/>
        <v>182.6666667</v>
      </c>
      <c r="M40" s="4">
        <f t="shared" si="8"/>
        <v>-174.6666667</v>
      </c>
      <c r="N40" s="4">
        <f t="shared" si="9"/>
        <v>174.6666667</v>
      </c>
      <c r="O40" s="4">
        <f t="shared" si="1"/>
        <v>183.3197316</v>
      </c>
      <c r="P40" s="4">
        <f t="shared" si="2"/>
        <v>130.9001301</v>
      </c>
      <c r="Q40" s="4">
        <f t="shared" si="3"/>
        <v>122.2344343</v>
      </c>
      <c r="V40" s="4">
        <f t="shared" si="4"/>
        <v>175.3197316</v>
      </c>
      <c r="W40" s="4">
        <f t="shared" si="5"/>
        <v>122.9001301</v>
      </c>
      <c r="X40" s="4">
        <f t="shared" si="6"/>
        <v>114.2344343</v>
      </c>
    </row>
    <row r="41">
      <c r="A41" s="3">
        <v>40427.0</v>
      </c>
      <c r="B41" s="2">
        <v>299.0</v>
      </c>
      <c r="C41" s="2">
        <v>6.0</v>
      </c>
      <c r="D41" s="2">
        <v>1313.0</v>
      </c>
      <c r="E41" s="2">
        <v>6.0</v>
      </c>
      <c r="F41" s="2">
        <v>387.0</v>
      </c>
      <c r="G41" s="2">
        <v>6.0</v>
      </c>
      <c r="H41" s="2">
        <v>68.0</v>
      </c>
      <c r="I41" s="2">
        <v>270.0</v>
      </c>
      <c r="J41" s="2">
        <v>617.0</v>
      </c>
      <c r="K41" s="2">
        <v>483.0</v>
      </c>
      <c r="L41" s="4">
        <f t="shared" si="7"/>
        <v>122.6666667</v>
      </c>
      <c r="M41" s="4">
        <f t="shared" si="8"/>
        <v>-116.6666667</v>
      </c>
      <c r="N41" s="4">
        <f t="shared" si="9"/>
        <v>116.6666667</v>
      </c>
      <c r="O41" s="4">
        <f t="shared" si="1"/>
        <v>165.7877584</v>
      </c>
      <c r="P41" s="4">
        <f t="shared" si="2"/>
        <v>94.03009107</v>
      </c>
      <c r="Q41" s="4">
        <f t="shared" si="3"/>
        <v>65.11721714</v>
      </c>
      <c r="V41" s="4">
        <f t="shared" si="4"/>
        <v>159.7877584</v>
      </c>
      <c r="W41" s="4">
        <f t="shared" si="5"/>
        <v>88.03009107</v>
      </c>
      <c r="X41" s="4">
        <f t="shared" si="6"/>
        <v>59.11721714</v>
      </c>
    </row>
    <row r="42">
      <c r="A42" s="3">
        <v>40434.0</v>
      </c>
      <c r="B42" s="2">
        <v>370.0</v>
      </c>
      <c r="C42" s="2">
        <v>0.0</v>
      </c>
      <c r="D42" s="2">
        <v>1118.0</v>
      </c>
      <c r="E42" s="2">
        <v>0.0</v>
      </c>
      <c r="F42" s="2">
        <v>619.0</v>
      </c>
      <c r="G42" s="2">
        <v>344.0</v>
      </c>
      <c r="H42" s="2">
        <v>38.0</v>
      </c>
      <c r="I42" s="2">
        <v>534.0</v>
      </c>
      <c r="J42" s="2">
        <v>305.0</v>
      </c>
      <c r="K42" s="2">
        <v>304.0</v>
      </c>
      <c r="L42" s="4">
        <f t="shared" si="7"/>
        <v>7.666666667</v>
      </c>
      <c r="M42" s="4">
        <f t="shared" si="8"/>
        <v>-7.666666667</v>
      </c>
      <c r="N42" s="4">
        <f t="shared" si="9"/>
        <v>7.666666667</v>
      </c>
      <c r="O42" s="4">
        <f t="shared" si="1"/>
        <v>149.8089826</v>
      </c>
      <c r="P42" s="4">
        <f t="shared" si="2"/>
        <v>67.62106375</v>
      </c>
      <c r="Q42" s="4">
        <f t="shared" si="3"/>
        <v>35.55860857</v>
      </c>
      <c r="V42" s="4">
        <f t="shared" si="4"/>
        <v>149.8089826</v>
      </c>
      <c r="W42" s="4">
        <f t="shared" si="5"/>
        <v>67.62106375</v>
      </c>
      <c r="X42" s="4">
        <f t="shared" si="6"/>
        <v>35.55860857</v>
      </c>
    </row>
    <row r="43">
      <c r="A43" s="3">
        <v>40441.0</v>
      </c>
      <c r="B43" s="2">
        <v>624.0</v>
      </c>
      <c r="C43" s="2">
        <v>99.0</v>
      </c>
      <c r="D43" s="2">
        <v>1381.0</v>
      </c>
      <c r="E43" s="2">
        <v>99.0</v>
      </c>
      <c r="F43" s="2">
        <v>1792.0</v>
      </c>
      <c r="G43" s="2">
        <v>425.0</v>
      </c>
      <c r="H43" s="2">
        <v>180.0</v>
      </c>
      <c r="I43" s="2">
        <v>1709.0</v>
      </c>
      <c r="J43" s="2">
        <v>352.0</v>
      </c>
      <c r="K43" s="2">
        <v>605.0</v>
      </c>
      <c r="L43" s="4">
        <f t="shared" si="7"/>
        <v>4.666666667</v>
      </c>
      <c r="M43" s="4">
        <f t="shared" si="8"/>
        <v>94.33333333</v>
      </c>
      <c r="N43" s="4">
        <f t="shared" si="9"/>
        <v>94.33333333</v>
      </c>
      <c r="O43" s="4">
        <f t="shared" si="1"/>
        <v>134.8280843</v>
      </c>
      <c r="P43" s="4">
        <f t="shared" si="2"/>
        <v>47.33474463</v>
      </c>
      <c r="Q43" s="4">
        <f t="shared" si="3"/>
        <v>17.77930429</v>
      </c>
      <c r="V43" s="4">
        <f t="shared" si="4"/>
        <v>35.82808434</v>
      </c>
      <c r="W43" s="4">
        <f t="shared" si="5"/>
        <v>51.66525537</v>
      </c>
      <c r="X43" s="4">
        <f t="shared" si="6"/>
        <v>81.22069571</v>
      </c>
    </row>
    <row r="44">
      <c r="A44" s="3">
        <v>40448.0</v>
      </c>
      <c r="B44" s="2">
        <v>385.0</v>
      </c>
      <c r="C44" s="2">
        <v>916.0</v>
      </c>
      <c r="D44" s="2">
        <v>1597.0</v>
      </c>
      <c r="E44" s="2">
        <v>916.0</v>
      </c>
      <c r="F44" s="2">
        <v>773.0</v>
      </c>
      <c r="G44" s="2">
        <v>495.0</v>
      </c>
      <c r="H44" s="2">
        <v>239.0</v>
      </c>
      <c r="I44" s="2">
        <v>284.0</v>
      </c>
      <c r="J44" s="2">
        <v>518.0</v>
      </c>
      <c r="K44" s="2">
        <v>358.0</v>
      </c>
      <c r="L44" s="4">
        <f t="shared" si="7"/>
        <v>35</v>
      </c>
      <c r="M44" s="4">
        <f t="shared" si="8"/>
        <v>881</v>
      </c>
      <c r="N44" s="4">
        <f t="shared" si="9"/>
        <v>881</v>
      </c>
      <c r="O44" s="4">
        <f t="shared" si="1"/>
        <v>131.2452759</v>
      </c>
      <c r="P44" s="4">
        <f t="shared" si="2"/>
        <v>62.83432124</v>
      </c>
      <c r="Q44" s="4">
        <f t="shared" si="3"/>
        <v>58.38965214</v>
      </c>
      <c r="V44" s="4">
        <f t="shared" si="4"/>
        <v>784.7547241</v>
      </c>
      <c r="W44" s="4">
        <f t="shared" si="5"/>
        <v>853.1656788</v>
      </c>
      <c r="X44" s="4">
        <f t="shared" si="6"/>
        <v>857.6103479</v>
      </c>
    </row>
    <row r="45">
      <c r="A45" s="3">
        <v>40455.0</v>
      </c>
      <c r="B45" s="2">
        <v>507.0</v>
      </c>
      <c r="C45" s="2">
        <v>262.0</v>
      </c>
      <c r="D45" s="2">
        <v>956.0</v>
      </c>
      <c r="E45" s="2">
        <v>262.0</v>
      </c>
      <c r="F45" s="2">
        <v>753.0</v>
      </c>
      <c r="G45" s="2">
        <v>1516.0</v>
      </c>
      <c r="H45" s="2">
        <v>542.0</v>
      </c>
      <c r="I45" s="2">
        <v>919.0</v>
      </c>
      <c r="J45" s="2">
        <v>258.0</v>
      </c>
      <c r="K45" s="2">
        <v>250.0</v>
      </c>
      <c r="L45" s="4">
        <f t="shared" si="7"/>
        <v>338.3333333</v>
      </c>
      <c r="M45" s="4">
        <f t="shared" si="8"/>
        <v>-76.33333333</v>
      </c>
      <c r="N45" s="4">
        <f t="shared" si="9"/>
        <v>76.33333333</v>
      </c>
      <c r="O45" s="4">
        <f t="shared" si="1"/>
        <v>209.7207483</v>
      </c>
      <c r="P45" s="4">
        <f t="shared" si="2"/>
        <v>318.7840249</v>
      </c>
      <c r="Q45" s="4">
        <f t="shared" si="3"/>
        <v>487.1948261</v>
      </c>
      <c r="V45" s="4">
        <f t="shared" si="4"/>
        <v>52.27925169</v>
      </c>
      <c r="W45" s="4">
        <f t="shared" si="5"/>
        <v>56.78402487</v>
      </c>
      <c r="X45" s="4">
        <f t="shared" si="6"/>
        <v>225.1948261</v>
      </c>
    </row>
    <row r="46">
      <c r="A46" s="3">
        <v>40462.0</v>
      </c>
      <c r="B46" s="2">
        <v>322.0</v>
      </c>
      <c r="C46" s="2">
        <v>333.0</v>
      </c>
      <c r="D46" s="2">
        <v>1857.0</v>
      </c>
      <c r="E46" s="2">
        <v>333.0</v>
      </c>
      <c r="F46" s="2">
        <v>2277.0</v>
      </c>
      <c r="G46" s="2">
        <v>530.0</v>
      </c>
      <c r="H46" s="2">
        <v>152.0</v>
      </c>
      <c r="I46" s="2">
        <v>345.0</v>
      </c>
      <c r="J46" s="2">
        <v>917.0</v>
      </c>
      <c r="K46" s="2">
        <v>524.0</v>
      </c>
      <c r="L46" s="4">
        <f t="shared" si="7"/>
        <v>425.6666667</v>
      </c>
      <c r="M46" s="4">
        <f t="shared" si="8"/>
        <v>-92.66666667</v>
      </c>
      <c r="N46" s="4">
        <f t="shared" si="9"/>
        <v>92.66666667</v>
      </c>
      <c r="O46" s="4">
        <f t="shared" si="1"/>
        <v>214.9486735</v>
      </c>
      <c r="P46" s="4">
        <f t="shared" si="2"/>
        <v>301.7488174</v>
      </c>
      <c r="Q46" s="4">
        <f t="shared" si="3"/>
        <v>374.597413</v>
      </c>
      <c r="V46" s="4">
        <f t="shared" si="4"/>
        <v>118.0513265</v>
      </c>
      <c r="W46" s="4">
        <f t="shared" si="5"/>
        <v>31.25118259</v>
      </c>
      <c r="X46" s="4">
        <f t="shared" si="6"/>
        <v>41.59741304</v>
      </c>
    </row>
    <row r="47">
      <c r="A47" s="3">
        <v>40469.0</v>
      </c>
      <c r="B47" s="2">
        <v>386.0</v>
      </c>
      <c r="C47" s="2">
        <v>167.0</v>
      </c>
      <c r="D47" s="2">
        <v>783.0</v>
      </c>
      <c r="E47" s="2">
        <v>167.0</v>
      </c>
      <c r="F47" s="2">
        <v>1736.0</v>
      </c>
      <c r="G47" s="2">
        <v>406.0</v>
      </c>
      <c r="H47" s="2">
        <v>228.0</v>
      </c>
      <c r="I47" s="2">
        <v>1239.0</v>
      </c>
      <c r="J47" s="2">
        <v>144.0</v>
      </c>
      <c r="K47" s="2">
        <v>141.0</v>
      </c>
      <c r="L47" s="4">
        <f t="shared" si="7"/>
        <v>503.6666667</v>
      </c>
      <c r="M47" s="4">
        <f t="shared" si="8"/>
        <v>-336.6666667</v>
      </c>
      <c r="N47" s="4">
        <f t="shared" si="9"/>
        <v>336.6666667</v>
      </c>
      <c r="O47" s="4">
        <f t="shared" si="1"/>
        <v>226.7538061</v>
      </c>
      <c r="P47" s="4">
        <f t="shared" si="2"/>
        <v>311.1241722</v>
      </c>
      <c r="Q47" s="4">
        <f t="shared" si="3"/>
        <v>353.7987065</v>
      </c>
      <c r="V47" s="4">
        <f t="shared" si="4"/>
        <v>59.75380613</v>
      </c>
      <c r="W47" s="4">
        <f t="shared" si="5"/>
        <v>144.1241722</v>
      </c>
      <c r="X47" s="4">
        <f t="shared" si="6"/>
        <v>186.7987065</v>
      </c>
    </row>
    <row r="48">
      <c r="A48" s="3">
        <v>40476.0</v>
      </c>
      <c r="B48" s="2">
        <v>638.0</v>
      </c>
      <c r="C48" s="2">
        <v>155.0</v>
      </c>
      <c r="D48" s="2">
        <v>515.0</v>
      </c>
      <c r="E48" s="2">
        <v>155.0</v>
      </c>
      <c r="F48" s="2">
        <v>1039.0</v>
      </c>
      <c r="G48" s="2">
        <v>469.0</v>
      </c>
      <c r="H48" s="2">
        <v>175.0</v>
      </c>
      <c r="I48" s="2">
        <v>2582.0</v>
      </c>
      <c r="J48" s="2">
        <v>137.0</v>
      </c>
      <c r="K48" s="2">
        <v>276.0</v>
      </c>
      <c r="L48" s="4">
        <f t="shared" si="7"/>
        <v>254</v>
      </c>
      <c r="M48" s="4">
        <f t="shared" si="8"/>
        <v>-99</v>
      </c>
      <c r="N48" s="4">
        <f t="shared" si="9"/>
        <v>99</v>
      </c>
      <c r="O48" s="4">
        <f t="shared" si="1"/>
        <v>220.7784255</v>
      </c>
      <c r="P48" s="4">
        <f t="shared" si="2"/>
        <v>267.8869205</v>
      </c>
      <c r="Q48" s="4">
        <f t="shared" si="3"/>
        <v>260.3993533</v>
      </c>
      <c r="V48" s="4">
        <f t="shared" si="4"/>
        <v>65.77842552</v>
      </c>
      <c r="W48" s="4">
        <f t="shared" si="5"/>
        <v>112.8869205</v>
      </c>
      <c r="X48" s="4">
        <f t="shared" si="6"/>
        <v>105.3993533</v>
      </c>
    </row>
    <row r="49">
      <c r="A49" s="3">
        <v>40483.0</v>
      </c>
      <c r="B49" s="2">
        <v>227.0</v>
      </c>
      <c r="C49" s="2">
        <v>58.0</v>
      </c>
      <c r="D49" s="2">
        <v>793.0</v>
      </c>
      <c r="E49" s="2">
        <v>58.0</v>
      </c>
      <c r="F49" s="2">
        <v>992.0</v>
      </c>
      <c r="G49" s="2">
        <v>1549.0</v>
      </c>
      <c r="H49" s="2">
        <v>123.0</v>
      </c>
      <c r="I49" s="2">
        <v>926.0</v>
      </c>
      <c r="J49" s="2">
        <v>347.0</v>
      </c>
      <c r="K49" s="2">
        <v>530.0</v>
      </c>
      <c r="L49" s="4">
        <f t="shared" si="7"/>
        <v>218.3333333</v>
      </c>
      <c r="M49" s="4">
        <f t="shared" si="8"/>
        <v>-160.3333333</v>
      </c>
      <c r="N49" s="4">
        <f t="shared" si="9"/>
        <v>160.3333333</v>
      </c>
      <c r="O49" s="4">
        <f t="shared" si="1"/>
        <v>214.200583</v>
      </c>
      <c r="P49" s="4">
        <f t="shared" si="2"/>
        <v>234.0208444</v>
      </c>
      <c r="Q49" s="4">
        <f t="shared" si="3"/>
        <v>207.6996766</v>
      </c>
      <c r="V49" s="4">
        <f t="shared" si="4"/>
        <v>156.200583</v>
      </c>
      <c r="W49" s="4">
        <f t="shared" si="5"/>
        <v>176.0208444</v>
      </c>
      <c r="X49" s="4">
        <f t="shared" si="6"/>
        <v>149.6996766</v>
      </c>
    </row>
    <row r="50">
      <c r="A50" s="3">
        <v>40490.0</v>
      </c>
      <c r="B50" s="2">
        <v>570.0</v>
      </c>
      <c r="C50" s="2">
        <v>98.0</v>
      </c>
      <c r="D50" s="2">
        <v>2127.0</v>
      </c>
      <c r="E50" s="2">
        <v>98.0</v>
      </c>
      <c r="F50" s="2">
        <v>5584.0</v>
      </c>
      <c r="G50" s="2">
        <v>1675.0</v>
      </c>
      <c r="H50" s="2">
        <v>517.0</v>
      </c>
      <c r="I50" s="2">
        <v>4115.0</v>
      </c>
      <c r="J50" s="2">
        <v>659.0</v>
      </c>
      <c r="K50" s="2">
        <v>264.0</v>
      </c>
      <c r="L50" s="4">
        <f t="shared" si="7"/>
        <v>126.6666667</v>
      </c>
      <c r="M50" s="4">
        <f t="shared" si="8"/>
        <v>-28.66666667</v>
      </c>
      <c r="N50" s="4">
        <f t="shared" si="9"/>
        <v>28.66666667</v>
      </c>
      <c r="O50" s="4">
        <f t="shared" si="1"/>
        <v>198.5805247</v>
      </c>
      <c r="P50" s="4">
        <f t="shared" si="2"/>
        <v>181.2145911</v>
      </c>
      <c r="Q50" s="4">
        <f t="shared" si="3"/>
        <v>132.8498383</v>
      </c>
      <c r="V50" s="4">
        <f t="shared" si="4"/>
        <v>100.5805247</v>
      </c>
      <c r="W50" s="4">
        <f t="shared" si="5"/>
        <v>83.21459106</v>
      </c>
      <c r="X50" s="4">
        <f t="shared" si="6"/>
        <v>34.84983831</v>
      </c>
    </row>
    <row r="51">
      <c r="A51" s="3">
        <v>40497.0</v>
      </c>
      <c r="B51" s="2">
        <v>461.0</v>
      </c>
      <c r="C51" s="2">
        <v>286.0</v>
      </c>
      <c r="D51" s="2">
        <v>1215.0</v>
      </c>
      <c r="E51" s="2">
        <v>286.0</v>
      </c>
      <c r="F51" s="2">
        <v>1263.0</v>
      </c>
      <c r="G51" s="2">
        <v>1791.0</v>
      </c>
      <c r="H51" s="2">
        <v>304.0</v>
      </c>
      <c r="I51" s="2">
        <v>1746.0</v>
      </c>
      <c r="J51" s="2">
        <v>699.0</v>
      </c>
      <c r="K51" s="2">
        <v>669.0</v>
      </c>
      <c r="L51" s="4">
        <f t="shared" si="7"/>
        <v>103.6666667</v>
      </c>
      <c r="M51" s="4">
        <f t="shared" si="8"/>
        <v>182.3333333</v>
      </c>
      <c r="N51" s="4">
        <f t="shared" si="9"/>
        <v>182.3333333</v>
      </c>
      <c r="O51" s="4">
        <f t="shared" si="1"/>
        <v>188.5224722</v>
      </c>
      <c r="P51" s="4">
        <f t="shared" si="2"/>
        <v>156.2502137</v>
      </c>
      <c r="Q51" s="4">
        <f t="shared" si="3"/>
        <v>115.4249192</v>
      </c>
      <c r="V51" s="4">
        <f t="shared" si="4"/>
        <v>97.4775278</v>
      </c>
      <c r="W51" s="4">
        <f t="shared" si="5"/>
        <v>129.7497863</v>
      </c>
      <c r="X51" s="4">
        <f t="shared" si="6"/>
        <v>170.5750808</v>
      </c>
    </row>
    <row r="52">
      <c r="A52" s="3">
        <v>40504.0</v>
      </c>
      <c r="B52" s="2">
        <v>493.0</v>
      </c>
      <c r="C52" s="2">
        <v>67.0</v>
      </c>
      <c r="D52" s="2">
        <v>1223.0</v>
      </c>
      <c r="E52" s="2">
        <v>67.0</v>
      </c>
      <c r="F52" s="2">
        <v>787.0</v>
      </c>
      <c r="G52" s="2">
        <v>1716.0</v>
      </c>
      <c r="H52" s="2">
        <v>343.0</v>
      </c>
      <c r="I52" s="2">
        <v>2207.0</v>
      </c>
      <c r="J52" s="2">
        <v>273.0</v>
      </c>
      <c r="K52" s="2">
        <v>327.0</v>
      </c>
      <c r="L52" s="4">
        <f t="shared" si="7"/>
        <v>147.3333333</v>
      </c>
      <c r="M52" s="4">
        <f t="shared" si="8"/>
        <v>-80.33333333</v>
      </c>
      <c r="N52" s="4">
        <f t="shared" si="9"/>
        <v>80.33333333</v>
      </c>
      <c r="O52" s="4">
        <f t="shared" si="1"/>
        <v>198.270225</v>
      </c>
      <c r="P52" s="4">
        <f t="shared" si="2"/>
        <v>195.1751496</v>
      </c>
      <c r="Q52" s="4">
        <f t="shared" si="3"/>
        <v>200.7124596</v>
      </c>
      <c r="V52" s="4">
        <f t="shared" si="4"/>
        <v>131.270225</v>
      </c>
      <c r="W52" s="4">
        <f t="shared" si="5"/>
        <v>128.1751496</v>
      </c>
      <c r="X52" s="4">
        <f t="shared" si="6"/>
        <v>133.7124596</v>
      </c>
    </row>
    <row r="53">
      <c r="A53" s="3">
        <v>40511.0</v>
      </c>
      <c r="B53" s="2">
        <v>928.0</v>
      </c>
      <c r="C53" s="2">
        <v>69.0</v>
      </c>
      <c r="D53" s="2">
        <v>1767.0</v>
      </c>
      <c r="E53" s="2">
        <v>69.0</v>
      </c>
      <c r="F53" s="2">
        <v>1192.0</v>
      </c>
      <c r="G53" s="2">
        <v>1149.0</v>
      </c>
      <c r="H53" s="2">
        <v>848.0</v>
      </c>
      <c r="I53" s="2">
        <v>683.0</v>
      </c>
      <c r="J53" s="2">
        <v>262.0</v>
      </c>
      <c r="K53" s="2">
        <v>293.0</v>
      </c>
      <c r="L53" s="4">
        <f t="shared" si="7"/>
        <v>150.3333333</v>
      </c>
      <c r="M53" s="4">
        <f t="shared" si="8"/>
        <v>-81.33333333</v>
      </c>
      <c r="N53" s="4">
        <f t="shared" si="9"/>
        <v>81.33333333</v>
      </c>
      <c r="O53" s="4">
        <f t="shared" si="1"/>
        <v>185.1432025</v>
      </c>
      <c r="P53" s="4">
        <f t="shared" si="2"/>
        <v>156.7226047</v>
      </c>
      <c r="Q53" s="4">
        <f t="shared" si="3"/>
        <v>133.8562298</v>
      </c>
      <c r="V53" s="4">
        <f t="shared" si="4"/>
        <v>116.1432025</v>
      </c>
      <c r="W53" s="4">
        <f t="shared" si="5"/>
        <v>87.72260473</v>
      </c>
      <c r="X53" s="4">
        <f t="shared" si="6"/>
        <v>64.85622979</v>
      </c>
    </row>
    <row r="54">
      <c r="A54" s="3">
        <v>40518.0</v>
      </c>
      <c r="B54" s="2">
        <v>850.0</v>
      </c>
      <c r="C54" s="2">
        <v>165.0</v>
      </c>
      <c r="D54" s="2">
        <v>852.0</v>
      </c>
      <c r="E54" s="2">
        <v>165.0</v>
      </c>
      <c r="F54" s="2">
        <v>789.0</v>
      </c>
      <c r="G54" s="2">
        <v>1054.0</v>
      </c>
      <c r="H54" s="2">
        <v>337.0</v>
      </c>
      <c r="I54" s="2">
        <v>1012.0</v>
      </c>
      <c r="J54" s="2">
        <v>270.0</v>
      </c>
      <c r="K54" s="2">
        <v>283.0</v>
      </c>
      <c r="L54" s="4">
        <f t="shared" si="7"/>
        <v>140.6666667</v>
      </c>
      <c r="M54" s="4">
        <f t="shared" si="8"/>
        <v>24.33333333</v>
      </c>
      <c r="N54" s="4">
        <f t="shared" si="9"/>
        <v>24.33333333</v>
      </c>
      <c r="O54" s="4">
        <f t="shared" si="1"/>
        <v>173.5288822</v>
      </c>
      <c r="P54" s="4">
        <f t="shared" si="2"/>
        <v>130.4058233</v>
      </c>
      <c r="Q54" s="4">
        <f t="shared" si="3"/>
        <v>101.4281149</v>
      </c>
      <c r="V54" s="4">
        <f t="shared" si="4"/>
        <v>8.528882236</v>
      </c>
      <c r="W54" s="4">
        <f t="shared" si="5"/>
        <v>34.59417669</v>
      </c>
      <c r="X54" s="4">
        <f t="shared" si="6"/>
        <v>63.57188511</v>
      </c>
    </row>
    <row r="55">
      <c r="A55" s="3">
        <v>40525.0</v>
      </c>
      <c r="B55" s="2">
        <v>434.0</v>
      </c>
      <c r="C55" s="2">
        <v>29.0</v>
      </c>
      <c r="D55" s="2">
        <v>417.0</v>
      </c>
      <c r="E55" s="2">
        <v>29.0</v>
      </c>
      <c r="F55" s="2">
        <v>638.0</v>
      </c>
      <c r="G55" s="2">
        <v>597.0</v>
      </c>
      <c r="H55" s="2">
        <v>589.0</v>
      </c>
      <c r="I55" s="2">
        <v>981.0</v>
      </c>
      <c r="J55" s="2">
        <v>107.0</v>
      </c>
      <c r="K55" s="2">
        <v>187.0</v>
      </c>
      <c r="L55" s="4">
        <f t="shared" si="7"/>
        <v>100.3333333</v>
      </c>
      <c r="M55" s="4">
        <f t="shared" si="8"/>
        <v>-71.33333333</v>
      </c>
      <c r="N55" s="4">
        <f t="shared" si="9"/>
        <v>71.33333333</v>
      </c>
      <c r="O55" s="4">
        <f t="shared" si="1"/>
        <v>172.675994</v>
      </c>
      <c r="P55" s="4">
        <f t="shared" si="2"/>
        <v>140.7840763</v>
      </c>
      <c r="Q55" s="4">
        <f t="shared" si="3"/>
        <v>133.2140574</v>
      </c>
      <c r="V55" s="4">
        <f t="shared" si="4"/>
        <v>143.675994</v>
      </c>
      <c r="W55" s="4">
        <f t="shared" si="5"/>
        <v>111.7840763</v>
      </c>
      <c r="X55" s="4">
        <f t="shared" si="6"/>
        <v>104.2140574</v>
      </c>
    </row>
    <row r="56">
      <c r="A56" s="3">
        <v>40532.0</v>
      </c>
      <c r="B56" s="2">
        <v>177.0</v>
      </c>
      <c r="C56" s="2">
        <v>23.0</v>
      </c>
      <c r="D56" s="2">
        <v>180.0</v>
      </c>
      <c r="E56" s="2">
        <v>23.0</v>
      </c>
      <c r="F56" s="2">
        <v>40.0</v>
      </c>
      <c r="G56" s="2">
        <v>125.0</v>
      </c>
      <c r="H56" s="2">
        <v>60.0</v>
      </c>
      <c r="I56" s="2">
        <v>252.0</v>
      </c>
      <c r="J56" s="2">
        <v>9.0</v>
      </c>
      <c r="K56" s="2">
        <v>44.0</v>
      </c>
      <c r="L56" s="4">
        <f t="shared" si="7"/>
        <v>87.66666667</v>
      </c>
      <c r="M56" s="4">
        <f t="shared" si="8"/>
        <v>-64.66666667</v>
      </c>
      <c r="N56" s="4">
        <f t="shared" si="9"/>
        <v>64.66666667</v>
      </c>
      <c r="O56" s="4">
        <f t="shared" si="1"/>
        <v>158.3083946</v>
      </c>
      <c r="P56" s="4">
        <f t="shared" si="2"/>
        <v>107.2488534</v>
      </c>
      <c r="Q56" s="4">
        <f t="shared" si="3"/>
        <v>81.10702872</v>
      </c>
      <c r="V56" s="4">
        <f t="shared" si="4"/>
        <v>135.3083946</v>
      </c>
      <c r="W56" s="4">
        <f t="shared" si="5"/>
        <v>84.24885342</v>
      </c>
      <c r="X56" s="4">
        <f t="shared" si="6"/>
        <v>58.10702872</v>
      </c>
    </row>
    <row r="57">
      <c r="A57" s="3">
        <v>40539.0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f t="shared" si="7"/>
        <v>72.33333333</v>
      </c>
      <c r="M57" s="4">
        <f t="shared" si="8"/>
        <v>-72.33333333</v>
      </c>
      <c r="N57" s="4">
        <f t="shared" si="9"/>
        <v>72.33333333</v>
      </c>
      <c r="O57" s="4">
        <f t="shared" si="1"/>
        <v>144.7775552</v>
      </c>
      <c r="P57" s="4">
        <f t="shared" si="2"/>
        <v>81.9741974</v>
      </c>
      <c r="Q57" s="4">
        <f t="shared" si="3"/>
        <v>52.05351436</v>
      </c>
      <c r="V57" s="4">
        <f t="shared" si="4"/>
        <v>144.7775552</v>
      </c>
      <c r="W57" s="4">
        <f t="shared" si="5"/>
        <v>81.9741974</v>
      </c>
      <c r="X57" s="4">
        <f t="shared" si="6"/>
        <v>52.05351436</v>
      </c>
    </row>
    <row r="58">
      <c r="A58" s="3">
        <v>40546.0</v>
      </c>
      <c r="B58" s="2">
        <v>251.0</v>
      </c>
      <c r="C58" s="2">
        <v>145.0</v>
      </c>
      <c r="D58" s="2">
        <v>1274.0</v>
      </c>
      <c r="E58" s="2">
        <v>145.0</v>
      </c>
      <c r="F58" s="2">
        <v>480.0</v>
      </c>
      <c r="G58" s="2">
        <v>16.0</v>
      </c>
      <c r="H58" s="2">
        <v>861.0</v>
      </c>
      <c r="I58" s="2">
        <v>797.0</v>
      </c>
      <c r="J58" s="2">
        <v>523.0</v>
      </c>
      <c r="K58" s="2">
        <v>362.0</v>
      </c>
      <c r="L58" s="4">
        <f t="shared" si="7"/>
        <v>17.33333333</v>
      </c>
      <c r="M58" s="4">
        <f t="shared" si="8"/>
        <v>127.6666667</v>
      </c>
      <c r="N58" s="4">
        <f t="shared" si="9"/>
        <v>127.6666667</v>
      </c>
      <c r="O58" s="4">
        <f t="shared" si="1"/>
        <v>130.2997996</v>
      </c>
      <c r="P58" s="4">
        <f t="shared" si="2"/>
        <v>57.38193818</v>
      </c>
      <c r="Q58" s="4">
        <f t="shared" si="3"/>
        <v>26.02675718</v>
      </c>
      <c r="V58" s="4">
        <f t="shared" si="4"/>
        <v>14.70020036</v>
      </c>
      <c r="W58" s="4">
        <f t="shared" si="5"/>
        <v>87.61806182</v>
      </c>
      <c r="X58" s="4">
        <f t="shared" si="6"/>
        <v>118.9732428</v>
      </c>
    </row>
    <row r="59">
      <c r="A59" s="3">
        <v>40553.0</v>
      </c>
      <c r="B59" s="2">
        <v>404.0</v>
      </c>
      <c r="C59" s="2">
        <v>85.0</v>
      </c>
      <c r="D59" s="2">
        <v>225.0</v>
      </c>
      <c r="E59" s="2">
        <v>85.0</v>
      </c>
      <c r="F59" s="2">
        <v>442.0</v>
      </c>
      <c r="G59" s="2">
        <v>6.0</v>
      </c>
      <c r="H59" s="2">
        <v>175.0</v>
      </c>
      <c r="I59" s="2">
        <v>344.0</v>
      </c>
      <c r="J59" s="2">
        <v>323.0</v>
      </c>
      <c r="K59" s="2">
        <v>642.0</v>
      </c>
      <c r="L59" s="4">
        <f t="shared" si="7"/>
        <v>56</v>
      </c>
      <c r="M59" s="4">
        <f t="shared" si="8"/>
        <v>29</v>
      </c>
      <c r="N59" s="4">
        <f t="shared" si="9"/>
        <v>29</v>
      </c>
      <c r="O59" s="4">
        <f t="shared" si="1"/>
        <v>131.7698197</v>
      </c>
      <c r="P59" s="4">
        <f t="shared" si="2"/>
        <v>83.66735672</v>
      </c>
      <c r="Q59" s="4">
        <f t="shared" si="3"/>
        <v>85.51337859</v>
      </c>
      <c r="V59" s="4">
        <f t="shared" si="4"/>
        <v>46.76981967</v>
      </c>
      <c r="W59" s="4">
        <f t="shared" si="5"/>
        <v>1.332643276</v>
      </c>
      <c r="X59" s="4">
        <f t="shared" si="6"/>
        <v>0.5133785905</v>
      </c>
    </row>
    <row r="60">
      <c r="A60" s="3">
        <v>40560.0</v>
      </c>
      <c r="B60" s="2">
        <v>138.0</v>
      </c>
      <c r="C60" s="2">
        <v>69.0</v>
      </c>
      <c r="D60" s="2">
        <v>594.0</v>
      </c>
      <c r="E60" s="2">
        <v>69.0</v>
      </c>
      <c r="F60" s="2">
        <v>139.0</v>
      </c>
      <c r="G60" s="2">
        <v>2.0</v>
      </c>
      <c r="H60" s="2">
        <v>165.0</v>
      </c>
      <c r="I60" s="2">
        <v>261.0</v>
      </c>
      <c r="J60" s="2">
        <v>73.0</v>
      </c>
      <c r="K60" s="2">
        <v>128.0</v>
      </c>
      <c r="L60" s="4">
        <f t="shared" si="7"/>
        <v>76.66666667</v>
      </c>
      <c r="M60" s="4">
        <f t="shared" si="8"/>
        <v>-7.666666667</v>
      </c>
      <c r="N60" s="4">
        <f t="shared" si="9"/>
        <v>7.666666667</v>
      </c>
      <c r="O60" s="4">
        <f t="shared" si="1"/>
        <v>127.0928377</v>
      </c>
      <c r="P60" s="4">
        <f t="shared" si="2"/>
        <v>84.06714971</v>
      </c>
      <c r="Q60" s="4">
        <f t="shared" si="3"/>
        <v>85.2566893</v>
      </c>
      <c r="V60" s="4">
        <f t="shared" si="4"/>
        <v>58.0928377</v>
      </c>
      <c r="W60" s="4">
        <f t="shared" si="5"/>
        <v>15.06714971</v>
      </c>
      <c r="X60" s="4">
        <f t="shared" si="6"/>
        <v>16.2566893</v>
      </c>
    </row>
    <row r="61">
      <c r="A61" s="3">
        <v>40567.0</v>
      </c>
      <c r="B61" s="2">
        <v>228.0</v>
      </c>
      <c r="C61" s="2">
        <v>171.0</v>
      </c>
      <c r="D61" s="2">
        <v>502.0</v>
      </c>
      <c r="E61" s="2">
        <v>171.0</v>
      </c>
      <c r="F61" s="2">
        <v>344.0</v>
      </c>
      <c r="G61" s="2">
        <v>0.0</v>
      </c>
      <c r="H61" s="2">
        <v>105.0</v>
      </c>
      <c r="I61" s="2">
        <v>351.0</v>
      </c>
      <c r="J61" s="2">
        <v>199.0</v>
      </c>
      <c r="K61" s="2">
        <v>171.0</v>
      </c>
      <c r="L61" s="4">
        <f t="shared" si="7"/>
        <v>99.66666667</v>
      </c>
      <c r="M61" s="4">
        <f t="shared" si="8"/>
        <v>71.33333333</v>
      </c>
      <c r="N61" s="4">
        <f t="shared" si="9"/>
        <v>71.33333333</v>
      </c>
      <c r="O61" s="4">
        <f t="shared" si="1"/>
        <v>121.2835539</v>
      </c>
      <c r="P61" s="4">
        <f t="shared" si="2"/>
        <v>79.54700479</v>
      </c>
      <c r="Q61" s="4">
        <f t="shared" si="3"/>
        <v>77.12834465</v>
      </c>
      <c r="V61" s="4">
        <f t="shared" si="4"/>
        <v>49.71644607</v>
      </c>
      <c r="W61" s="4">
        <f t="shared" si="5"/>
        <v>91.45299521</v>
      </c>
      <c r="X61" s="4">
        <f t="shared" si="6"/>
        <v>93.87165535</v>
      </c>
    </row>
    <row r="62">
      <c r="A62" s="3">
        <v>40574.0</v>
      </c>
      <c r="B62" s="2">
        <v>149.0</v>
      </c>
      <c r="C62" s="2">
        <v>232.0</v>
      </c>
      <c r="D62" s="2">
        <v>965.0</v>
      </c>
      <c r="E62" s="2">
        <v>232.0</v>
      </c>
      <c r="F62" s="2">
        <v>937.0</v>
      </c>
      <c r="G62" s="2">
        <v>0.0</v>
      </c>
      <c r="H62" s="2">
        <v>99.0</v>
      </c>
      <c r="I62" s="2">
        <v>107.0</v>
      </c>
      <c r="J62" s="2">
        <v>225.0</v>
      </c>
      <c r="K62" s="2">
        <v>417.0</v>
      </c>
      <c r="L62" s="4">
        <f t="shared" si="7"/>
        <v>108.3333333</v>
      </c>
      <c r="M62" s="4">
        <f t="shared" si="8"/>
        <v>123.6666667</v>
      </c>
      <c r="N62" s="4">
        <f t="shared" si="9"/>
        <v>123.6666667</v>
      </c>
      <c r="O62" s="4">
        <f t="shared" si="1"/>
        <v>126.2551985</v>
      </c>
      <c r="P62" s="4">
        <f t="shared" si="2"/>
        <v>106.9829034</v>
      </c>
      <c r="Q62" s="4">
        <f t="shared" si="3"/>
        <v>124.0641723</v>
      </c>
      <c r="V62" s="4">
        <f t="shared" si="4"/>
        <v>105.7448015</v>
      </c>
      <c r="W62" s="4">
        <f t="shared" si="5"/>
        <v>125.0170966</v>
      </c>
      <c r="X62" s="4">
        <f t="shared" si="6"/>
        <v>107.9358277</v>
      </c>
    </row>
    <row r="63">
      <c r="A63" s="3">
        <v>40581.0</v>
      </c>
      <c r="B63" s="2">
        <v>137.0</v>
      </c>
      <c r="C63" s="2">
        <v>291.0</v>
      </c>
      <c r="D63" s="2">
        <v>288.0</v>
      </c>
      <c r="E63" s="2">
        <v>291.0</v>
      </c>
      <c r="F63" s="2">
        <v>160.0</v>
      </c>
      <c r="G63" s="2">
        <v>0.0</v>
      </c>
      <c r="H63" s="2">
        <v>192.0</v>
      </c>
      <c r="I63" s="2">
        <v>239.0</v>
      </c>
      <c r="J63" s="2">
        <v>95.0</v>
      </c>
      <c r="K63" s="2">
        <v>255.0</v>
      </c>
      <c r="L63" s="4">
        <f t="shared" si="7"/>
        <v>157.3333333</v>
      </c>
      <c r="M63" s="4">
        <f t="shared" si="8"/>
        <v>133.6666667</v>
      </c>
      <c r="N63" s="4">
        <f t="shared" si="9"/>
        <v>133.6666667</v>
      </c>
      <c r="O63" s="4">
        <f t="shared" si="1"/>
        <v>136.8296787</v>
      </c>
      <c r="P63" s="4">
        <f t="shared" si="2"/>
        <v>144.4880323</v>
      </c>
      <c r="Q63" s="4">
        <f t="shared" si="3"/>
        <v>178.0320862</v>
      </c>
      <c r="V63" s="4">
        <f t="shared" si="4"/>
        <v>154.1703213</v>
      </c>
      <c r="W63" s="4">
        <f t="shared" si="5"/>
        <v>146.5119677</v>
      </c>
      <c r="X63" s="4">
        <f t="shared" si="6"/>
        <v>112.9679138</v>
      </c>
    </row>
    <row r="64">
      <c r="A64" s="3">
        <v>40588.0</v>
      </c>
      <c r="B64" s="2">
        <v>399.0</v>
      </c>
      <c r="C64" s="2">
        <v>189.0</v>
      </c>
      <c r="D64" s="2">
        <v>985.0</v>
      </c>
      <c r="E64" s="2">
        <v>189.0</v>
      </c>
      <c r="F64" s="2">
        <v>588.0</v>
      </c>
      <c r="G64" s="2">
        <v>2.0</v>
      </c>
      <c r="H64" s="2">
        <v>305.0</v>
      </c>
      <c r="I64" s="2">
        <v>1040.0</v>
      </c>
      <c r="J64" s="2">
        <v>409.0</v>
      </c>
      <c r="K64" s="2">
        <v>291.0</v>
      </c>
      <c r="L64" s="4">
        <f t="shared" si="7"/>
        <v>231.3333333</v>
      </c>
      <c r="M64" s="4">
        <f t="shared" si="8"/>
        <v>-42.33333333</v>
      </c>
      <c r="N64" s="4">
        <f t="shared" si="9"/>
        <v>42.33333333</v>
      </c>
      <c r="O64" s="4">
        <f t="shared" si="1"/>
        <v>152.2467108</v>
      </c>
      <c r="P64" s="4">
        <f t="shared" si="2"/>
        <v>188.4416226</v>
      </c>
      <c r="Q64" s="4">
        <f t="shared" si="3"/>
        <v>234.5160431</v>
      </c>
      <c r="V64" s="4">
        <f t="shared" si="4"/>
        <v>36.75328918</v>
      </c>
      <c r="W64" s="4">
        <f t="shared" si="5"/>
        <v>0.5583773554</v>
      </c>
      <c r="X64" s="4">
        <f t="shared" si="6"/>
        <v>45.51604308</v>
      </c>
    </row>
    <row r="65">
      <c r="A65" s="3">
        <v>40595.0</v>
      </c>
      <c r="B65" s="2">
        <v>203.0</v>
      </c>
      <c r="C65" s="2">
        <v>157.0</v>
      </c>
      <c r="D65" s="2">
        <v>810.0</v>
      </c>
      <c r="E65" s="2">
        <v>157.0</v>
      </c>
      <c r="F65" s="2">
        <v>328.0</v>
      </c>
      <c r="G65" s="2">
        <v>2.0</v>
      </c>
      <c r="H65" s="2">
        <v>75.0</v>
      </c>
      <c r="I65" s="2">
        <v>1312.0</v>
      </c>
      <c r="J65" s="2">
        <v>260.0</v>
      </c>
      <c r="K65" s="2">
        <v>369.0</v>
      </c>
      <c r="L65" s="4">
        <f t="shared" si="7"/>
        <v>237.3333333</v>
      </c>
      <c r="M65" s="4">
        <f t="shared" si="8"/>
        <v>-80.33333333</v>
      </c>
      <c r="N65" s="4">
        <f t="shared" si="9"/>
        <v>80.33333333</v>
      </c>
      <c r="O65" s="4">
        <f t="shared" si="1"/>
        <v>155.9220397</v>
      </c>
      <c r="P65" s="4">
        <f t="shared" si="2"/>
        <v>188.6091359</v>
      </c>
      <c r="Q65" s="4">
        <f t="shared" si="3"/>
        <v>211.7580215</v>
      </c>
      <c r="V65" s="4">
        <f t="shared" si="4"/>
        <v>1.077960264</v>
      </c>
      <c r="W65" s="4">
        <f t="shared" si="5"/>
        <v>31.60913585</v>
      </c>
      <c r="X65" s="4">
        <f t="shared" si="6"/>
        <v>54.75802154</v>
      </c>
    </row>
    <row r="66">
      <c r="A66" s="3">
        <v>40602.0</v>
      </c>
      <c r="B66" s="2">
        <v>348.0</v>
      </c>
      <c r="C66" s="2">
        <v>255.0</v>
      </c>
      <c r="D66" s="2">
        <v>624.0</v>
      </c>
      <c r="E66" s="2">
        <v>255.0</v>
      </c>
      <c r="F66" s="2">
        <v>213.0</v>
      </c>
      <c r="G66" s="2">
        <v>45.0</v>
      </c>
      <c r="H66" s="2">
        <v>39.0</v>
      </c>
      <c r="I66" s="2">
        <v>370.0</v>
      </c>
      <c r="J66" s="2">
        <v>174.0</v>
      </c>
      <c r="K66" s="2">
        <v>175.0</v>
      </c>
      <c r="L66" s="4">
        <f t="shared" si="7"/>
        <v>212.3333333</v>
      </c>
      <c r="M66" s="4">
        <f t="shared" si="8"/>
        <v>42.66666667</v>
      </c>
      <c r="N66" s="4">
        <f t="shared" si="9"/>
        <v>42.66666667</v>
      </c>
      <c r="O66" s="4">
        <f t="shared" si="1"/>
        <v>156.0298358</v>
      </c>
      <c r="P66" s="4">
        <f t="shared" si="2"/>
        <v>179.1263951</v>
      </c>
      <c r="Q66" s="4">
        <f t="shared" si="3"/>
        <v>184.3790108</v>
      </c>
      <c r="V66" s="4">
        <f t="shared" si="4"/>
        <v>98.97016424</v>
      </c>
      <c r="W66" s="4">
        <f t="shared" si="5"/>
        <v>75.8736049</v>
      </c>
      <c r="X66" s="4">
        <f t="shared" si="6"/>
        <v>70.62098923</v>
      </c>
    </row>
    <row r="67">
      <c r="A67" s="3">
        <v>40609.0</v>
      </c>
      <c r="B67" s="2">
        <v>190.0</v>
      </c>
      <c r="C67" s="2">
        <v>205.0</v>
      </c>
      <c r="D67" s="2">
        <v>738.0</v>
      </c>
      <c r="E67" s="2">
        <v>205.0</v>
      </c>
      <c r="F67" s="2">
        <v>642.0</v>
      </c>
      <c r="G67" s="2">
        <v>1.0</v>
      </c>
      <c r="H67" s="2">
        <v>270.0</v>
      </c>
      <c r="I67" s="2">
        <v>779.0</v>
      </c>
      <c r="J67" s="2">
        <v>374.0</v>
      </c>
      <c r="K67" s="2">
        <v>148.0</v>
      </c>
      <c r="L67" s="4">
        <f t="shared" si="7"/>
        <v>200.3333333</v>
      </c>
      <c r="M67" s="4">
        <f t="shared" si="8"/>
        <v>4.666666667</v>
      </c>
      <c r="N67" s="4">
        <f t="shared" si="9"/>
        <v>4.666666667</v>
      </c>
      <c r="O67" s="4">
        <f t="shared" si="1"/>
        <v>165.9268522</v>
      </c>
      <c r="P67" s="4">
        <f t="shared" si="2"/>
        <v>201.8884766</v>
      </c>
      <c r="Q67" s="4">
        <f t="shared" si="3"/>
        <v>219.6895054</v>
      </c>
      <c r="V67" s="4">
        <f t="shared" si="4"/>
        <v>39.07314781</v>
      </c>
      <c r="W67" s="4">
        <f t="shared" si="5"/>
        <v>3.111523433</v>
      </c>
      <c r="X67" s="4">
        <f t="shared" si="6"/>
        <v>14.68950539</v>
      </c>
    </row>
    <row r="68">
      <c r="A68" s="3">
        <v>40616.0</v>
      </c>
      <c r="B68" s="2">
        <v>308.0</v>
      </c>
      <c r="C68" s="2">
        <v>606.0</v>
      </c>
      <c r="D68" s="2">
        <v>1546.0</v>
      </c>
      <c r="E68" s="2">
        <v>606.0</v>
      </c>
      <c r="F68" s="2">
        <v>963.0</v>
      </c>
      <c r="G68" s="2">
        <v>0.0</v>
      </c>
      <c r="H68" s="2">
        <v>108.0</v>
      </c>
      <c r="I68" s="2">
        <v>583.0</v>
      </c>
      <c r="J68" s="2">
        <v>1083.0</v>
      </c>
      <c r="K68" s="2">
        <v>278.0</v>
      </c>
      <c r="L68" s="4">
        <f t="shared" si="7"/>
        <v>205.6666667</v>
      </c>
      <c r="M68" s="4">
        <f t="shared" si="8"/>
        <v>400.3333333</v>
      </c>
      <c r="N68" s="4">
        <f t="shared" si="9"/>
        <v>400.3333333</v>
      </c>
      <c r="O68" s="4">
        <f t="shared" si="1"/>
        <v>169.834167</v>
      </c>
      <c r="P68" s="4">
        <f t="shared" si="2"/>
        <v>202.8219336</v>
      </c>
      <c r="Q68" s="4">
        <f t="shared" si="3"/>
        <v>212.3447527</v>
      </c>
      <c r="V68" s="4">
        <f t="shared" si="4"/>
        <v>436.165833</v>
      </c>
      <c r="W68" s="4">
        <f t="shared" si="5"/>
        <v>403.1780664</v>
      </c>
      <c r="X68" s="4">
        <f t="shared" si="6"/>
        <v>393.6552473</v>
      </c>
    </row>
    <row r="69">
      <c r="A69" s="3">
        <v>40623.0</v>
      </c>
      <c r="B69" s="2">
        <v>327.0</v>
      </c>
      <c r="C69" s="2">
        <v>325.0</v>
      </c>
      <c r="D69" s="2">
        <v>1379.0</v>
      </c>
      <c r="E69" s="2">
        <v>325.0</v>
      </c>
      <c r="F69" s="2">
        <v>391.0</v>
      </c>
      <c r="G69" s="2">
        <v>42.0</v>
      </c>
      <c r="H69" s="2">
        <v>22.0</v>
      </c>
      <c r="I69" s="2">
        <v>237.0</v>
      </c>
      <c r="J69" s="2">
        <v>586.0</v>
      </c>
      <c r="K69" s="2">
        <v>379.0</v>
      </c>
      <c r="L69" s="4">
        <f t="shared" si="7"/>
        <v>355.3333333</v>
      </c>
      <c r="M69" s="4">
        <f t="shared" si="8"/>
        <v>-30.33333333</v>
      </c>
      <c r="N69" s="4">
        <f t="shared" si="9"/>
        <v>30.33333333</v>
      </c>
      <c r="O69" s="4">
        <f t="shared" si="1"/>
        <v>213.4507503</v>
      </c>
      <c r="P69" s="4">
        <f t="shared" si="2"/>
        <v>323.7753535</v>
      </c>
      <c r="Q69" s="4">
        <f t="shared" si="3"/>
        <v>409.1723763</v>
      </c>
      <c r="V69" s="4">
        <f t="shared" si="4"/>
        <v>111.5492497</v>
      </c>
      <c r="W69" s="4">
        <f t="shared" si="5"/>
        <v>1.224646482</v>
      </c>
      <c r="X69" s="4">
        <f t="shared" si="6"/>
        <v>84.17237635</v>
      </c>
    </row>
    <row r="70">
      <c r="A70" s="3">
        <v>40630.0</v>
      </c>
      <c r="B70" s="2">
        <v>282.0</v>
      </c>
      <c r="C70" s="2">
        <v>368.0</v>
      </c>
      <c r="D70" s="2">
        <v>1103.0</v>
      </c>
      <c r="E70" s="2">
        <v>368.0</v>
      </c>
      <c r="F70" s="2">
        <v>585.0</v>
      </c>
      <c r="G70" s="2">
        <v>3.0</v>
      </c>
      <c r="H70" s="2">
        <v>85.0</v>
      </c>
      <c r="I70" s="2">
        <v>1030.0</v>
      </c>
      <c r="J70" s="2">
        <v>665.0</v>
      </c>
      <c r="K70" s="2">
        <v>587.0</v>
      </c>
      <c r="L70" s="4">
        <f t="shared" si="7"/>
        <v>378.6666667</v>
      </c>
      <c r="M70" s="4">
        <f t="shared" si="8"/>
        <v>-10.66666667</v>
      </c>
      <c r="N70" s="4">
        <f t="shared" si="9"/>
        <v>10.66666667</v>
      </c>
      <c r="O70" s="4">
        <f t="shared" si="1"/>
        <v>224.6056752</v>
      </c>
      <c r="P70" s="4">
        <f t="shared" si="2"/>
        <v>324.1427475</v>
      </c>
      <c r="Q70" s="4">
        <f t="shared" si="3"/>
        <v>367.0861882</v>
      </c>
      <c r="V70" s="4">
        <f t="shared" si="4"/>
        <v>143.3943248</v>
      </c>
      <c r="W70" s="4">
        <f t="shared" si="5"/>
        <v>43.85725254</v>
      </c>
      <c r="X70" s="4">
        <f t="shared" si="6"/>
        <v>0.9138118269</v>
      </c>
    </row>
    <row r="71">
      <c r="A71" s="3">
        <v>40637.0</v>
      </c>
      <c r="B71" s="2">
        <v>274.0</v>
      </c>
      <c r="C71" s="2">
        <v>460.0</v>
      </c>
      <c r="D71" s="2">
        <v>975.0</v>
      </c>
      <c r="E71" s="2">
        <v>460.0</v>
      </c>
      <c r="F71" s="2">
        <v>753.0</v>
      </c>
      <c r="G71" s="2">
        <v>9.0</v>
      </c>
      <c r="H71" s="2">
        <v>14.0</v>
      </c>
      <c r="I71" s="2">
        <v>564.0</v>
      </c>
      <c r="J71" s="2">
        <v>125.0</v>
      </c>
      <c r="K71" s="2">
        <v>247.0</v>
      </c>
      <c r="L71" s="4">
        <f t="shared" si="7"/>
        <v>433</v>
      </c>
      <c r="M71" s="4">
        <f t="shared" si="8"/>
        <v>27</v>
      </c>
      <c r="N71" s="4">
        <f t="shared" si="9"/>
        <v>27</v>
      </c>
      <c r="O71" s="4">
        <f t="shared" si="1"/>
        <v>238.9451077</v>
      </c>
      <c r="P71" s="4">
        <f t="shared" si="2"/>
        <v>337.2999232</v>
      </c>
      <c r="Q71" s="4">
        <f t="shared" si="3"/>
        <v>367.5430941</v>
      </c>
      <c r="V71" s="4">
        <f t="shared" si="4"/>
        <v>221.0548923</v>
      </c>
      <c r="W71" s="4">
        <f t="shared" si="5"/>
        <v>122.7000768</v>
      </c>
      <c r="X71" s="4">
        <f t="shared" si="6"/>
        <v>92.45690591</v>
      </c>
    </row>
    <row r="72">
      <c r="A72" s="3">
        <v>40644.0</v>
      </c>
      <c r="B72" s="2">
        <v>362.0</v>
      </c>
      <c r="C72" s="2">
        <v>542.0</v>
      </c>
      <c r="D72" s="2">
        <v>616.0</v>
      </c>
      <c r="E72" s="2">
        <v>542.0</v>
      </c>
      <c r="F72" s="2">
        <v>815.0</v>
      </c>
      <c r="G72" s="2">
        <v>0.0</v>
      </c>
      <c r="H72" s="2">
        <v>5.0</v>
      </c>
      <c r="I72" s="2">
        <v>784.0</v>
      </c>
      <c r="J72" s="2">
        <v>119.0</v>
      </c>
      <c r="K72" s="2">
        <v>305.0</v>
      </c>
      <c r="L72" s="4">
        <f t="shared" si="7"/>
        <v>384.3333333</v>
      </c>
      <c r="M72" s="4">
        <f t="shared" si="8"/>
        <v>157.6666667</v>
      </c>
      <c r="N72" s="4">
        <f t="shared" si="9"/>
        <v>157.6666667</v>
      </c>
      <c r="O72" s="4">
        <f t="shared" si="1"/>
        <v>261.0505969</v>
      </c>
      <c r="P72" s="4">
        <f t="shared" si="2"/>
        <v>374.1099463</v>
      </c>
      <c r="Q72" s="4">
        <f t="shared" si="3"/>
        <v>413.771547</v>
      </c>
      <c r="V72" s="4">
        <f t="shared" si="4"/>
        <v>280.9494031</v>
      </c>
      <c r="W72" s="4">
        <f t="shared" si="5"/>
        <v>167.8900537</v>
      </c>
      <c r="X72" s="4">
        <f t="shared" si="6"/>
        <v>128.228453</v>
      </c>
    </row>
    <row r="73">
      <c r="A73" s="3">
        <v>40651.0</v>
      </c>
      <c r="B73" s="2">
        <v>186.0</v>
      </c>
      <c r="C73" s="2">
        <v>548.0</v>
      </c>
      <c r="D73" s="2">
        <v>549.0</v>
      </c>
      <c r="E73" s="2">
        <v>548.0</v>
      </c>
      <c r="F73" s="2">
        <v>612.0</v>
      </c>
      <c r="G73" s="2">
        <v>1.0</v>
      </c>
      <c r="H73" s="2">
        <v>4.0</v>
      </c>
      <c r="I73" s="2">
        <v>232.0</v>
      </c>
      <c r="J73" s="2">
        <v>155.0</v>
      </c>
      <c r="K73" s="2">
        <v>368.0</v>
      </c>
      <c r="L73" s="4">
        <f t="shared" si="7"/>
        <v>456.6666667</v>
      </c>
      <c r="M73" s="4">
        <f t="shared" si="8"/>
        <v>91.33333333</v>
      </c>
      <c r="N73" s="4">
        <f t="shared" si="9"/>
        <v>91.33333333</v>
      </c>
      <c r="O73" s="4">
        <f t="shared" si="1"/>
        <v>289.1455373</v>
      </c>
      <c r="P73" s="4">
        <f t="shared" si="2"/>
        <v>424.4769624</v>
      </c>
      <c r="Q73" s="4">
        <f t="shared" si="3"/>
        <v>477.8857735</v>
      </c>
      <c r="V73" s="4">
        <f t="shared" si="4"/>
        <v>258.8544627</v>
      </c>
      <c r="W73" s="4">
        <f t="shared" si="5"/>
        <v>123.5230376</v>
      </c>
      <c r="X73" s="4">
        <f t="shared" si="6"/>
        <v>70.11422648</v>
      </c>
    </row>
    <row r="74">
      <c r="A74" s="3">
        <v>40658.0</v>
      </c>
      <c r="B74" s="2">
        <v>175.0</v>
      </c>
      <c r="C74" s="2">
        <v>276.0</v>
      </c>
      <c r="D74" s="2">
        <v>385.0</v>
      </c>
      <c r="E74" s="2">
        <v>276.0</v>
      </c>
      <c r="F74" s="2">
        <v>264.0</v>
      </c>
      <c r="G74" s="2">
        <v>0.0</v>
      </c>
      <c r="H74" s="2">
        <v>5.0</v>
      </c>
      <c r="I74" s="2">
        <v>310.0</v>
      </c>
      <c r="J74" s="2">
        <v>282.0</v>
      </c>
      <c r="K74" s="2">
        <v>164.0</v>
      </c>
      <c r="L74" s="4">
        <f t="shared" si="7"/>
        <v>516.6666667</v>
      </c>
      <c r="M74" s="4">
        <f t="shared" si="8"/>
        <v>-240.6666667</v>
      </c>
      <c r="N74" s="4">
        <f t="shared" si="9"/>
        <v>240.6666667</v>
      </c>
      <c r="O74" s="4">
        <f t="shared" si="1"/>
        <v>315.0309835</v>
      </c>
      <c r="P74" s="4">
        <f t="shared" si="2"/>
        <v>461.5338737</v>
      </c>
      <c r="Q74" s="4">
        <f t="shared" si="3"/>
        <v>512.9428868</v>
      </c>
      <c r="V74" s="4">
        <f t="shared" si="4"/>
        <v>39.03098353</v>
      </c>
      <c r="W74" s="4">
        <f t="shared" si="5"/>
        <v>185.5338737</v>
      </c>
      <c r="X74" s="4">
        <f t="shared" si="6"/>
        <v>236.9428868</v>
      </c>
    </row>
    <row r="75">
      <c r="A75" s="3">
        <v>40665.0</v>
      </c>
      <c r="B75" s="2">
        <v>171.0</v>
      </c>
      <c r="C75" s="2">
        <v>984.0</v>
      </c>
      <c r="D75" s="2">
        <v>380.0</v>
      </c>
      <c r="E75" s="2">
        <v>984.0</v>
      </c>
      <c r="F75" s="2">
        <v>594.0</v>
      </c>
      <c r="G75" s="2">
        <v>4.0</v>
      </c>
      <c r="H75" s="2">
        <v>109.0</v>
      </c>
      <c r="I75" s="2">
        <v>372.0</v>
      </c>
      <c r="J75" s="2">
        <v>154.0</v>
      </c>
      <c r="K75" s="2">
        <v>289.0</v>
      </c>
      <c r="L75" s="4">
        <f t="shared" si="7"/>
        <v>455.3333333</v>
      </c>
      <c r="M75" s="4">
        <f t="shared" si="8"/>
        <v>528.6666667</v>
      </c>
      <c r="N75" s="4">
        <f t="shared" si="9"/>
        <v>528.6666667</v>
      </c>
      <c r="O75" s="4">
        <f t="shared" si="1"/>
        <v>311.1278852</v>
      </c>
      <c r="P75" s="4">
        <f t="shared" si="2"/>
        <v>405.8737116</v>
      </c>
      <c r="Q75" s="4">
        <f t="shared" si="3"/>
        <v>394.4714434</v>
      </c>
      <c r="V75" s="4">
        <f t="shared" si="4"/>
        <v>672.8721148</v>
      </c>
      <c r="W75" s="4">
        <f t="shared" si="5"/>
        <v>578.1262884</v>
      </c>
      <c r="X75" s="4">
        <f t="shared" si="6"/>
        <v>589.5285566</v>
      </c>
    </row>
    <row r="76">
      <c r="A76" s="3">
        <v>40672.0</v>
      </c>
      <c r="B76" s="2">
        <v>366.0</v>
      </c>
      <c r="C76" s="2">
        <v>752.0</v>
      </c>
      <c r="D76" s="2">
        <v>1206.0</v>
      </c>
      <c r="E76" s="2">
        <v>752.0</v>
      </c>
      <c r="F76" s="2">
        <v>1201.0</v>
      </c>
      <c r="G76" s="2">
        <v>13.0</v>
      </c>
      <c r="H76" s="2">
        <v>187.0</v>
      </c>
      <c r="I76" s="2">
        <v>381.0</v>
      </c>
      <c r="J76" s="2">
        <v>401.0</v>
      </c>
      <c r="K76" s="2">
        <v>885.0</v>
      </c>
      <c r="L76" s="4">
        <f t="shared" si="7"/>
        <v>602.6666667</v>
      </c>
      <c r="M76" s="4">
        <f t="shared" si="8"/>
        <v>149.3333333</v>
      </c>
      <c r="N76" s="4">
        <f t="shared" si="9"/>
        <v>149.3333333</v>
      </c>
      <c r="O76" s="4">
        <f t="shared" si="1"/>
        <v>378.4150967</v>
      </c>
      <c r="P76" s="4">
        <f t="shared" si="2"/>
        <v>579.3115981</v>
      </c>
      <c r="Q76" s="4">
        <f t="shared" si="3"/>
        <v>689.2357217</v>
      </c>
      <c r="V76" s="4">
        <f t="shared" si="4"/>
        <v>373.5849033</v>
      </c>
      <c r="W76" s="4">
        <f t="shared" si="5"/>
        <v>172.6884019</v>
      </c>
      <c r="X76" s="4">
        <f t="shared" si="6"/>
        <v>62.76427831</v>
      </c>
    </row>
    <row r="77">
      <c r="A77" s="3">
        <v>40679.0</v>
      </c>
      <c r="B77" s="2">
        <v>305.0</v>
      </c>
      <c r="C77" s="2">
        <v>754.0</v>
      </c>
      <c r="D77" s="2">
        <v>978.0</v>
      </c>
      <c r="E77" s="2">
        <v>754.0</v>
      </c>
      <c r="F77" s="2">
        <v>595.0</v>
      </c>
      <c r="G77" s="2">
        <v>0.0</v>
      </c>
      <c r="H77" s="2">
        <v>44.0</v>
      </c>
      <c r="I77" s="2">
        <v>1300.0</v>
      </c>
      <c r="J77" s="2">
        <v>169.0</v>
      </c>
      <c r="K77" s="2">
        <v>445.0</v>
      </c>
      <c r="L77" s="4">
        <f t="shared" si="7"/>
        <v>670.6666667</v>
      </c>
      <c r="M77" s="4">
        <f t="shared" si="8"/>
        <v>83.33333333</v>
      </c>
      <c r="N77" s="4">
        <f t="shared" si="9"/>
        <v>83.33333333</v>
      </c>
      <c r="O77" s="4">
        <f t="shared" si="1"/>
        <v>415.773587</v>
      </c>
      <c r="P77" s="4">
        <f t="shared" si="2"/>
        <v>631.1181187</v>
      </c>
      <c r="Q77" s="4">
        <f t="shared" si="3"/>
        <v>720.6178608</v>
      </c>
      <c r="V77" s="4">
        <f t="shared" si="4"/>
        <v>338.226413</v>
      </c>
      <c r="W77" s="4">
        <f t="shared" si="5"/>
        <v>122.8818813</v>
      </c>
      <c r="X77" s="4">
        <f t="shared" si="6"/>
        <v>33.38213915</v>
      </c>
    </row>
    <row r="78">
      <c r="A78" s="3">
        <v>40686.0</v>
      </c>
      <c r="B78" s="2">
        <v>169.0</v>
      </c>
      <c r="C78" s="2">
        <v>839.0</v>
      </c>
      <c r="D78" s="2">
        <v>933.0</v>
      </c>
      <c r="E78" s="2">
        <v>839.0</v>
      </c>
      <c r="F78" s="2">
        <v>565.0</v>
      </c>
      <c r="G78" s="2">
        <v>0.0</v>
      </c>
      <c r="H78" s="2">
        <v>72.0</v>
      </c>
      <c r="I78" s="2">
        <v>4562.0</v>
      </c>
      <c r="J78" s="2">
        <v>558.0</v>
      </c>
      <c r="K78" s="2">
        <v>684.0</v>
      </c>
      <c r="L78" s="4">
        <f t="shared" si="7"/>
        <v>830</v>
      </c>
      <c r="M78" s="4">
        <f t="shared" si="8"/>
        <v>9</v>
      </c>
      <c r="N78" s="4">
        <f t="shared" si="9"/>
        <v>9</v>
      </c>
      <c r="O78" s="4">
        <f t="shared" si="1"/>
        <v>449.5962283</v>
      </c>
      <c r="P78" s="4">
        <f t="shared" si="2"/>
        <v>667.9826831</v>
      </c>
      <c r="Q78" s="4">
        <f t="shared" si="3"/>
        <v>737.3089304</v>
      </c>
      <c r="V78" s="4">
        <f t="shared" si="4"/>
        <v>389.4037717</v>
      </c>
      <c r="W78" s="4">
        <f t="shared" si="5"/>
        <v>171.0173169</v>
      </c>
      <c r="X78" s="4">
        <f t="shared" si="6"/>
        <v>101.6910696</v>
      </c>
    </row>
    <row r="79">
      <c r="A79" s="3">
        <v>40693.0</v>
      </c>
      <c r="B79" s="2">
        <v>263.0</v>
      </c>
      <c r="C79" s="2">
        <v>434.0</v>
      </c>
      <c r="D79" s="2">
        <v>273.0</v>
      </c>
      <c r="E79" s="2">
        <v>434.0</v>
      </c>
      <c r="F79" s="2">
        <v>384.0</v>
      </c>
      <c r="G79" s="2">
        <v>0.0</v>
      </c>
      <c r="H79" s="2">
        <v>27.0</v>
      </c>
      <c r="I79" s="2">
        <v>533.0</v>
      </c>
      <c r="J79" s="2">
        <v>410.0</v>
      </c>
      <c r="K79" s="2">
        <v>184.0</v>
      </c>
      <c r="L79" s="4">
        <f t="shared" si="7"/>
        <v>781.6666667</v>
      </c>
      <c r="M79" s="4">
        <f t="shared" si="8"/>
        <v>-347.6666667</v>
      </c>
      <c r="N79" s="4">
        <f t="shared" si="9"/>
        <v>347.6666667</v>
      </c>
      <c r="O79" s="4">
        <f t="shared" si="1"/>
        <v>488.5366055</v>
      </c>
      <c r="P79" s="4">
        <f t="shared" si="2"/>
        <v>719.2878781</v>
      </c>
      <c r="Q79" s="4">
        <f t="shared" si="3"/>
        <v>788.1544652</v>
      </c>
      <c r="V79" s="4">
        <f t="shared" si="4"/>
        <v>54.53660546</v>
      </c>
      <c r="W79" s="4">
        <f t="shared" si="5"/>
        <v>285.2878781</v>
      </c>
      <c r="X79" s="4">
        <f t="shared" si="6"/>
        <v>354.1544652</v>
      </c>
    </row>
    <row r="80">
      <c r="A80" s="3">
        <v>40700.0</v>
      </c>
      <c r="B80" s="2">
        <v>207.0</v>
      </c>
      <c r="C80" s="2">
        <v>651.0</v>
      </c>
      <c r="D80" s="2">
        <v>883.0</v>
      </c>
      <c r="E80" s="2">
        <v>651.0</v>
      </c>
      <c r="F80" s="2">
        <v>292.0</v>
      </c>
      <c r="G80" s="2">
        <v>2.0</v>
      </c>
      <c r="H80" s="2">
        <v>91.0</v>
      </c>
      <c r="I80" s="2">
        <v>410.0</v>
      </c>
      <c r="J80" s="2">
        <v>478.0</v>
      </c>
      <c r="K80" s="2">
        <v>585.0</v>
      </c>
      <c r="L80" s="4">
        <f t="shared" si="7"/>
        <v>675.6666667</v>
      </c>
      <c r="M80" s="4">
        <f t="shared" si="8"/>
        <v>-24.66666667</v>
      </c>
      <c r="N80" s="4">
        <f t="shared" si="9"/>
        <v>24.66666667</v>
      </c>
      <c r="O80" s="4">
        <f t="shared" si="1"/>
        <v>483.0829449</v>
      </c>
      <c r="P80" s="4">
        <f t="shared" si="2"/>
        <v>633.7015147</v>
      </c>
      <c r="Q80" s="4">
        <f t="shared" si="3"/>
        <v>611.0772326</v>
      </c>
      <c r="V80" s="4">
        <f t="shared" si="4"/>
        <v>167.9170551</v>
      </c>
      <c r="W80" s="4">
        <f t="shared" si="5"/>
        <v>17.2984853</v>
      </c>
      <c r="X80" s="4">
        <f t="shared" si="6"/>
        <v>39.92276739</v>
      </c>
    </row>
    <row r="81">
      <c r="A81" s="3">
        <v>40707.0</v>
      </c>
      <c r="B81" s="2">
        <v>173.0</v>
      </c>
      <c r="C81" s="2">
        <v>507.0</v>
      </c>
      <c r="D81" s="2">
        <v>959.0</v>
      </c>
      <c r="E81" s="2">
        <v>507.0</v>
      </c>
      <c r="F81" s="2">
        <v>446.0</v>
      </c>
      <c r="G81" s="2">
        <v>1.0</v>
      </c>
      <c r="H81" s="2">
        <v>113.0</v>
      </c>
      <c r="I81" s="2">
        <v>437.0</v>
      </c>
      <c r="J81" s="2">
        <v>243.0</v>
      </c>
      <c r="K81" s="2">
        <v>448.0</v>
      </c>
      <c r="L81" s="4">
        <f t="shared" si="7"/>
        <v>641.3333333</v>
      </c>
      <c r="M81" s="4">
        <f t="shared" si="8"/>
        <v>-134.3333333</v>
      </c>
      <c r="N81" s="4">
        <f t="shared" si="9"/>
        <v>134.3333333</v>
      </c>
      <c r="O81" s="4">
        <f t="shared" si="1"/>
        <v>499.8746504</v>
      </c>
      <c r="P81" s="4">
        <f t="shared" si="2"/>
        <v>638.8910603</v>
      </c>
      <c r="Q81" s="4">
        <f t="shared" si="3"/>
        <v>631.0386163</v>
      </c>
      <c r="V81" s="4">
        <f t="shared" si="4"/>
        <v>7.125349575</v>
      </c>
      <c r="W81" s="4">
        <f t="shared" si="5"/>
        <v>131.8910603</v>
      </c>
      <c r="X81" s="4">
        <f t="shared" si="6"/>
        <v>124.0386163</v>
      </c>
    </row>
    <row r="82">
      <c r="A82" s="3">
        <v>40714.0</v>
      </c>
      <c r="B82" s="2">
        <v>143.0</v>
      </c>
      <c r="C82" s="2">
        <v>598.0</v>
      </c>
      <c r="D82" s="2">
        <v>841.0</v>
      </c>
      <c r="E82" s="2">
        <v>598.0</v>
      </c>
      <c r="F82" s="2">
        <v>270.0</v>
      </c>
      <c r="G82" s="2">
        <v>6.0</v>
      </c>
      <c r="H82" s="2">
        <v>60.0</v>
      </c>
      <c r="I82" s="2">
        <v>345.0</v>
      </c>
      <c r="J82" s="2">
        <v>611.0</v>
      </c>
      <c r="K82" s="2">
        <v>238.0</v>
      </c>
      <c r="L82" s="4">
        <f t="shared" si="7"/>
        <v>530.6666667</v>
      </c>
      <c r="M82" s="4">
        <f t="shared" si="8"/>
        <v>67.33333333</v>
      </c>
      <c r="N82" s="4">
        <f t="shared" si="9"/>
        <v>67.33333333</v>
      </c>
      <c r="O82" s="4">
        <f t="shared" si="1"/>
        <v>500.5871854</v>
      </c>
      <c r="P82" s="4">
        <f t="shared" si="2"/>
        <v>599.3237422</v>
      </c>
      <c r="Q82" s="4">
        <f t="shared" si="3"/>
        <v>569.0193082</v>
      </c>
      <c r="V82" s="4">
        <f t="shared" si="4"/>
        <v>97.41281462</v>
      </c>
      <c r="W82" s="4">
        <f t="shared" si="5"/>
        <v>1.323742204</v>
      </c>
      <c r="X82" s="4">
        <f t="shared" si="6"/>
        <v>28.98069185</v>
      </c>
    </row>
    <row r="83">
      <c r="A83" s="3">
        <v>40721.0</v>
      </c>
      <c r="B83" s="2">
        <v>79.0</v>
      </c>
      <c r="C83" s="2">
        <v>276.0</v>
      </c>
      <c r="D83" s="2">
        <v>815.0</v>
      </c>
      <c r="E83" s="2">
        <v>276.0</v>
      </c>
      <c r="F83" s="2">
        <v>292.0</v>
      </c>
      <c r="G83" s="2">
        <v>365.0</v>
      </c>
      <c r="H83" s="2">
        <v>113.0</v>
      </c>
      <c r="I83" s="2">
        <v>430.0</v>
      </c>
      <c r="J83" s="2">
        <v>456.0</v>
      </c>
      <c r="K83" s="2">
        <v>303.0</v>
      </c>
      <c r="L83" s="4">
        <f t="shared" si="7"/>
        <v>585.3333333</v>
      </c>
      <c r="M83" s="4">
        <f t="shared" si="8"/>
        <v>-309.3333333</v>
      </c>
      <c r="N83" s="4">
        <f t="shared" si="9"/>
        <v>309.3333333</v>
      </c>
      <c r="O83" s="4">
        <f t="shared" si="1"/>
        <v>510.3284668</v>
      </c>
      <c r="P83" s="4">
        <f t="shared" si="2"/>
        <v>598.9266195</v>
      </c>
      <c r="Q83" s="4">
        <f t="shared" si="3"/>
        <v>583.5096541</v>
      </c>
      <c r="V83" s="4">
        <f t="shared" si="4"/>
        <v>234.3284668</v>
      </c>
      <c r="W83" s="4">
        <f t="shared" si="5"/>
        <v>322.9266195</v>
      </c>
      <c r="X83" s="4">
        <f t="shared" si="6"/>
        <v>307.5096541</v>
      </c>
    </row>
    <row r="84">
      <c r="A84" s="3">
        <v>40728.0</v>
      </c>
      <c r="B84" s="2">
        <v>131.0</v>
      </c>
      <c r="C84" s="2">
        <v>901.0</v>
      </c>
      <c r="D84" s="2">
        <v>1364.0</v>
      </c>
      <c r="E84" s="2">
        <v>901.0</v>
      </c>
      <c r="F84" s="2">
        <v>460.0</v>
      </c>
      <c r="G84" s="2">
        <v>18.0</v>
      </c>
      <c r="H84" s="2">
        <v>23.0</v>
      </c>
      <c r="I84" s="2">
        <v>636.0</v>
      </c>
      <c r="J84" s="2">
        <v>452.0</v>
      </c>
      <c r="K84" s="2">
        <v>440.0</v>
      </c>
      <c r="L84" s="4">
        <f t="shared" si="7"/>
        <v>460.3333333</v>
      </c>
      <c r="M84" s="4">
        <f t="shared" si="8"/>
        <v>440.6666667</v>
      </c>
      <c r="N84" s="4">
        <f t="shared" si="9"/>
        <v>440.6666667</v>
      </c>
      <c r="O84" s="4">
        <f t="shared" si="1"/>
        <v>486.8956202</v>
      </c>
      <c r="P84" s="4">
        <f t="shared" si="2"/>
        <v>502.0486337</v>
      </c>
      <c r="Q84" s="4">
        <f t="shared" si="3"/>
        <v>429.754827</v>
      </c>
      <c r="V84" s="4">
        <f t="shared" si="4"/>
        <v>414.1043798</v>
      </c>
      <c r="W84" s="4">
        <f t="shared" si="5"/>
        <v>398.9513663</v>
      </c>
      <c r="X84" s="4">
        <f t="shared" si="6"/>
        <v>471.245173</v>
      </c>
    </row>
    <row r="85">
      <c r="A85" s="3">
        <v>40735.0</v>
      </c>
      <c r="B85" s="2">
        <v>292.0</v>
      </c>
      <c r="C85" s="2">
        <v>354.0</v>
      </c>
      <c r="D85" s="2">
        <v>421.0</v>
      </c>
      <c r="E85" s="2">
        <v>354.0</v>
      </c>
      <c r="F85" s="2">
        <v>372.0</v>
      </c>
      <c r="G85" s="2">
        <v>10.0</v>
      </c>
      <c r="H85" s="2">
        <v>33.0</v>
      </c>
      <c r="I85" s="2">
        <v>157.0</v>
      </c>
      <c r="J85" s="2">
        <v>315.0</v>
      </c>
      <c r="K85" s="2">
        <v>231.0</v>
      </c>
      <c r="L85" s="4">
        <f t="shared" si="7"/>
        <v>591.6666667</v>
      </c>
      <c r="M85" s="4">
        <f t="shared" si="8"/>
        <v>-237.6666667</v>
      </c>
      <c r="N85" s="4">
        <f t="shared" si="9"/>
        <v>237.6666667</v>
      </c>
      <c r="O85" s="4">
        <f t="shared" si="1"/>
        <v>528.3060581</v>
      </c>
      <c r="P85" s="4">
        <f t="shared" si="2"/>
        <v>621.7340436</v>
      </c>
      <c r="Q85" s="4">
        <f t="shared" si="3"/>
        <v>665.3774135</v>
      </c>
      <c r="V85" s="4">
        <f t="shared" si="4"/>
        <v>174.3060581</v>
      </c>
      <c r="W85" s="4">
        <f t="shared" si="5"/>
        <v>267.7340436</v>
      </c>
      <c r="X85" s="4">
        <f t="shared" si="6"/>
        <v>311.3774135</v>
      </c>
    </row>
    <row r="86">
      <c r="A86" s="3">
        <v>40742.0</v>
      </c>
      <c r="B86" s="2">
        <v>340.0</v>
      </c>
      <c r="C86" s="2">
        <v>927.0</v>
      </c>
      <c r="D86" s="2">
        <v>732.0</v>
      </c>
      <c r="E86" s="2">
        <v>927.0</v>
      </c>
      <c r="F86" s="2">
        <v>519.0</v>
      </c>
      <c r="G86" s="2">
        <v>32.0</v>
      </c>
      <c r="H86" s="2">
        <v>133.0</v>
      </c>
      <c r="I86" s="2">
        <v>621.0</v>
      </c>
      <c r="J86" s="2">
        <v>307.0</v>
      </c>
      <c r="K86" s="2">
        <v>495.0</v>
      </c>
      <c r="L86" s="4">
        <f t="shared" si="7"/>
        <v>510.3333333</v>
      </c>
      <c r="M86" s="4">
        <f t="shared" si="8"/>
        <v>416.6666667</v>
      </c>
      <c r="N86" s="4">
        <f t="shared" si="9"/>
        <v>416.6666667</v>
      </c>
      <c r="O86" s="4">
        <f t="shared" si="1"/>
        <v>510.8754523</v>
      </c>
      <c r="P86" s="4">
        <f t="shared" si="2"/>
        <v>541.4138305</v>
      </c>
      <c r="Q86" s="4">
        <f t="shared" si="3"/>
        <v>509.6887068</v>
      </c>
      <c r="V86" s="4">
        <f t="shared" si="4"/>
        <v>416.1245477</v>
      </c>
      <c r="W86" s="4">
        <f t="shared" si="5"/>
        <v>385.5861695</v>
      </c>
      <c r="X86" s="4">
        <f t="shared" si="6"/>
        <v>417.3112932</v>
      </c>
    </row>
    <row r="87">
      <c r="A87" s="3">
        <v>40749.0</v>
      </c>
      <c r="B87" s="2">
        <v>341.0</v>
      </c>
      <c r="C87" s="2">
        <v>520.0</v>
      </c>
      <c r="D87" s="2">
        <v>440.0</v>
      </c>
      <c r="E87" s="2">
        <v>520.0</v>
      </c>
      <c r="F87" s="2">
        <v>478.0</v>
      </c>
      <c r="G87" s="2">
        <v>287.0</v>
      </c>
      <c r="H87" s="2">
        <v>651.0</v>
      </c>
      <c r="I87" s="2">
        <v>436.0</v>
      </c>
      <c r="J87" s="2">
        <v>403.0</v>
      </c>
      <c r="K87" s="2">
        <v>385.0</v>
      </c>
      <c r="L87" s="4">
        <f t="shared" si="7"/>
        <v>727.3333333</v>
      </c>
      <c r="M87" s="4">
        <f t="shared" si="8"/>
        <v>-207.3333333</v>
      </c>
      <c r="N87" s="4">
        <f t="shared" si="9"/>
        <v>207.3333333</v>
      </c>
      <c r="O87" s="4">
        <f t="shared" si="1"/>
        <v>552.4879071</v>
      </c>
      <c r="P87" s="4">
        <f t="shared" si="2"/>
        <v>657.0896814</v>
      </c>
      <c r="Q87" s="4">
        <f t="shared" si="3"/>
        <v>718.3443534</v>
      </c>
      <c r="V87" s="4">
        <f t="shared" si="4"/>
        <v>32.4879071</v>
      </c>
      <c r="W87" s="4">
        <f t="shared" si="5"/>
        <v>137.0896814</v>
      </c>
      <c r="X87" s="4">
        <f t="shared" si="6"/>
        <v>198.3443534</v>
      </c>
    </row>
    <row r="88">
      <c r="A88" s="3">
        <v>40756.0</v>
      </c>
      <c r="B88" s="2">
        <v>148.0</v>
      </c>
      <c r="C88" s="2">
        <v>423.0</v>
      </c>
      <c r="D88" s="2">
        <v>1040.0</v>
      </c>
      <c r="E88" s="2">
        <v>423.0</v>
      </c>
      <c r="F88" s="2">
        <v>3800.0</v>
      </c>
      <c r="G88" s="2">
        <v>161.0</v>
      </c>
      <c r="H88" s="2">
        <v>87.0</v>
      </c>
      <c r="I88" s="2">
        <v>2178.0</v>
      </c>
      <c r="J88" s="2">
        <v>382.0</v>
      </c>
      <c r="K88" s="2">
        <v>603.0</v>
      </c>
      <c r="L88" s="4">
        <f t="shared" si="7"/>
        <v>600.3333333</v>
      </c>
      <c r="M88" s="4">
        <f t="shared" si="8"/>
        <v>-177.3333333</v>
      </c>
      <c r="N88" s="4">
        <f t="shared" si="9"/>
        <v>177.3333333</v>
      </c>
      <c r="O88" s="4">
        <f t="shared" si="1"/>
        <v>549.2391164</v>
      </c>
      <c r="P88" s="4">
        <f t="shared" si="2"/>
        <v>615.9627769</v>
      </c>
      <c r="Q88" s="4">
        <f t="shared" si="3"/>
        <v>619.1721767</v>
      </c>
      <c r="V88" s="4">
        <f t="shared" si="4"/>
        <v>126.2391164</v>
      </c>
      <c r="W88" s="4">
        <f t="shared" si="5"/>
        <v>192.9627769</v>
      </c>
      <c r="X88" s="4">
        <f t="shared" si="6"/>
        <v>196.1721767</v>
      </c>
    </row>
    <row r="89">
      <c r="A89" s="3">
        <v>40763.0</v>
      </c>
      <c r="B89" s="2">
        <v>177.0</v>
      </c>
      <c r="C89" s="2">
        <v>280.0</v>
      </c>
      <c r="D89" s="2">
        <v>1373.0</v>
      </c>
      <c r="E89" s="2">
        <v>280.0</v>
      </c>
      <c r="F89" s="2">
        <v>1323.0</v>
      </c>
      <c r="G89" s="2">
        <v>22.0</v>
      </c>
      <c r="H89" s="2">
        <v>135.0</v>
      </c>
      <c r="I89" s="2">
        <v>1735.0</v>
      </c>
      <c r="J89" s="2">
        <v>551.0</v>
      </c>
      <c r="K89" s="2">
        <v>725.0</v>
      </c>
      <c r="L89" s="4">
        <f t="shared" si="7"/>
        <v>623.3333333</v>
      </c>
      <c r="M89" s="4">
        <f t="shared" si="8"/>
        <v>-343.3333333</v>
      </c>
      <c r="N89" s="4">
        <f t="shared" si="9"/>
        <v>343.3333333</v>
      </c>
      <c r="O89" s="4">
        <f t="shared" si="1"/>
        <v>536.6152047</v>
      </c>
      <c r="P89" s="4">
        <f t="shared" si="2"/>
        <v>558.0739439</v>
      </c>
      <c r="Q89" s="4">
        <f t="shared" si="3"/>
        <v>521.0860883</v>
      </c>
      <c r="V89" s="4">
        <f t="shared" si="4"/>
        <v>256.6152047</v>
      </c>
      <c r="W89" s="4">
        <f t="shared" si="5"/>
        <v>278.0739439</v>
      </c>
      <c r="X89" s="4">
        <f t="shared" si="6"/>
        <v>241.0860883</v>
      </c>
    </row>
    <row r="90">
      <c r="A90" s="3">
        <v>40770.0</v>
      </c>
      <c r="B90" s="2">
        <v>210.0</v>
      </c>
      <c r="C90" s="2">
        <v>402.0</v>
      </c>
      <c r="D90" s="2">
        <v>1356.0</v>
      </c>
      <c r="E90" s="2">
        <v>402.0</v>
      </c>
      <c r="F90" s="2">
        <v>556.0</v>
      </c>
      <c r="G90" s="2">
        <v>36.0</v>
      </c>
      <c r="H90" s="2">
        <v>62.0</v>
      </c>
      <c r="I90" s="2">
        <v>518.0</v>
      </c>
      <c r="J90" s="2">
        <v>586.0</v>
      </c>
      <c r="K90" s="2">
        <v>423.0</v>
      </c>
      <c r="L90" s="4">
        <f t="shared" si="7"/>
        <v>407.6666667</v>
      </c>
      <c r="M90" s="4">
        <f t="shared" si="8"/>
        <v>-5.666666667</v>
      </c>
      <c r="N90" s="4">
        <f t="shared" si="9"/>
        <v>5.666666667</v>
      </c>
      <c r="O90" s="4">
        <f t="shared" si="1"/>
        <v>510.9536843</v>
      </c>
      <c r="P90" s="4">
        <f t="shared" si="2"/>
        <v>474.6517607</v>
      </c>
      <c r="Q90" s="4">
        <f t="shared" si="3"/>
        <v>400.5430442</v>
      </c>
      <c r="V90" s="4">
        <f t="shared" si="4"/>
        <v>108.9536843</v>
      </c>
      <c r="W90" s="4">
        <f t="shared" si="5"/>
        <v>72.6517607</v>
      </c>
      <c r="X90" s="4">
        <f t="shared" si="6"/>
        <v>1.456955828</v>
      </c>
    </row>
    <row r="91">
      <c r="A91" s="3">
        <v>40777.0</v>
      </c>
      <c r="B91" s="2">
        <v>241.0</v>
      </c>
      <c r="C91" s="2">
        <v>470.0</v>
      </c>
      <c r="D91" s="2">
        <v>1518.0</v>
      </c>
      <c r="E91" s="2">
        <v>470.0</v>
      </c>
      <c r="F91" s="2">
        <v>850.0</v>
      </c>
      <c r="G91" s="2">
        <v>28.0</v>
      </c>
      <c r="H91" s="2">
        <v>110.0</v>
      </c>
      <c r="I91" s="2">
        <v>826.0</v>
      </c>
      <c r="J91" s="2">
        <v>619.0</v>
      </c>
      <c r="K91" s="2">
        <v>340.0</v>
      </c>
      <c r="L91" s="4">
        <f t="shared" si="7"/>
        <v>368.3333333</v>
      </c>
      <c r="M91" s="4">
        <f t="shared" si="8"/>
        <v>101.6666667</v>
      </c>
      <c r="N91" s="4">
        <f t="shared" si="9"/>
        <v>101.6666667</v>
      </c>
      <c r="O91" s="4">
        <f t="shared" si="1"/>
        <v>500.0583158</v>
      </c>
      <c r="P91" s="4">
        <f t="shared" si="2"/>
        <v>452.8562325</v>
      </c>
      <c r="Q91" s="4">
        <f t="shared" si="3"/>
        <v>401.2715221</v>
      </c>
      <c r="V91" s="4">
        <f t="shared" si="4"/>
        <v>30.05831585</v>
      </c>
      <c r="W91" s="4">
        <f t="shared" si="5"/>
        <v>17.14376751</v>
      </c>
      <c r="X91" s="4">
        <f t="shared" si="6"/>
        <v>68.72847791</v>
      </c>
    </row>
    <row r="92">
      <c r="A92" s="3">
        <v>40784.0</v>
      </c>
      <c r="B92" s="2">
        <v>146.0</v>
      </c>
      <c r="C92" s="2">
        <v>207.0</v>
      </c>
      <c r="D92" s="2">
        <v>717.0</v>
      </c>
      <c r="E92" s="2">
        <v>207.0</v>
      </c>
      <c r="F92" s="2">
        <v>216.0</v>
      </c>
      <c r="G92" s="2">
        <v>192.0</v>
      </c>
      <c r="H92" s="2">
        <v>210.0</v>
      </c>
      <c r="I92" s="2">
        <v>956.0</v>
      </c>
      <c r="J92" s="2">
        <v>248.0</v>
      </c>
      <c r="K92" s="2">
        <v>202.0</v>
      </c>
      <c r="L92" s="4">
        <f t="shared" si="7"/>
        <v>384</v>
      </c>
      <c r="M92" s="4">
        <f t="shared" si="8"/>
        <v>-177</v>
      </c>
      <c r="N92" s="4">
        <f t="shared" si="9"/>
        <v>177</v>
      </c>
      <c r="O92" s="4">
        <f t="shared" si="1"/>
        <v>497.0524843</v>
      </c>
      <c r="P92" s="4">
        <f t="shared" si="2"/>
        <v>457.9993627</v>
      </c>
      <c r="Q92" s="4">
        <f t="shared" si="3"/>
        <v>435.635761</v>
      </c>
      <c r="V92" s="4">
        <f t="shared" si="4"/>
        <v>290.0524843</v>
      </c>
      <c r="W92" s="4">
        <f t="shared" si="5"/>
        <v>250.9993627</v>
      </c>
      <c r="X92" s="4">
        <f t="shared" si="6"/>
        <v>228.635761</v>
      </c>
    </row>
    <row r="93">
      <c r="A93" s="3">
        <v>40791.0</v>
      </c>
      <c r="B93" s="2">
        <v>149.0</v>
      </c>
      <c r="C93" s="2">
        <v>300.0</v>
      </c>
      <c r="D93" s="2">
        <v>556.0</v>
      </c>
      <c r="E93" s="2">
        <v>300.0</v>
      </c>
      <c r="F93" s="2">
        <v>488.0</v>
      </c>
      <c r="G93" s="2">
        <v>455.0</v>
      </c>
      <c r="H93" s="2">
        <v>70.0</v>
      </c>
      <c r="I93" s="2">
        <v>516.0</v>
      </c>
      <c r="J93" s="2">
        <v>657.0</v>
      </c>
      <c r="K93" s="2">
        <v>424.0</v>
      </c>
      <c r="L93" s="4">
        <f t="shared" si="7"/>
        <v>359.6666667</v>
      </c>
      <c r="M93" s="4">
        <f t="shared" si="8"/>
        <v>-59.66666667</v>
      </c>
      <c r="N93" s="4">
        <f t="shared" si="9"/>
        <v>59.66666667</v>
      </c>
      <c r="O93" s="4">
        <f t="shared" si="1"/>
        <v>468.0472358</v>
      </c>
      <c r="P93" s="4">
        <f t="shared" si="2"/>
        <v>382.6995539</v>
      </c>
      <c r="Q93" s="4">
        <f t="shared" si="3"/>
        <v>321.3178805</v>
      </c>
      <c r="V93" s="4">
        <f t="shared" si="4"/>
        <v>168.0472358</v>
      </c>
      <c r="W93" s="4">
        <f t="shared" si="5"/>
        <v>82.69955392</v>
      </c>
      <c r="X93" s="4">
        <f t="shared" si="6"/>
        <v>21.31788052</v>
      </c>
    </row>
    <row r="94">
      <c r="A94" s="3">
        <v>40798.0</v>
      </c>
      <c r="B94" s="2">
        <v>218.0</v>
      </c>
      <c r="C94" s="2">
        <v>334.0</v>
      </c>
      <c r="D94" s="2">
        <v>743.0</v>
      </c>
      <c r="E94" s="2">
        <v>334.0</v>
      </c>
      <c r="F94" s="2">
        <v>908.0</v>
      </c>
      <c r="G94" s="2">
        <v>561.0</v>
      </c>
      <c r="H94" s="2">
        <v>262.0</v>
      </c>
      <c r="I94" s="2">
        <v>570.0</v>
      </c>
      <c r="J94" s="2">
        <v>478.0</v>
      </c>
      <c r="K94" s="2">
        <v>329.0</v>
      </c>
      <c r="L94" s="4">
        <f t="shared" si="7"/>
        <v>325.6666667</v>
      </c>
      <c r="M94" s="4">
        <f t="shared" si="8"/>
        <v>8.333333333</v>
      </c>
      <c r="N94" s="4">
        <f t="shared" si="9"/>
        <v>8.333333333</v>
      </c>
      <c r="O94" s="4">
        <f t="shared" si="1"/>
        <v>451.2425123</v>
      </c>
      <c r="P94" s="4">
        <f t="shared" si="2"/>
        <v>357.8896877</v>
      </c>
      <c r="Q94" s="4">
        <f t="shared" si="3"/>
        <v>310.6589403</v>
      </c>
      <c r="V94" s="4">
        <f t="shared" si="4"/>
        <v>117.2425123</v>
      </c>
      <c r="W94" s="4">
        <f t="shared" si="5"/>
        <v>23.88968774</v>
      </c>
      <c r="X94" s="4">
        <f t="shared" si="6"/>
        <v>23.34105974</v>
      </c>
    </row>
    <row r="95">
      <c r="A95" s="3">
        <v>40805.0</v>
      </c>
      <c r="B95" s="2">
        <v>147.0</v>
      </c>
      <c r="C95" s="2">
        <v>158.0</v>
      </c>
      <c r="D95" s="2">
        <v>1667.0</v>
      </c>
      <c r="E95" s="2">
        <v>158.0</v>
      </c>
      <c r="F95" s="2">
        <v>677.0</v>
      </c>
      <c r="G95" s="2">
        <v>602.0</v>
      </c>
      <c r="H95" s="2">
        <v>28.0</v>
      </c>
      <c r="I95" s="2">
        <v>682.0</v>
      </c>
      <c r="J95" s="2">
        <v>809.0</v>
      </c>
      <c r="K95" s="2">
        <v>482.0</v>
      </c>
      <c r="L95" s="4">
        <f t="shared" si="7"/>
        <v>280.3333333</v>
      </c>
      <c r="M95" s="4">
        <f t="shared" si="8"/>
        <v>-122.3333333</v>
      </c>
      <c r="N95" s="4">
        <f t="shared" si="9"/>
        <v>122.3333333</v>
      </c>
      <c r="O95" s="4">
        <f t="shared" si="1"/>
        <v>439.518261</v>
      </c>
      <c r="P95" s="4">
        <f t="shared" si="2"/>
        <v>350.7227814</v>
      </c>
      <c r="Q95" s="4">
        <f t="shared" si="3"/>
        <v>322.3294701</v>
      </c>
      <c r="V95" s="4">
        <f t="shared" si="4"/>
        <v>281.518261</v>
      </c>
      <c r="W95" s="4">
        <f t="shared" si="5"/>
        <v>192.7227814</v>
      </c>
      <c r="X95" s="4">
        <f t="shared" si="6"/>
        <v>164.3294701</v>
      </c>
    </row>
    <row r="96">
      <c r="A96" s="3">
        <v>40812.0</v>
      </c>
      <c r="B96" s="2">
        <v>148.0</v>
      </c>
      <c r="C96" s="2">
        <v>209.0</v>
      </c>
      <c r="D96" s="2">
        <v>929.0</v>
      </c>
      <c r="E96" s="2">
        <v>209.0</v>
      </c>
      <c r="F96" s="2">
        <v>799.0</v>
      </c>
      <c r="G96" s="2">
        <v>359.0</v>
      </c>
      <c r="H96" s="2">
        <v>162.0</v>
      </c>
      <c r="I96" s="2">
        <v>1675.0</v>
      </c>
      <c r="J96" s="2">
        <v>665.0</v>
      </c>
      <c r="K96" s="2">
        <v>318.0</v>
      </c>
      <c r="L96" s="4">
        <f t="shared" si="7"/>
        <v>264</v>
      </c>
      <c r="M96" s="4">
        <f t="shared" si="8"/>
        <v>-55</v>
      </c>
      <c r="N96" s="4">
        <f t="shared" si="9"/>
        <v>55</v>
      </c>
      <c r="O96" s="4">
        <f t="shared" si="1"/>
        <v>411.3664349</v>
      </c>
      <c r="P96" s="4">
        <f t="shared" si="2"/>
        <v>292.905947</v>
      </c>
      <c r="Q96" s="4">
        <f t="shared" si="3"/>
        <v>240.1647351</v>
      </c>
      <c r="V96" s="4">
        <f t="shared" si="4"/>
        <v>202.3664349</v>
      </c>
      <c r="W96" s="4">
        <f t="shared" si="5"/>
        <v>83.905947</v>
      </c>
      <c r="X96" s="4">
        <f t="shared" si="6"/>
        <v>31.16473507</v>
      </c>
    </row>
    <row r="97">
      <c r="A97" s="3">
        <v>40819.0</v>
      </c>
      <c r="B97" s="2">
        <v>409.0</v>
      </c>
      <c r="C97" s="2">
        <v>183.0</v>
      </c>
      <c r="D97" s="2">
        <v>2569.0</v>
      </c>
      <c r="E97" s="2">
        <v>183.0</v>
      </c>
      <c r="F97" s="2">
        <v>589.0</v>
      </c>
      <c r="G97" s="2">
        <v>977.0</v>
      </c>
      <c r="H97" s="2">
        <v>51.0</v>
      </c>
      <c r="I97" s="2">
        <v>835.0</v>
      </c>
      <c r="J97" s="2">
        <v>1649.0</v>
      </c>
      <c r="K97" s="2">
        <v>322.0</v>
      </c>
      <c r="L97" s="4">
        <f t="shared" si="7"/>
        <v>233.6666667</v>
      </c>
      <c r="M97" s="4">
        <f t="shared" si="8"/>
        <v>-50.66666667</v>
      </c>
      <c r="N97" s="4">
        <f t="shared" si="9"/>
        <v>50.66666667</v>
      </c>
      <c r="O97" s="4">
        <f t="shared" si="1"/>
        <v>391.1297914</v>
      </c>
      <c r="P97" s="4">
        <f t="shared" si="2"/>
        <v>267.7341629</v>
      </c>
      <c r="Q97" s="4">
        <f t="shared" si="3"/>
        <v>224.5823675</v>
      </c>
      <c r="V97" s="4">
        <f t="shared" si="4"/>
        <v>208.1297914</v>
      </c>
      <c r="W97" s="4">
        <f t="shared" si="5"/>
        <v>84.7341629</v>
      </c>
      <c r="X97" s="4">
        <f t="shared" si="6"/>
        <v>41.58236753</v>
      </c>
    </row>
    <row r="98">
      <c r="A98" s="3">
        <v>40826.0</v>
      </c>
      <c r="B98" s="2">
        <v>181.0</v>
      </c>
      <c r="C98" s="2">
        <v>106.0</v>
      </c>
      <c r="D98" s="2">
        <v>647.0</v>
      </c>
      <c r="E98" s="2">
        <v>106.0</v>
      </c>
      <c r="F98" s="2">
        <v>420.0</v>
      </c>
      <c r="G98" s="2">
        <v>739.0</v>
      </c>
      <c r="H98" s="2">
        <v>150.0</v>
      </c>
      <c r="I98" s="2">
        <v>884.0</v>
      </c>
      <c r="J98" s="2">
        <v>237.0</v>
      </c>
      <c r="K98" s="2">
        <v>443.0</v>
      </c>
      <c r="L98" s="4">
        <f t="shared" si="7"/>
        <v>183.3333333</v>
      </c>
      <c r="M98" s="4">
        <f t="shared" si="8"/>
        <v>-77.33333333</v>
      </c>
      <c r="N98" s="4">
        <f t="shared" si="9"/>
        <v>77.33333333</v>
      </c>
      <c r="O98" s="4">
        <f t="shared" si="1"/>
        <v>370.3168123</v>
      </c>
      <c r="P98" s="4">
        <f t="shared" si="2"/>
        <v>242.313914</v>
      </c>
      <c r="Q98" s="4">
        <f t="shared" si="3"/>
        <v>203.7911838</v>
      </c>
      <c r="V98" s="4">
        <f t="shared" si="4"/>
        <v>264.3168123</v>
      </c>
      <c r="W98" s="4">
        <f t="shared" si="5"/>
        <v>136.313914</v>
      </c>
      <c r="X98" s="4">
        <f t="shared" si="6"/>
        <v>97.79118377</v>
      </c>
    </row>
    <row r="99">
      <c r="A99" s="3">
        <v>40833.0</v>
      </c>
      <c r="B99" s="2">
        <v>268.0</v>
      </c>
      <c r="C99" s="2">
        <v>211.0</v>
      </c>
      <c r="D99" s="2">
        <v>1045.0</v>
      </c>
      <c r="E99" s="2">
        <v>211.0</v>
      </c>
      <c r="F99" s="2">
        <v>829.0</v>
      </c>
      <c r="G99" s="2">
        <v>756.0</v>
      </c>
      <c r="H99" s="2">
        <v>109.0</v>
      </c>
      <c r="I99" s="2">
        <v>1164.0</v>
      </c>
      <c r="J99" s="2">
        <v>334.0</v>
      </c>
      <c r="K99" s="2">
        <v>276.0</v>
      </c>
      <c r="L99" s="4">
        <f t="shared" si="7"/>
        <v>166</v>
      </c>
      <c r="M99" s="4">
        <f t="shared" si="8"/>
        <v>45</v>
      </c>
      <c r="N99" s="4">
        <f t="shared" si="9"/>
        <v>45</v>
      </c>
      <c r="O99" s="4">
        <f t="shared" si="1"/>
        <v>343.8851311</v>
      </c>
      <c r="P99" s="4">
        <f t="shared" si="2"/>
        <v>201.4197398</v>
      </c>
      <c r="Q99" s="4">
        <f t="shared" si="3"/>
        <v>154.8955919</v>
      </c>
      <c r="V99" s="4">
        <f t="shared" si="4"/>
        <v>132.8851311</v>
      </c>
      <c r="W99" s="4">
        <f t="shared" si="5"/>
        <v>9.580260181</v>
      </c>
      <c r="X99" s="4">
        <f t="shared" si="6"/>
        <v>56.10440812</v>
      </c>
    </row>
    <row r="100">
      <c r="A100" s="3">
        <v>40840.0</v>
      </c>
      <c r="B100" s="2">
        <v>135.0</v>
      </c>
      <c r="C100" s="2">
        <v>78.0</v>
      </c>
      <c r="D100" s="2">
        <v>500.0</v>
      </c>
      <c r="E100" s="2">
        <v>78.0</v>
      </c>
      <c r="F100" s="2">
        <v>778.0</v>
      </c>
      <c r="G100" s="2">
        <v>644.0</v>
      </c>
      <c r="H100" s="2">
        <v>431.0</v>
      </c>
      <c r="I100" s="2">
        <v>2775.0</v>
      </c>
      <c r="J100" s="2">
        <v>643.0</v>
      </c>
      <c r="K100" s="2">
        <v>314.0</v>
      </c>
      <c r="L100" s="4">
        <f t="shared" si="7"/>
        <v>166.6666667</v>
      </c>
      <c r="M100" s="4">
        <f t="shared" si="8"/>
        <v>-88.66666667</v>
      </c>
      <c r="N100" s="4">
        <f t="shared" si="9"/>
        <v>88.66666667</v>
      </c>
      <c r="O100" s="4">
        <f t="shared" si="1"/>
        <v>330.596618</v>
      </c>
      <c r="P100" s="4">
        <f t="shared" si="2"/>
        <v>204.2938179</v>
      </c>
      <c r="Q100" s="4">
        <f t="shared" si="3"/>
        <v>182.9477959</v>
      </c>
      <c r="V100" s="4">
        <f t="shared" si="4"/>
        <v>252.596618</v>
      </c>
      <c r="W100" s="4">
        <f t="shared" si="5"/>
        <v>126.2938179</v>
      </c>
      <c r="X100" s="4">
        <f t="shared" si="6"/>
        <v>104.9477959</v>
      </c>
    </row>
    <row r="101">
      <c r="A101" s="3">
        <v>40847.0</v>
      </c>
      <c r="B101" s="2">
        <v>279.0</v>
      </c>
      <c r="C101" s="2">
        <v>102.0</v>
      </c>
      <c r="D101" s="2">
        <v>1063.0</v>
      </c>
      <c r="E101" s="2">
        <v>102.0</v>
      </c>
      <c r="F101" s="2">
        <v>968.0</v>
      </c>
      <c r="G101" s="2">
        <v>1745.0</v>
      </c>
      <c r="H101" s="2">
        <v>166.0</v>
      </c>
      <c r="I101" s="2">
        <v>1156.0</v>
      </c>
      <c r="J101" s="2">
        <v>313.0</v>
      </c>
      <c r="K101" s="2">
        <v>223.0</v>
      </c>
      <c r="L101" s="4">
        <f t="shared" si="7"/>
        <v>131.6666667</v>
      </c>
      <c r="M101" s="4">
        <f t="shared" si="8"/>
        <v>-29.66666667</v>
      </c>
      <c r="N101" s="4">
        <f t="shared" si="9"/>
        <v>29.66666667</v>
      </c>
      <c r="O101" s="4">
        <f t="shared" si="1"/>
        <v>305.3369562</v>
      </c>
      <c r="P101" s="4">
        <f t="shared" si="2"/>
        <v>166.4056725</v>
      </c>
      <c r="Q101" s="4">
        <f t="shared" si="3"/>
        <v>130.473898</v>
      </c>
      <c r="V101" s="4">
        <f t="shared" si="4"/>
        <v>203.3369562</v>
      </c>
      <c r="W101" s="4">
        <f t="shared" si="5"/>
        <v>64.40567251</v>
      </c>
      <c r="X101" s="4">
        <f t="shared" si="6"/>
        <v>28.47389797</v>
      </c>
    </row>
    <row r="102">
      <c r="A102" s="3">
        <v>40854.0</v>
      </c>
      <c r="B102" s="2">
        <v>167.0</v>
      </c>
      <c r="C102" s="2">
        <v>135.0</v>
      </c>
      <c r="D102" s="2">
        <v>2100.0</v>
      </c>
      <c r="E102" s="2">
        <v>135.0</v>
      </c>
      <c r="F102" s="2">
        <v>1748.0</v>
      </c>
      <c r="G102" s="2">
        <v>1436.0</v>
      </c>
      <c r="H102" s="2">
        <v>482.0</v>
      </c>
      <c r="I102" s="2">
        <v>3900.0</v>
      </c>
      <c r="J102" s="2">
        <v>416.0</v>
      </c>
      <c r="K102" s="2">
        <v>556.0</v>
      </c>
      <c r="L102" s="4">
        <f t="shared" si="7"/>
        <v>130.3333333</v>
      </c>
      <c r="M102" s="4">
        <f t="shared" si="8"/>
        <v>4.666666667</v>
      </c>
      <c r="N102" s="4">
        <f t="shared" si="9"/>
        <v>4.666666667</v>
      </c>
      <c r="O102" s="4">
        <f t="shared" si="1"/>
        <v>285.0032605</v>
      </c>
      <c r="P102" s="4">
        <f t="shared" si="2"/>
        <v>147.0839708</v>
      </c>
      <c r="Q102" s="4">
        <f t="shared" si="3"/>
        <v>116.236949</v>
      </c>
      <c r="V102" s="4">
        <f t="shared" si="4"/>
        <v>150.0032605</v>
      </c>
      <c r="W102" s="4">
        <f t="shared" si="5"/>
        <v>12.08397076</v>
      </c>
      <c r="X102" s="4">
        <f t="shared" si="6"/>
        <v>18.76305101</v>
      </c>
    </row>
    <row r="103">
      <c r="A103" s="3">
        <v>40861.0</v>
      </c>
      <c r="B103" s="2">
        <v>235.0</v>
      </c>
      <c r="C103" s="2">
        <v>218.0</v>
      </c>
      <c r="D103" s="2">
        <v>1602.0</v>
      </c>
      <c r="E103" s="2">
        <v>218.0</v>
      </c>
      <c r="F103" s="2">
        <v>1326.0</v>
      </c>
      <c r="G103" s="2">
        <v>2161.0</v>
      </c>
      <c r="H103" s="2">
        <v>389.0</v>
      </c>
      <c r="I103" s="2">
        <v>3145.0</v>
      </c>
      <c r="J103" s="2">
        <v>522.0</v>
      </c>
      <c r="K103" s="2">
        <v>650.0</v>
      </c>
      <c r="L103" s="4">
        <f t="shared" si="7"/>
        <v>105</v>
      </c>
      <c r="M103" s="4">
        <f t="shared" si="8"/>
        <v>113</v>
      </c>
      <c r="N103" s="4">
        <f t="shared" si="9"/>
        <v>113</v>
      </c>
      <c r="O103" s="4">
        <f t="shared" si="1"/>
        <v>270.0029345</v>
      </c>
      <c r="P103" s="4">
        <f t="shared" si="2"/>
        <v>143.4587795</v>
      </c>
      <c r="Q103" s="4">
        <f t="shared" si="3"/>
        <v>125.6184745</v>
      </c>
      <c r="V103" s="4">
        <f t="shared" si="4"/>
        <v>52.00293449</v>
      </c>
      <c r="W103" s="4">
        <f t="shared" si="5"/>
        <v>74.54122047</v>
      </c>
      <c r="X103" s="4">
        <f t="shared" si="6"/>
        <v>92.38152551</v>
      </c>
    </row>
    <row r="104">
      <c r="A104" s="3">
        <v>40868.0</v>
      </c>
      <c r="B104" s="2">
        <v>249.0</v>
      </c>
      <c r="C104" s="2">
        <v>455.0</v>
      </c>
      <c r="D104" s="2">
        <v>753.0</v>
      </c>
      <c r="E104" s="2">
        <v>455.0</v>
      </c>
      <c r="F104" s="2">
        <v>1037.0</v>
      </c>
      <c r="G104" s="2">
        <v>1692.0</v>
      </c>
      <c r="H104" s="2">
        <v>959.0</v>
      </c>
      <c r="I104" s="2">
        <v>2755.0</v>
      </c>
      <c r="J104" s="2">
        <v>253.0</v>
      </c>
      <c r="K104" s="2">
        <v>276.0</v>
      </c>
      <c r="L104" s="4">
        <f t="shared" si="7"/>
        <v>151.6666667</v>
      </c>
      <c r="M104" s="4">
        <f t="shared" si="8"/>
        <v>303.3333333</v>
      </c>
      <c r="N104" s="4">
        <f t="shared" si="9"/>
        <v>303.3333333</v>
      </c>
      <c r="O104" s="4">
        <f t="shared" si="1"/>
        <v>264.802641</v>
      </c>
      <c r="P104" s="4">
        <f t="shared" si="2"/>
        <v>165.8211457</v>
      </c>
      <c r="Q104" s="4">
        <f t="shared" si="3"/>
        <v>171.8092372</v>
      </c>
      <c r="V104" s="4">
        <f t="shared" si="4"/>
        <v>190.197359</v>
      </c>
      <c r="W104" s="4">
        <f t="shared" si="5"/>
        <v>289.1788543</v>
      </c>
      <c r="X104" s="4">
        <f t="shared" si="6"/>
        <v>283.1907628</v>
      </c>
    </row>
    <row r="105">
      <c r="A105" s="3">
        <v>40875.0</v>
      </c>
      <c r="B105" s="2">
        <v>226.0</v>
      </c>
      <c r="C105" s="2">
        <v>105.0</v>
      </c>
      <c r="D105" s="2">
        <v>1040.0</v>
      </c>
      <c r="E105" s="2">
        <v>105.0</v>
      </c>
      <c r="F105" s="2">
        <v>953.0</v>
      </c>
      <c r="G105" s="2">
        <v>1564.0</v>
      </c>
      <c r="H105" s="2">
        <v>314.0</v>
      </c>
      <c r="I105" s="2">
        <v>3275.0</v>
      </c>
      <c r="J105" s="2">
        <v>436.0</v>
      </c>
      <c r="K105" s="2">
        <v>331.0</v>
      </c>
      <c r="L105" s="4">
        <f t="shared" si="7"/>
        <v>269.3333333</v>
      </c>
      <c r="M105" s="4">
        <f t="shared" si="8"/>
        <v>-164.3333333</v>
      </c>
      <c r="N105" s="4">
        <f t="shared" si="9"/>
        <v>164.3333333</v>
      </c>
      <c r="O105" s="4">
        <f t="shared" si="1"/>
        <v>283.8223769</v>
      </c>
      <c r="P105" s="4">
        <f t="shared" si="2"/>
        <v>252.574802</v>
      </c>
      <c r="Q105" s="4">
        <f t="shared" si="3"/>
        <v>313.4046186</v>
      </c>
      <c r="V105" s="4">
        <f t="shared" si="4"/>
        <v>178.8223769</v>
      </c>
      <c r="W105" s="4">
        <f t="shared" si="5"/>
        <v>147.574802</v>
      </c>
      <c r="X105" s="4">
        <f t="shared" si="6"/>
        <v>208.4046186</v>
      </c>
    </row>
    <row r="106">
      <c r="T106" s="1" t="s">
        <v>21</v>
      </c>
      <c r="U106" s="5">
        <f>AVERAGE(N94:N105)</f>
        <v>88.52777778</v>
      </c>
    </row>
    <row r="107">
      <c r="T107" s="1" t="s">
        <v>22</v>
      </c>
      <c r="U107" s="5">
        <f>AVERAGE(V94:V105)</f>
        <v>186.118204</v>
      </c>
    </row>
    <row r="108">
      <c r="T108" s="1" t="s">
        <v>23</v>
      </c>
      <c r="U108" s="5">
        <f>AVERAGE(W94:W105)</f>
        <v>103.7687576</v>
      </c>
    </row>
    <row r="109">
      <c r="T109" s="1" t="s">
        <v>24</v>
      </c>
      <c r="U109" s="5">
        <f>AVERAGE(X94:X105)</f>
        <v>95.87290635</v>
      </c>
    </row>
    <row r="111">
      <c r="V111" s="1" t="s">
        <v>25</v>
      </c>
      <c r="W111" s="1" t="s">
        <v>26</v>
      </c>
    </row>
    <row r="112">
      <c r="V112" s="4">
        <f>AVERAGE(C2:C105)</f>
        <v>268.2884615</v>
      </c>
      <c r="W112" s="4">
        <f>STDEV(C2:C105)</f>
        <v>240.7891021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0.1</v>
      </c>
      <c r="V1" s="1" t="s">
        <v>18</v>
      </c>
      <c r="W1" s="1" t="s">
        <v>19</v>
      </c>
      <c r="X1" s="1" t="s">
        <v>20</v>
      </c>
    </row>
    <row r="2">
      <c r="A2" s="3">
        <v>40154.0</v>
      </c>
      <c r="B2" s="2">
        <v>0.0</v>
      </c>
      <c r="C2" s="2">
        <v>1213.0</v>
      </c>
      <c r="D2" s="2">
        <v>1233.0</v>
      </c>
      <c r="E2" s="2">
        <v>19.0</v>
      </c>
      <c r="F2" s="2">
        <v>1213.0</v>
      </c>
      <c r="G2" s="2">
        <v>663.0</v>
      </c>
      <c r="H2" s="2">
        <v>175.0</v>
      </c>
      <c r="I2" s="2">
        <v>153.0</v>
      </c>
      <c r="J2" s="2">
        <v>0.0</v>
      </c>
      <c r="K2" s="2">
        <v>324.0</v>
      </c>
      <c r="O2" s="4">
        <f>(C2)</f>
        <v>1213</v>
      </c>
      <c r="P2" s="4">
        <f>(C2)</f>
        <v>1213</v>
      </c>
      <c r="Q2" s="4">
        <f>(C2)</f>
        <v>1213</v>
      </c>
      <c r="S2" s="2">
        <v>0.3</v>
      </c>
    </row>
    <row r="3">
      <c r="A3" s="3">
        <v>40161.0</v>
      </c>
      <c r="B3" s="2">
        <v>0.0</v>
      </c>
      <c r="C3" s="2">
        <v>1324.0</v>
      </c>
      <c r="D3" s="2">
        <v>1304.0</v>
      </c>
      <c r="E3" s="2">
        <v>52.0</v>
      </c>
      <c r="F3" s="2">
        <v>1324.0</v>
      </c>
      <c r="G3" s="2">
        <v>572.0</v>
      </c>
      <c r="H3" s="2">
        <v>173.0</v>
      </c>
      <c r="I3" s="2">
        <v>644.0</v>
      </c>
      <c r="J3" s="2">
        <v>0.0</v>
      </c>
      <c r="K3" s="2">
        <v>236.0</v>
      </c>
      <c r="O3" s="4">
        <f t="shared" ref="O3:O105" si="1">($S$1*C2+(1-$S$1)*O2)</f>
        <v>1213</v>
      </c>
      <c r="P3" s="4">
        <f t="shared" ref="P3:P105" si="2">($S$2*C2+(1-$S$2)*P2)</f>
        <v>1213</v>
      </c>
      <c r="Q3" s="4">
        <f t="shared" ref="Q3:Q105" si="3">($S$3*C2+(1-$S$3)*Q2)</f>
        <v>1213</v>
      </c>
      <c r="S3" s="2">
        <v>0.5</v>
      </c>
      <c r="V3" s="4">
        <f t="shared" ref="V3:V105" si="4">ABS(C3-O3)</f>
        <v>111</v>
      </c>
      <c r="W3" s="4">
        <f t="shared" ref="W3:W105" si="5">ABS(C3-P3)</f>
        <v>111</v>
      </c>
      <c r="X3" s="4">
        <f t="shared" ref="X3:X105" si="6">ABS(C3-Q3)</f>
        <v>111</v>
      </c>
    </row>
    <row r="4">
      <c r="A4" s="3">
        <v>40168.0</v>
      </c>
      <c r="B4" s="2">
        <v>0.0</v>
      </c>
      <c r="C4" s="2">
        <v>82.0</v>
      </c>
      <c r="D4" s="2">
        <v>36.0</v>
      </c>
      <c r="E4" s="2">
        <v>1.0</v>
      </c>
      <c r="F4" s="2">
        <v>82.0</v>
      </c>
      <c r="G4" s="2">
        <v>69.0</v>
      </c>
      <c r="H4" s="2">
        <v>19.0</v>
      </c>
      <c r="I4" s="2">
        <v>2.0</v>
      </c>
      <c r="J4" s="2">
        <v>0.0</v>
      </c>
      <c r="K4" s="2">
        <v>111.0</v>
      </c>
      <c r="O4" s="4">
        <f t="shared" si="1"/>
        <v>1224.1</v>
      </c>
      <c r="P4" s="4">
        <f t="shared" si="2"/>
        <v>1246.3</v>
      </c>
      <c r="Q4" s="4">
        <f t="shared" si="3"/>
        <v>1268.5</v>
      </c>
      <c r="V4" s="4">
        <f t="shared" si="4"/>
        <v>1142.1</v>
      </c>
      <c r="W4" s="4">
        <f t="shared" si="5"/>
        <v>1164.3</v>
      </c>
      <c r="X4" s="4">
        <f t="shared" si="6"/>
        <v>1186.5</v>
      </c>
    </row>
    <row r="5">
      <c r="A5" s="3">
        <v>40175.0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f t="shared" ref="L5:L105" si="7">AVERAGE(C2:C4)</f>
        <v>873</v>
      </c>
      <c r="M5" s="4">
        <f t="shared" ref="M5:M105" si="8">(C5-L5)</f>
        <v>-873</v>
      </c>
      <c r="N5" s="4">
        <f t="shared" ref="N5:N105" si="9">ABS(M5)</f>
        <v>873</v>
      </c>
      <c r="O5" s="4">
        <f t="shared" si="1"/>
        <v>1109.89</v>
      </c>
      <c r="P5" s="4">
        <f t="shared" si="2"/>
        <v>897.01</v>
      </c>
      <c r="Q5" s="4">
        <f t="shared" si="3"/>
        <v>675.25</v>
      </c>
      <c r="V5" s="4">
        <f t="shared" si="4"/>
        <v>1109.89</v>
      </c>
      <c r="W5" s="4">
        <f t="shared" si="5"/>
        <v>897.01</v>
      </c>
      <c r="X5" s="4">
        <f t="shared" si="6"/>
        <v>675.25</v>
      </c>
    </row>
    <row r="6">
      <c r="A6" s="3">
        <v>40182.0</v>
      </c>
      <c r="B6" s="2">
        <v>0.0</v>
      </c>
      <c r="C6" s="2">
        <v>168.0</v>
      </c>
      <c r="D6" s="2">
        <v>1152.0</v>
      </c>
      <c r="E6" s="2">
        <v>47.0</v>
      </c>
      <c r="F6" s="2">
        <v>168.0</v>
      </c>
      <c r="G6" s="2">
        <v>0.0</v>
      </c>
      <c r="H6" s="2">
        <v>17.0</v>
      </c>
      <c r="I6" s="2">
        <v>21.0</v>
      </c>
      <c r="J6" s="2">
        <v>0.0</v>
      </c>
      <c r="K6" s="2">
        <v>324.0</v>
      </c>
      <c r="L6" s="4">
        <f t="shared" si="7"/>
        <v>468.6666667</v>
      </c>
      <c r="M6" s="4">
        <f t="shared" si="8"/>
        <v>-300.6666667</v>
      </c>
      <c r="N6" s="4">
        <f t="shared" si="9"/>
        <v>300.6666667</v>
      </c>
      <c r="O6" s="4">
        <f t="shared" si="1"/>
        <v>998.901</v>
      </c>
      <c r="P6" s="4">
        <f t="shared" si="2"/>
        <v>627.907</v>
      </c>
      <c r="Q6" s="4">
        <f t="shared" si="3"/>
        <v>337.625</v>
      </c>
      <c r="V6" s="4">
        <f t="shared" si="4"/>
        <v>830.901</v>
      </c>
      <c r="W6" s="4">
        <f t="shared" si="5"/>
        <v>459.907</v>
      </c>
      <c r="X6" s="4">
        <f t="shared" si="6"/>
        <v>169.625</v>
      </c>
    </row>
    <row r="7">
      <c r="A7" s="3">
        <v>40189.0</v>
      </c>
      <c r="B7" s="2">
        <v>0.0</v>
      </c>
      <c r="C7" s="2">
        <v>233.0</v>
      </c>
      <c r="D7" s="2">
        <v>928.0</v>
      </c>
      <c r="E7" s="2">
        <v>64.0</v>
      </c>
      <c r="F7" s="2">
        <v>233.0</v>
      </c>
      <c r="G7" s="2">
        <v>20.0</v>
      </c>
      <c r="H7" s="2">
        <v>23.0</v>
      </c>
      <c r="I7" s="2">
        <v>72.0</v>
      </c>
      <c r="J7" s="2">
        <v>0.0</v>
      </c>
      <c r="K7" s="2">
        <v>190.0</v>
      </c>
      <c r="L7" s="4">
        <f t="shared" si="7"/>
        <v>83.33333333</v>
      </c>
      <c r="M7" s="4">
        <f t="shared" si="8"/>
        <v>149.6666667</v>
      </c>
      <c r="N7" s="4">
        <f t="shared" si="9"/>
        <v>149.6666667</v>
      </c>
      <c r="O7" s="4">
        <f t="shared" si="1"/>
        <v>915.8109</v>
      </c>
      <c r="P7" s="4">
        <f t="shared" si="2"/>
        <v>489.9349</v>
      </c>
      <c r="Q7" s="4">
        <f t="shared" si="3"/>
        <v>252.8125</v>
      </c>
      <c r="V7" s="4">
        <f t="shared" si="4"/>
        <v>682.8109</v>
      </c>
      <c r="W7" s="4">
        <f t="shared" si="5"/>
        <v>256.9349</v>
      </c>
      <c r="X7" s="4">
        <f t="shared" si="6"/>
        <v>19.8125</v>
      </c>
    </row>
    <row r="8">
      <c r="A8" s="3">
        <v>40196.0</v>
      </c>
      <c r="B8" s="2">
        <v>0.0</v>
      </c>
      <c r="C8" s="2">
        <v>897.0</v>
      </c>
      <c r="D8" s="2">
        <v>627.0</v>
      </c>
      <c r="E8" s="2">
        <v>49.0</v>
      </c>
      <c r="F8" s="2">
        <v>897.0</v>
      </c>
      <c r="G8" s="2">
        <v>3.0</v>
      </c>
      <c r="H8" s="2">
        <v>0.0</v>
      </c>
      <c r="I8" s="2">
        <v>23.0</v>
      </c>
      <c r="J8" s="2">
        <v>0.0</v>
      </c>
      <c r="K8" s="2">
        <v>479.0</v>
      </c>
      <c r="L8" s="4">
        <f t="shared" si="7"/>
        <v>133.6666667</v>
      </c>
      <c r="M8" s="4">
        <f t="shared" si="8"/>
        <v>763.3333333</v>
      </c>
      <c r="N8" s="4">
        <f t="shared" si="9"/>
        <v>763.3333333</v>
      </c>
      <c r="O8" s="4">
        <f t="shared" si="1"/>
        <v>847.52981</v>
      </c>
      <c r="P8" s="4">
        <f t="shared" si="2"/>
        <v>412.85443</v>
      </c>
      <c r="Q8" s="4">
        <f t="shared" si="3"/>
        <v>242.90625</v>
      </c>
      <c r="V8" s="4">
        <f t="shared" si="4"/>
        <v>49.47019</v>
      </c>
      <c r="W8" s="4">
        <f t="shared" si="5"/>
        <v>484.14557</v>
      </c>
      <c r="X8" s="4">
        <f t="shared" si="6"/>
        <v>654.09375</v>
      </c>
    </row>
    <row r="9">
      <c r="A9" s="3">
        <v>40203.0</v>
      </c>
      <c r="B9" s="2">
        <v>0.0</v>
      </c>
      <c r="C9" s="2">
        <v>211.0</v>
      </c>
      <c r="D9" s="2">
        <v>864.0</v>
      </c>
      <c r="E9" s="2">
        <v>186.0</v>
      </c>
      <c r="F9" s="2">
        <v>211.0</v>
      </c>
      <c r="G9" s="2">
        <v>0.0</v>
      </c>
      <c r="H9" s="2">
        <v>0.0</v>
      </c>
      <c r="I9" s="2">
        <v>621.0</v>
      </c>
      <c r="J9" s="2">
        <v>114.0</v>
      </c>
      <c r="K9" s="2">
        <v>504.0</v>
      </c>
      <c r="L9" s="4">
        <f t="shared" si="7"/>
        <v>432.6666667</v>
      </c>
      <c r="M9" s="4">
        <f t="shared" si="8"/>
        <v>-221.6666667</v>
      </c>
      <c r="N9" s="4">
        <f t="shared" si="9"/>
        <v>221.6666667</v>
      </c>
      <c r="O9" s="4">
        <f t="shared" si="1"/>
        <v>852.476829</v>
      </c>
      <c r="P9" s="4">
        <f t="shared" si="2"/>
        <v>558.098101</v>
      </c>
      <c r="Q9" s="4">
        <f t="shared" si="3"/>
        <v>569.953125</v>
      </c>
      <c r="V9" s="4">
        <f t="shared" si="4"/>
        <v>641.476829</v>
      </c>
      <c r="W9" s="4">
        <f t="shared" si="5"/>
        <v>347.098101</v>
      </c>
      <c r="X9" s="4">
        <f t="shared" si="6"/>
        <v>358.953125</v>
      </c>
    </row>
    <row r="10">
      <c r="A10" s="3">
        <v>40210.0</v>
      </c>
      <c r="B10" s="2">
        <v>0.0</v>
      </c>
      <c r="C10" s="2">
        <v>274.0</v>
      </c>
      <c r="D10" s="2">
        <v>488.0</v>
      </c>
      <c r="E10" s="2">
        <v>53.0</v>
      </c>
      <c r="F10" s="2">
        <v>274.0</v>
      </c>
      <c r="G10" s="2">
        <v>0.0</v>
      </c>
      <c r="H10" s="2">
        <v>24.0</v>
      </c>
      <c r="I10" s="2">
        <v>81.0</v>
      </c>
      <c r="J10" s="2">
        <v>338.0</v>
      </c>
      <c r="K10" s="2">
        <v>326.0</v>
      </c>
      <c r="L10" s="4">
        <f t="shared" si="7"/>
        <v>447</v>
      </c>
      <c r="M10" s="4">
        <f t="shared" si="8"/>
        <v>-173</v>
      </c>
      <c r="N10" s="4">
        <f t="shared" si="9"/>
        <v>173</v>
      </c>
      <c r="O10" s="4">
        <f t="shared" si="1"/>
        <v>788.3291461</v>
      </c>
      <c r="P10" s="4">
        <f t="shared" si="2"/>
        <v>453.9686707</v>
      </c>
      <c r="Q10" s="4">
        <f t="shared" si="3"/>
        <v>390.4765625</v>
      </c>
      <c r="V10" s="4">
        <f t="shared" si="4"/>
        <v>514.3291461</v>
      </c>
      <c r="W10" s="4">
        <f t="shared" si="5"/>
        <v>179.9686707</v>
      </c>
      <c r="X10" s="4">
        <f t="shared" si="6"/>
        <v>116.4765625</v>
      </c>
    </row>
    <row r="11">
      <c r="A11" s="3">
        <v>40217.0</v>
      </c>
      <c r="B11" s="2">
        <v>0.0</v>
      </c>
      <c r="C11" s="2">
        <v>512.0</v>
      </c>
      <c r="D11" s="2">
        <v>547.0</v>
      </c>
      <c r="E11" s="2">
        <v>51.0</v>
      </c>
      <c r="F11" s="2">
        <v>512.0</v>
      </c>
      <c r="G11" s="2">
        <v>0.0</v>
      </c>
      <c r="H11" s="2">
        <v>0.0</v>
      </c>
      <c r="I11" s="2">
        <v>68.0</v>
      </c>
      <c r="J11" s="2">
        <v>314.0</v>
      </c>
      <c r="K11" s="2">
        <v>213.0</v>
      </c>
      <c r="L11" s="4">
        <f t="shared" si="7"/>
        <v>460.6666667</v>
      </c>
      <c r="M11" s="4">
        <f t="shared" si="8"/>
        <v>51.33333333</v>
      </c>
      <c r="N11" s="4">
        <f t="shared" si="9"/>
        <v>51.33333333</v>
      </c>
      <c r="O11" s="4">
        <f t="shared" si="1"/>
        <v>736.8962315</v>
      </c>
      <c r="P11" s="4">
        <f t="shared" si="2"/>
        <v>399.9780695</v>
      </c>
      <c r="Q11" s="4">
        <f t="shared" si="3"/>
        <v>332.2382813</v>
      </c>
      <c r="V11" s="4">
        <f t="shared" si="4"/>
        <v>224.8962315</v>
      </c>
      <c r="W11" s="4">
        <f t="shared" si="5"/>
        <v>112.0219305</v>
      </c>
      <c r="X11" s="4">
        <f t="shared" si="6"/>
        <v>179.7617188</v>
      </c>
    </row>
    <row r="12">
      <c r="A12" s="3">
        <v>40224.0</v>
      </c>
      <c r="B12" s="2">
        <v>0.0</v>
      </c>
      <c r="C12" s="2">
        <v>587.0</v>
      </c>
      <c r="D12" s="2">
        <v>1014.0</v>
      </c>
      <c r="E12" s="2">
        <v>159.0</v>
      </c>
      <c r="F12" s="2">
        <v>587.0</v>
      </c>
      <c r="G12" s="2">
        <v>0.0</v>
      </c>
      <c r="H12" s="2">
        <v>1.0</v>
      </c>
      <c r="I12" s="2">
        <v>19.0</v>
      </c>
      <c r="J12" s="2">
        <v>720.0</v>
      </c>
      <c r="K12" s="2">
        <v>442.0</v>
      </c>
      <c r="L12" s="4">
        <f t="shared" si="7"/>
        <v>332.3333333</v>
      </c>
      <c r="M12" s="4">
        <f t="shared" si="8"/>
        <v>254.6666667</v>
      </c>
      <c r="N12" s="4">
        <f t="shared" si="9"/>
        <v>254.6666667</v>
      </c>
      <c r="O12" s="4">
        <f t="shared" si="1"/>
        <v>714.4066083</v>
      </c>
      <c r="P12" s="4">
        <f t="shared" si="2"/>
        <v>433.5846486</v>
      </c>
      <c r="Q12" s="4">
        <f t="shared" si="3"/>
        <v>422.1191406</v>
      </c>
      <c r="V12" s="4">
        <f t="shared" si="4"/>
        <v>127.4066083</v>
      </c>
      <c r="W12" s="4">
        <f t="shared" si="5"/>
        <v>153.4153514</v>
      </c>
      <c r="X12" s="4">
        <f t="shared" si="6"/>
        <v>164.8808594</v>
      </c>
    </row>
    <row r="13">
      <c r="A13" s="3">
        <v>40231.0</v>
      </c>
      <c r="B13" s="2">
        <v>0.0</v>
      </c>
      <c r="C13" s="2">
        <v>294.0</v>
      </c>
      <c r="D13" s="2">
        <v>613.0</v>
      </c>
      <c r="E13" s="2">
        <v>79.0</v>
      </c>
      <c r="F13" s="2">
        <v>294.0</v>
      </c>
      <c r="G13" s="2">
        <v>0.0</v>
      </c>
      <c r="H13" s="2">
        <v>0.0</v>
      </c>
      <c r="I13" s="2">
        <v>1407.0</v>
      </c>
      <c r="J13" s="2">
        <v>551.0</v>
      </c>
      <c r="K13" s="2">
        <v>272.0</v>
      </c>
      <c r="L13" s="4">
        <f t="shared" si="7"/>
        <v>457.6666667</v>
      </c>
      <c r="M13" s="4">
        <f t="shared" si="8"/>
        <v>-163.6666667</v>
      </c>
      <c r="N13" s="4">
        <f t="shared" si="9"/>
        <v>163.6666667</v>
      </c>
      <c r="O13" s="4">
        <f t="shared" si="1"/>
        <v>701.6659475</v>
      </c>
      <c r="P13" s="4">
        <f t="shared" si="2"/>
        <v>479.6092541</v>
      </c>
      <c r="Q13" s="4">
        <f t="shared" si="3"/>
        <v>504.5595703</v>
      </c>
      <c r="V13" s="4">
        <f t="shared" si="4"/>
        <v>407.6659475</v>
      </c>
      <c r="W13" s="4">
        <f t="shared" si="5"/>
        <v>185.6092541</v>
      </c>
      <c r="X13" s="4">
        <f t="shared" si="6"/>
        <v>210.5595703</v>
      </c>
    </row>
    <row r="14">
      <c r="A14" s="3">
        <v>40238.0</v>
      </c>
      <c r="B14" s="2">
        <v>0.0</v>
      </c>
      <c r="C14" s="2">
        <v>735.0</v>
      </c>
      <c r="D14" s="2">
        <v>754.0</v>
      </c>
      <c r="E14" s="2">
        <v>78.0</v>
      </c>
      <c r="F14" s="2">
        <v>735.0</v>
      </c>
      <c r="G14" s="2">
        <v>3.0</v>
      </c>
      <c r="H14" s="2">
        <v>2.0</v>
      </c>
      <c r="I14" s="2">
        <v>133.0</v>
      </c>
      <c r="J14" s="2">
        <v>306.0</v>
      </c>
      <c r="K14" s="2">
        <v>409.0</v>
      </c>
      <c r="L14" s="4">
        <f t="shared" si="7"/>
        <v>464.3333333</v>
      </c>
      <c r="M14" s="4">
        <f t="shared" si="8"/>
        <v>270.6666667</v>
      </c>
      <c r="N14" s="4">
        <f t="shared" si="9"/>
        <v>270.6666667</v>
      </c>
      <c r="O14" s="4">
        <f t="shared" si="1"/>
        <v>660.8993528</v>
      </c>
      <c r="P14" s="4">
        <f t="shared" si="2"/>
        <v>423.9264778</v>
      </c>
      <c r="Q14" s="4">
        <f t="shared" si="3"/>
        <v>399.2797852</v>
      </c>
      <c r="V14" s="4">
        <f t="shared" si="4"/>
        <v>74.10064724</v>
      </c>
      <c r="W14" s="4">
        <f t="shared" si="5"/>
        <v>311.0735222</v>
      </c>
      <c r="X14" s="4">
        <f t="shared" si="6"/>
        <v>335.7202148</v>
      </c>
    </row>
    <row r="15">
      <c r="A15" s="3">
        <v>40245.0</v>
      </c>
      <c r="B15" s="2">
        <v>0.0</v>
      </c>
      <c r="C15" s="2">
        <v>917.0</v>
      </c>
      <c r="D15" s="2">
        <v>800.0</v>
      </c>
      <c r="E15" s="2">
        <v>262.0</v>
      </c>
      <c r="F15" s="2">
        <v>917.0</v>
      </c>
      <c r="G15" s="2">
        <v>0.0</v>
      </c>
      <c r="H15" s="2">
        <v>0.0</v>
      </c>
      <c r="I15" s="2">
        <v>47.0</v>
      </c>
      <c r="J15" s="2">
        <v>405.0</v>
      </c>
      <c r="K15" s="2">
        <v>337.0</v>
      </c>
      <c r="L15" s="4">
        <f t="shared" si="7"/>
        <v>538.6666667</v>
      </c>
      <c r="M15" s="4">
        <f t="shared" si="8"/>
        <v>378.3333333</v>
      </c>
      <c r="N15" s="4">
        <f t="shared" si="9"/>
        <v>378.3333333</v>
      </c>
      <c r="O15" s="4">
        <f t="shared" si="1"/>
        <v>668.3094175</v>
      </c>
      <c r="P15" s="4">
        <f t="shared" si="2"/>
        <v>517.2485345</v>
      </c>
      <c r="Q15" s="4">
        <f t="shared" si="3"/>
        <v>567.1398926</v>
      </c>
      <c r="V15" s="4">
        <f t="shared" si="4"/>
        <v>248.6905825</v>
      </c>
      <c r="W15" s="4">
        <f t="shared" si="5"/>
        <v>399.7514655</v>
      </c>
      <c r="X15" s="4">
        <f t="shared" si="6"/>
        <v>349.8601074</v>
      </c>
    </row>
    <row r="16">
      <c r="A16" s="3">
        <v>40252.0</v>
      </c>
      <c r="B16" s="2">
        <v>194.0</v>
      </c>
      <c r="C16" s="2">
        <v>551.0</v>
      </c>
      <c r="D16" s="2">
        <v>555.0</v>
      </c>
      <c r="E16" s="2">
        <v>224.0</v>
      </c>
      <c r="F16" s="2">
        <v>551.0</v>
      </c>
      <c r="G16" s="2">
        <v>12.0</v>
      </c>
      <c r="H16" s="2">
        <v>0.0</v>
      </c>
      <c r="I16" s="2">
        <v>826.0</v>
      </c>
      <c r="J16" s="2">
        <v>179.0</v>
      </c>
      <c r="K16" s="2">
        <v>375.0</v>
      </c>
      <c r="L16" s="4">
        <f t="shared" si="7"/>
        <v>648.6666667</v>
      </c>
      <c r="M16" s="4">
        <f t="shared" si="8"/>
        <v>-97.66666667</v>
      </c>
      <c r="N16" s="4">
        <f t="shared" si="9"/>
        <v>97.66666667</v>
      </c>
      <c r="O16" s="4">
        <f t="shared" si="1"/>
        <v>693.1784757</v>
      </c>
      <c r="P16" s="4">
        <f t="shared" si="2"/>
        <v>637.1739741</v>
      </c>
      <c r="Q16" s="4">
        <f t="shared" si="3"/>
        <v>742.0699463</v>
      </c>
      <c r="V16" s="4">
        <f t="shared" si="4"/>
        <v>142.1784757</v>
      </c>
      <c r="W16" s="4">
        <f t="shared" si="5"/>
        <v>86.17397414</v>
      </c>
      <c r="X16" s="4">
        <f t="shared" si="6"/>
        <v>191.0699463</v>
      </c>
    </row>
    <row r="17">
      <c r="A17" s="3">
        <v>40259.0</v>
      </c>
      <c r="B17" s="2">
        <v>410.0</v>
      </c>
      <c r="C17" s="2">
        <v>808.0</v>
      </c>
      <c r="D17" s="2">
        <v>930.0</v>
      </c>
      <c r="E17" s="2">
        <v>212.0</v>
      </c>
      <c r="F17" s="2">
        <v>808.0</v>
      </c>
      <c r="G17" s="2">
        <v>0.0</v>
      </c>
      <c r="H17" s="2">
        <v>0.0</v>
      </c>
      <c r="I17" s="2">
        <v>103.0</v>
      </c>
      <c r="J17" s="2">
        <v>467.0</v>
      </c>
      <c r="K17" s="2">
        <v>177.0</v>
      </c>
      <c r="L17" s="4">
        <f t="shared" si="7"/>
        <v>734.3333333</v>
      </c>
      <c r="M17" s="4">
        <f t="shared" si="8"/>
        <v>73.66666667</v>
      </c>
      <c r="N17" s="4">
        <f t="shared" si="9"/>
        <v>73.66666667</v>
      </c>
      <c r="O17" s="4">
        <f t="shared" si="1"/>
        <v>678.9606282</v>
      </c>
      <c r="P17" s="4">
        <f t="shared" si="2"/>
        <v>611.3217819</v>
      </c>
      <c r="Q17" s="4">
        <f t="shared" si="3"/>
        <v>646.5349731</v>
      </c>
      <c r="V17" s="4">
        <f t="shared" si="4"/>
        <v>129.0393718</v>
      </c>
      <c r="W17" s="4">
        <f t="shared" si="5"/>
        <v>196.6782181</v>
      </c>
      <c r="X17" s="4">
        <f t="shared" si="6"/>
        <v>161.4650269</v>
      </c>
    </row>
    <row r="18">
      <c r="A18" s="3">
        <v>40266.0</v>
      </c>
      <c r="B18" s="2">
        <v>186.0</v>
      </c>
      <c r="C18" s="2">
        <v>331.0</v>
      </c>
      <c r="D18" s="2">
        <v>588.0</v>
      </c>
      <c r="E18" s="2">
        <v>149.0</v>
      </c>
      <c r="F18" s="2">
        <v>331.0</v>
      </c>
      <c r="G18" s="2">
        <v>2.0</v>
      </c>
      <c r="H18" s="2">
        <v>450.0</v>
      </c>
      <c r="I18" s="2">
        <v>423.0</v>
      </c>
      <c r="J18" s="2">
        <v>331.0</v>
      </c>
      <c r="K18" s="2">
        <v>425.0</v>
      </c>
      <c r="L18" s="4">
        <f t="shared" si="7"/>
        <v>758.6666667</v>
      </c>
      <c r="M18" s="4">
        <f t="shared" si="8"/>
        <v>-427.6666667</v>
      </c>
      <c r="N18" s="4">
        <f t="shared" si="9"/>
        <v>427.6666667</v>
      </c>
      <c r="O18" s="4">
        <f t="shared" si="1"/>
        <v>691.8645653</v>
      </c>
      <c r="P18" s="4">
        <f t="shared" si="2"/>
        <v>670.3252473</v>
      </c>
      <c r="Q18" s="4">
        <f t="shared" si="3"/>
        <v>727.2674866</v>
      </c>
      <c r="V18" s="4">
        <f t="shared" si="4"/>
        <v>360.8645653</v>
      </c>
      <c r="W18" s="4">
        <f t="shared" si="5"/>
        <v>339.3252473</v>
      </c>
      <c r="X18" s="4">
        <f t="shared" si="6"/>
        <v>396.2674866</v>
      </c>
    </row>
    <row r="19">
      <c r="A19" s="3">
        <v>40273.0</v>
      </c>
      <c r="B19" s="2">
        <v>230.0</v>
      </c>
      <c r="C19" s="2">
        <v>736.0</v>
      </c>
      <c r="D19" s="2">
        <v>416.0</v>
      </c>
      <c r="E19" s="2">
        <v>179.0</v>
      </c>
      <c r="F19" s="2">
        <v>736.0</v>
      </c>
      <c r="G19" s="2">
        <v>0.0</v>
      </c>
      <c r="H19" s="2">
        <v>216.0</v>
      </c>
      <c r="I19" s="2">
        <v>716.0</v>
      </c>
      <c r="J19" s="2">
        <v>164.0</v>
      </c>
      <c r="K19" s="2">
        <v>298.0</v>
      </c>
      <c r="L19" s="4">
        <f t="shared" si="7"/>
        <v>563.3333333</v>
      </c>
      <c r="M19" s="4">
        <f t="shared" si="8"/>
        <v>172.6666667</v>
      </c>
      <c r="N19" s="4">
        <f t="shared" si="9"/>
        <v>172.6666667</v>
      </c>
      <c r="O19" s="4">
        <f t="shared" si="1"/>
        <v>655.7781088</v>
      </c>
      <c r="P19" s="4">
        <f t="shared" si="2"/>
        <v>568.5276731</v>
      </c>
      <c r="Q19" s="4">
        <f t="shared" si="3"/>
        <v>529.1337433</v>
      </c>
      <c r="V19" s="4">
        <f t="shared" si="4"/>
        <v>80.22189119</v>
      </c>
      <c r="W19" s="4">
        <f t="shared" si="5"/>
        <v>167.4723269</v>
      </c>
      <c r="X19" s="4">
        <f t="shared" si="6"/>
        <v>206.8662567</v>
      </c>
    </row>
    <row r="20">
      <c r="A20" s="3">
        <v>40280.0</v>
      </c>
      <c r="B20" s="2">
        <v>293.0</v>
      </c>
      <c r="C20" s="2">
        <v>653.0</v>
      </c>
      <c r="D20" s="2">
        <v>1007.0</v>
      </c>
      <c r="E20" s="2">
        <v>386.0</v>
      </c>
      <c r="F20" s="2">
        <v>653.0</v>
      </c>
      <c r="G20" s="2">
        <v>0.0</v>
      </c>
      <c r="H20" s="2">
        <v>91.0</v>
      </c>
      <c r="I20" s="2">
        <v>224.0</v>
      </c>
      <c r="J20" s="2">
        <v>218.0</v>
      </c>
      <c r="K20" s="2">
        <v>477.0</v>
      </c>
      <c r="L20" s="4">
        <f t="shared" si="7"/>
        <v>625</v>
      </c>
      <c r="M20" s="4">
        <f t="shared" si="8"/>
        <v>28</v>
      </c>
      <c r="N20" s="4">
        <f t="shared" si="9"/>
        <v>28</v>
      </c>
      <c r="O20" s="4">
        <f t="shared" si="1"/>
        <v>663.8002979</v>
      </c>
      <c r="P20" s="4">
        <f t="shared" si="2"/>
        <v>618.7693712</v>
      </c>
      <c r="Q20" s="4">
        <f t="shared" si="3"/>
        <v>632.5668716</v>
      </c>
      <c r="V20" s="4">
        <f t="shared" si="4"/>
        <v>10.80029793</v>
      </c>
      <c r="W20" s="4">
        <f t="shared" si="5"/>
        <v>34.23062881</v>
      </c>
      <c r="X20" s="4">
        <f t="shared" si="6"/>
        <v>20.43312836</v>
      </c>
    </row>
    <row r="21">
      <c r="A21" s="3">
        <v>40287.0</v>
      </c>
      <c r="B21" s="2">
        <v>349.0</v>
      </c>
      <c r="C21" s="2">
        <v>504.0</v>
      </c>
      <c r="D21" s="2">
        <v>645.0</v>
      </c>
      <c r="E21" s="2">
        <v>525.0</v>
      </c>
      <c r="F21" s="2">
        <v>504.0</v>
      </c>
      <c r="G21" s="2">
        <v>1.0</v>
      </c>
      <c r="H21" s="2">
        <v>116.0</v>
      </c>
      <c r="I21" s="2">
        <v>378.0</v>
      </c>
      <c r="J21" s="2">
        <v>248.0</v>
      </c>
      <c r="K21" s="2">
        <v>297.0</v>
      </c>
      <c r="L21" s="4">
        <f t="shared" si="7"/>
        <v>573.3333333</v>
      </c>
      <c r="M21" s="4">
        <f t="shared" si="8"/>
        <v>-69.33333333</v>
      </c>
      <c r="N21" s="4">
        <f t="shared" si="9"/>
        <v>69.33333333</v>
      </c>
      <c r="O21" s="4">
        <f t="shared" si="1"/>
        <v>662.7202681</v>
      </c>
      <c r="P21" s="4">
        <f t="shared" si="2"/>
        <v>629.0385598</v>
      </c>
      <c r="Q21" s="4">
        <f t="shared" si="3"/>
        <v>642.7834358</v>
      </c>
      <c r="V21" s="4">
        <f t="shared" si="4"/>
        <v>158.7202681</v>
      </c>
      <c r="W21" s="4">
        <f t="shared" si="5"/>
        <v>125.0385598</v>
      </c>
      <c r="X21" s="4">
        <f t="shared" si="6"/>
        <v>138.7834358</v>
      </c>
    </row>
    <row r="22">
      <c r="A22" s="3">
        <v>40294.0</v>
      </c>
      <c r="B22" s="2">
        <v>276.0</v>
      </c>
      <c r="C22" s="2">
        <v>919.0</v>
      </c>
      <c r="D22" s="2">
        <v>1539.0</v>
      </c>
      <c r="E22" s="2">
        <v>418.0</v>
      </c>
      <c r="F22" s="2">
        <v>919.0</v>
      </c>
      <c r="G22" s="2">
        <v>18.0</v>
      </c>
      <c r="H22" s="2">
        <v>55.0</v>
      </c>
      <c r="I22" s="2">
        <v>500.0</v>
      </c>
      <c r="J22" s="2">
        <v>386.0</v>
      </c>
      <c r="K22" s="2">
        <v>304.0</v>
      </c>
      <c r="L22" s="4">
        <f t="shared" si="7"/>
        <v>631</v>
      </c>
      <c r="M22" s="4">
        <f t="shared" si="8"/>
        <v>288</v>
      </c>
      <c r="N22" s="4">
        <f t="shared" si="9"/>
        <v>288</v>
      </c>
      <c r="O22" s="4">
        <f t="shared" si="1"/>
        <v>646.8482413</v>
      </c>
      <c r="P22" s="4">
        <f t="shared" si="2"/>
        <v>591.5269919</v>
      </c>
      <c r="Q22" s="4">
        <f t="shared" si="3"/>
        <v>573.3917179</v>
      </c>
      <c r="V22" s="4">
        <f t="shared" si="4"/>
        <v>272.1517587</v>
      </c>
      <c r="W22" s="4">
        <f t="shared" si="5"/>
        <v>327.4730081</v>
      </c>
      <c r="X22" s="4">
        <f t="shared" si="6"/>
        <v>345.6082821</v>
      </c>
    </row>
    <row r="23">
      <c r="A23" s="3">
        <v>40301.0</v>
      </c>
      <c r="B23" s="2">
        <v>306.0</v>
      </c>
      <c r="C23" s="2">
        <v>342.0</v>
      </c>
      <c r="D23" s="2">
        <v>1207.0</v>
      </c>
      <c r="E23" s="2">
        <v>565.0</v>
      </c>
      <c r="F23" s="2">
        <v>342.0</v>
      </c>
      <c r="G23" s="2">
        <v>46.0</v>
      </c>
      <c r="H23" s="2">
        <v>62.0</v>
      </c>
      <c r="I23" s="2">
        <v>203.0</v>
      </c>
      <c r="J23" s="2">
        <v>751.0</v>
      </c>
      <c r="K23" s="2">
        <v>711.0</v>
      </c>
      <c r="L23" s="4">
        <f t="shared" si="7"/>
        <v>692</v>
      </c>
      <c r="M23" s="4">
        <f t="shared" si="8"/>
        <v>-350</v>
      </c>
      <c r="N23" s="4">
        <f t="shared" si="9"/>
        <v>350</v>
      </c>
      <c r="O23" s="4">
        <f t="shared" si="1"/>
        <v>674.0634172</v>
      </c>
      <c r="P23" s="4">
        <f t="shared" si="2"/>
        <v>689.7688943</v>
      </c>
      <c r="Q23" s="4">
        <f t="shared" si="3"/>
        <v>746.195859</v>
      </c>
      <c r="V23" s="4">
        <f t="shared" si="4"/>
        <v>332.0634172</v>
      </c>
      <c r="W23" s="4">
        <f t="shared" si="5"/>
        <v>347.7688943</v>
      </c>
      <c r="X23" s="4">
        <f t="shared" si="6"/>
        <v>404.195859</v>
      </c>
    </row>
    <row r="24">
      <c r="A24" s="3">
        <v>40308.0</v>
      </c>
      <c r="B24" s="2">
        <v>130.0</v>
      </c>
      <c r="C24" s="2">
        <v>907.0</v>
      </c>
      <c r="D24" s="2">
        <v>987.0</v>
      </c>
      <c r="E24" s="2">
        <v>436.0</v>
      </c>
      <c r="F24" s="2">
        <v>907.0</v>
      </c>
      <c r="G24" s="2">
        <v>6.0</v>
      </c>
      <c r="H24" s="2">
        <v>16.0</v>
      </c>
      <c r="I24" s="2">
        <v>180.0</v>
      </c>
      <c r="J24" s="2">
        <v>290.0</v>
      </c>
      <c r="K24" s="2">
        <v>517.0</v>
      </c>
      <c r="L24" s="4">
        <f t="shared" si="7"/>
        <v>588.3333333</v>
      </c>
      <c r="M24" s="4">
        <f t="shared" si="8"/>
        <v>318.6666667</v>
      </c>
      <c r="N24" s="4">
        <f t="shared" si="9"/>
        <v>318.6666667</v>
      </c>
      <c r="O24" s="4">
        <f t="shared" si="1"/>
        <v>640.8570755</v>
      </c>
      <c r="P24" s="4">
        <f t="shared" si="2"/>
        <v>585.438226</v>
      </c>
      <c r="Q24" s="4">
        <f t="shared" si="3"/>
        <v>544.0979295</v>
      </c>
      <c r="V24" s="4">
        <f t="shared" si="4"/>
        <v>266.1429245</v>
      </c>
      <c r="W24" s="4">
        <f t="shared" si="5"/>
        <v>321.561774</v>
      </c>
      <c r="X24" s="4">
        <f t="shared" si="6"/>
        <v>362.9020705</v>
      </c>
    </row>
    <row r="25">
      <c r="A25" s="3">
        <v>40315.0</v>
      </c>
      <c r="B25" s="2">
        <v>28.0</v>
      </c>
      <c r="C25" s="2">
        <v>283.0</v>
      </c>
      <c r="D25" s="2">
        <v>621.0</v>
      </c>
      <c r="E25" s="2">
        <v>450.0</v>
      </c>
      <c r="F25" s="2">
        <v>283.0</v>
      </c>
      <c r="G25" s="2">
        <v>6.0</v>
      </c>
      <c r="H25" s="2">
        <v>87.0</v>
      </c>
      <c r="I25" s="2">
        <v>192.0</v>
      </c>
      <c r="J25" s="2">
        <v>512.0</v>
      </c>
      <c r="K25" s="2">
        <v>265.0</v>
      </c>
      <c r="L25" s="4">
        <f t="shared" si="7"/>
        <v>722.6666667</v>
      </c>
      <c r="M25" s="4">
        <f t="shared" si="8"/>
        <v>-439.6666667</v>
      </c>
      <c r="N25" s="4">
        <f t="shared" si="9"/>
        <v>439.6666667</v>
      </c>
      <c r="O25" s="4">
        <f t="shared" si="1"/>
        <v>667.4713679</v>
      </c>
      <c r="P25" s="4">
        <f t="shared" si="2"/>
        <v>681.9067582</v>
      </c>
      <c r="Q25" s="4">
        <f t="shared" si="3"/>
        <v>725.5489647</v>
      </c>
      <c r="V25" s="4">
        <f t="shared" si="4"/>
        <v>384.4713679</v>
      </c>
      <c r="W25" s="4">
        <f t="shared" si="5"/>
        <v>398.9067582</v>
      </c>
      <c r="X25" s="4">
        <f t="shared" si="6"/>
        <v>442.5489647</v>
      </c>
    </row>
    <row r="26">
      <c r="A26" s="3">
        <v>40322.0</v>
      </c>
      <c r="B26" s="2">
        <v>15.0</v>
      </c>
      <c r="C26" s="2">
        <v>560.0</v>
      </c>
      <c r="D26" s="2">
        <v>760.0</v>
      </c>
      <c r="E26" s="2">
        <v>671.0</v>
      </c>
      <c r="F26" s="2">
        <v>560.0</v>
      </c>
      <c r="G26" s="2">
        <v>0.0</v>
      </c>
      <c r="H26" s="2">
        <v>69.0</v>
      </c>
      <c r="I26" s="2">
        <v>218.0</v>
      </c>
      <c r="J26" s="2">
        <v>279.0</v>
      </c>
      <c r="K26" s="2">
        <v>674.0</v>
      </c>
      <c r="L26" s="4">
        <f t="shared" si="7"/>
        <v>510.6666667</v>
      </c>
      <c r="M26" s="4">
        <f t="shared" si="8"/>
        <v>49.33333333</v>
      </c>
      <c r="N26" s="4">
        <f t="shared" si="9"/>
        <v>49.33333333</v>
      </c>
      <c r="O26" s="4">
        <f t="shared" si="1"/>
        <v>629.0242311</v>
      </c>
      <c r="P26" s="4">
        <f t="shared" si="2"/>
        <v>562.2347308</v>
      </c>
      <c r="Q26" s="4">
        <f t="shared" si="3"/>
        <v>504.2744824</v>
      </c>
      <c r="V26" s="4">
        <f t="shared" si="4"/>
        <v>69.02423113</v>
      </c>
      <c r="W26" s="4">
        <f t="shared" si="5"/>
        <v>2.234730751</v>
      </c>
      <c r="X26" s="4">
        <f t="shared" si="6"/>
        <v>55.72551763</v>
      </c>
    </row>
    <row r="27">
      <c r="A27" s="3">
        <v>40329.0</v>
      </c>
      <c r="B27" s="2">
        <v>93.0</v>
      </c>
      <c r="C27" s="2">
        <v>309.0</v>
      </c>
      <c r="D27" s="2">
        <v>727.0</v>
      </c>
      <c r="E27" s="2">
        <v>301.0</v>
      </c>
      <c r="F27" s="2">
        <v>309.0</v>
      </c>
      <c r="G27" s="2">
        <v>4.0</v>
      </c>
      <c r="H27" s="2">
        <v>29.0</v>
      </c>
      <c r="I27" s="2">
        <v>145.0</v>
      </c>
      <c r="J27" s="2">
        <v>236.0</v>
      </c>
      <c r="K27" s="2">
        <v>300.0</v>
      </c>
      <c r="L27" s="4">
        <f t="shared" si="7"/>
        <v>583.3333333</v>
      </c>
      <c r="M27" s="4">
        <f t="shared" si="8"/>
        <v>-274.3333333</v>
      </c>
      <c r="N27" s="4">
        <f t="shared" si="9"/>
        <v>274.3333333</v>
      </c>
      <c r="O27" s="4">
        <f t="shared" si="1"/>
        <v>622.121808</v>
      </c>
      <c r="P27" s="4">
        <f t="shared" si="2"/>
        <v>561.5643115</v>
      </c>
      <c r="Q27" s="4">
        <f t="shared" si="3"/>
        <v>532.1372412</v>
      </c>
      <c r="V27" s="4">
        <f t="shared" si="4"/>
        <v>313.121808</v>
      </c>
      <c r="W27" s="4">
        <f t="shared" si="5"/>
        <v>252.5643115</v>
      </c>
      <c r="X27" s="4">
        <f t="shared" si="6"/>
        <v>223.1372412</v>
      </c>
    </row>
    <row r="28">
      <c r="A28" s="3">
        <v>40336.0</v>
      </c>
      <c r="B28" s="2">
        <v>454.0</v>
      </c>
      <c r="C28" s="2">
        <v>264.0</v>
      </c>
      <c r="D28" s="2">
        <v>973.0</v>
      </c>
      <c r="E28" s="2">
        <v>716.0</v>
      </c>
      <c r="F28" s="2">
        <v>264.0</v>
      </c>
      <c r="G28" s="2">
        <v>3.0</v>
      </c>
      <c r="H28" s="2">
        <v>220.0</v>
      </c>
      <c r="I28" s="2">
        <v>617.0</v>
      </c>
      <c r="J28" s="2">
        <v>429.0</v>
      </c>
      <c r="K28" s="2">
        <v>408.0</v>
      </c>
      <c r="L28" s="4">
        <f t="shared" si="7"/>
        <v>384</v>
      </c>
      <c r="M28" s="4">
        <f t="shared" si="8"/>
        <v>-120</v>
      </c>
      <c r="N28" s="4">
        <f t="shared" si="9"/>
        <v>120</v>
      </c>
      <c r="O28" s="4">
        <f t="shared" si="1"/>
        <v>590.8096272</v>
      </c>
      <c r="P28" s="4">
        <f t="shared" si="2"/>
        <v>485.7950181</v>
      </c>
      <c r="Q28" s="4">
        <f t="shared" si="3"/>
        <v>420.5686206</v>
      </c>
      <c r="V28" s="4">
        <f t="shared" si="4"/>
        <v>326.8096272</v>
      </c>
      <c r="W28" s="4">
        <f t="shared" si="5"/>
        <v>221.7950181</v>
      </c>
      <c r="X28" s="4">
        <f t="shared" si="6"/>
        <v>156.5686206</v>
      </c>
    </row>
    <row r="29">
      <c r="A29" s="3">
        <v>40343.0</v>
      </c>
      <c r="B29" s="2">
        <v>432.0</v>
      </c>
      <c r="C29" s="2">
        <v>569.0</v>
      </c>
      <c r="D29" s="2">
        <v>696.0</v>
      </c>
      <c r="E29" s="2">
        <v>142.0</v>
      </c>
      <c r="F29" s="2">
        <v>569.0</v>
      </c>
      <c r="G29" s="2">
        <v>28.0</v>
      </c>
      <c r="H29" s="2">
        <v>25.0</v>
      </c>
      <c r="I29" s="2">
        <v>625.0</v>
      </c>
      <c r="J29" s="2">
        <v>362.0</v>
      </c>
      <c r="K29" s="2">
        <v>458.0</v>
      </c>
      <c r="L29" s="4">
        <f t="shared" si="7"/>
        <v>377.6666667</v>
      </c>
      <c r="M29" s="4">
        <f t="shared" si="8"/>
        <v>191.3333333</v>
      </c>
      <c r="N29" s="4">
        <f t="shared" si="9"/>
        <v>191.3333333</v>
      </c>
      <c r="O29" s="4">
        <f t="shared" si="1"/>
        <v>558.1286645</v>
      </c>
      <c r="P29" s="4">
        <f t="shared" si="2"/>
        <v>419.2565126</v>
      </c>
      <c r="Q29" s="4">
        <f t="shared" si="3"/>
        <v>342.2843103</v>
      </c>
      <c r="V29" s="4">
        <f t="shared" si="4"/>
        <v>10.87133551</v>
      </c>
      <c r="W29" s="4">
        <f t="shared" si="5"/>
        <v>149.7434874</v>
      </c>
      <c r="X29" s="4">
        <f t="shared" si="6"/>
        <v>226.7156897</v>
      </c>
    </row>
    <row r="30">
      <c r="A30" s="3">
        <v>40350.0</v>
      </c>
      <c r="B30" s="2">
        <v>151.0</v>
      </c>
      <c r="C30" s="2">
        <v>252.0</v>
      </c>
      <c r="D30" s="2">
        <v>750.0</v>
      </c>
      <c r="E30" s="2">
        <v>52.0</v>
      </c>
      <c r="F30" s="2">
        <v>252.0</v>
      </c>
      <c r="G30" s="2">
        <v>305.0</v>
      </c>
      <c r="H30" s="2">
        <v>35.0</v>
      </c>
      <c r="I30" s="2">
        <v>168.0</v>
      </c>
      <c r="J30" s="2">
        <v>460.0</v>
      </c>
      <c r="K30" s="2">
        <v>511.0</v>
      </c>
      <c r="L30" s="4">
        <f t="shared" si="7"/>
        <v>380.6666667</v>
      </c>
      <c r="M30" s="4">
        <f t="shared" si="8"/>
        <v>-128.6666667</v>
      </c>
      <c r="N30" s="4">
        <f t="shared" si="9"/>
        <v>128.6666667</v>
      </c>
      <c r="O30" s="4">
        <f t="shared" si="1"/>
        <v>559.215798</v>
      </c>
      <c r="P30" s="4">
        <f t="shared" si="2"/>
        <v>464.1795589</v>
      </c>
      <c r="Q30" s="4">
        <f t="shared" si="3"/>
        <v>455.6421551</v>
      </c>
      <c r="V30" s="4">
        <f t="shared" si="4"/>
        <v>307.215798</v>
      </c>
      <c r="W30" s="4">
        <f t="shared" si="5"/>
        <v>212.1795589</v>
      </c>
      <c r="X30" s="4">
        <f t="shared" si="6"/>
        <v>203.6421551</v>
      </c>
    </row>
    <row r="31">
      <c r="A31" s="3">
        <v>40357.0</v>
      </c>
      <c r="B31" s="2">
        <v>387.0</v>
      </c>
      <c r="C31" s="2">
        <v>692.0</v>
      </c>
      <c r="D31" s="2">
        <v>1415.0</v>
      </c>
      <c r="E31" s="2">
        <v>51.0</v>
      </c>
      <c r="F31" s="2">
        <v>692.0</v>
      </c>
      <c r="G31" s="2">
        <v>44.0</v>
      </c>
      <c r="H31" s="2">
        <v>22.0</v>
      </c>
      <c r="I31" s="2">
        <v>365.0</v>
      </c>
      <c r="J31" s="2">
        <v>598.0</v>
      </c>
      <c r="K31" s="2">
        <v>534.0</v>
      </c>
      <c r="L31" s="4">
        <f t="shared" si="7"/>
        <v>361.6666667</v>
      </c>
      <c r="M31" s="4">
        <f t="shared" si="8"/>
        <v>330.3333333</v>
      </c>
      <c r="N31" s="4">
        <f t="shared" si="9"/>
        <v>330.3333333</v>
      </c>
      <c r="O31" s="4">
        <f t="shared" si="1"/>
        <v>528.4942182</v>
      </c>
      <c r="P31" s="4">
        <f t="shared" si="2"/>
        <v>400.5256912</v>
      </c>
      <c r="Q31" s="4">
        <f t="shared" si="3"/>
        <v>353.8210776</v>
      </c>
      <c r="V31" s="4">
        <f t="shared" si="4"/>
        <v>163.5057818</v>
      </c>
      <c r="W31" s="4">
        <f t="shared" si="5"/>
        <v>291.4743088</v>
      </c>
      <c r="X31" s="4">
        <f t="shared" si="6"/>
        <v>338.1789224</v>
      </c>
    </row>
    <row r="32">
      <c r="A32" s="3">
        <v>40364.0</v>
      </c>
      <c r="B32" s="2">
        <v>150.0</v>
      </c>
      <c r="C32" s="2">
        <v>874.0</v>
      </c>
      <c r="D32" s="2">
        <v>654.0</v>
      </c>
      <c r="E32" s="2">
        <v>52.0</v>
      </c>
      <c r="F32" s="2">
        <v>874.0</v>
      </c>
      <c r="G32" s="2">
        <v>14.0</v>
      </c>
      <c r="H32" s="2">
        <v>88.0</v>
      </c>
      <c r="I32" s="2">
        <v>278.0</v>
      </c>
      <c r="J32" s="2">
        <v>331.0</v>
      </c>
      <c r="K32" s="2">
        <v>211.0</v>
      </c>
      <c r="L32" s="4">
        <f t="shared" si="7"/>
        <v>504.3333333</v>
      </c>
      <c r="M32" s="4">
        <f t="shared" si="8"/>
        <v>369.6666667</v>
      </c>
      <c r="N32" s="4">
        <f t="shared" si="9"/>
        <v>369.6666667</v>
      </c>
      <c r="O32" s="4">
        <f t="shared" si="1"/>
        <v>544.8447964</v>
      </c>
      <c r="P32" s="4">
        <f t="shared" si="2"/>
        <v>487.9679838</v>
      </c>
      <c r="Q32" s="4">
        <f t="shared" si="3"/>
        <v>522.9105388</v>
      </c>
      <c r="V32" s="4">
        <f t="shared" si="4"/>
        <v>329.1552036</v>
      </c>
      <c r="W32" s="4">
        <f t="shared" si="5"/>
        <v>386.0320162</v>
      </c>
      <c r="X32" s="4">
        <f t="shared" si="6"/>
        <v>351.0894612</v>
      </c>
    </row>
    <row r="33">
      <c r="A33" s="3">
        <v>40371.0</v>
      </c>
      <c r="B33" s="2">
        <v>160.0</v>
      </c>
      <c r="C33" s="2">
        <v>400.0</v>
      </c>
      <c r="D33" s="2">
        <v>865.0</v>
      </c>
      <c r="E33" s="2">
        <v>44.0</v>
      </c>
      <c r="F33" s="2">
        <v>400.0</v>
      </c>
      <c r="G33" s="2">
        <v>3.0</v>
      </c>
      <c r="H33" s="2">
        <v>6.0</v>
      </c>
      <c r="I33" s="2">
        <v>766.0</v>
      </c>
      <c r="J33" s="2">
        <v>240.0</v>
      </c>
      <c r="K33" s="2">
        <v>575.0</v>
      </c>
      <c r="L33" s="4">
        <f t="shared" si="7"/>
        <v>606</v>
      </c>
      <c r="M33" s="4">
        <f t="shared" si="8"/>
        <v>-206</v>
      </c>
      <c r="N33" s="4">
        <f t="shared" si="9"/>
        <v>206</v>
      </c>
      <c r="O33" s="4">
        <f t="shared" si="1"/>
        <v>577.7603168</v>
      </c>
      <c r="P33" s="4">
        <f t="shared" si="2"/>
        <v>603.7775887</v>
      </c>
      <c r="Q33" s="4">
        <f t="shared" si="3"/>
        <v>698.4552694</v>
      </c>
      <c r="V33" s="4">
        <f t="shared" si="4"/>
        <v>177.7603168</v>
      </c>
      <c r="W33" s="4">
        <f t="shared" si="5"/>
        <v>203.7775887</v>
      </c>
      <c r="X33" s="4">
        <f t="shared" si="6"/>
        <v>298.4552694</v>
      </c>
    </row>
    <row r="34">
      <c r="A34" s="3">
        <v>40378.0</v>
      </c>
      <c r="B34" s="2">
        <v>453.0</v>
      </c>
      <c r="C34" s="2">
        <v>1043.0</v>
      </c>
      <c r="D34" s="2">
        <v>1268.0</v>
      </c>
      <c r="E34" s="2">
        <v>52.0</v>
      </c>
      <c r="F34" s="2">
        <v>1043.0</v>
      </c>
      <c r="G34" s="2">
        <v>50.0</v>
      </c>
      <c r="H34" s="2">
        <v>8.0</v>
      </c>
      <c r="I34" s="2">
        <v>691.0</v>
      </c>
      <c r="J34" s="2">
        <v>729.0</v>
      </c>
      <c r="K34" s="2">
        <v>487.0</v>
      </c>
      <c r="L34" s="4">
        <f t="shared" si="7"/>
        <v>655.3333333</v>
      </c>
      <c r="M34" s="4">
        <f t="shared" si="8"/>
        <v>387.6666667</v>
      </c>
      <c r="N34" s="4">
        <f t="shared" si="9"/>
        <v>387.6666667</v>
      </c>
      <c r="O34" s="4">
        <f t="shared" si="1"/>
        <v>559.9842851</v>
      </c>
      <c r="P34" s="4">
        <f t="shared" si="2"/>
        <v>542.6443121</v>
      </c>
      <c r="Q34" s="4">
        <f t="shared" si="3"/>
        <v>549.2276347</v>
      </c>
      <c r="V34" s="4">
        <f t="shared" si="4"/>
        <v>483.0157149</v>
      </c>
      <c r="W34" s="4">
        <f t="shared" si="5"/>
        <v>500.3556879</v>
      </c>
      <c r="X34" s="4">
        <f t="shared" si="6"/>
        <v>493.7723653</v>
      </c>
    </row>
    <row r="35">
      <c r="A35" s="3">
        <v>40385.0</v>
      </c>
      <c r="B35" s="2">
        <v>577.0</v>
      </c>
      <c r="C35" s="2">
        <v>621.0</v>
      </c>
      <c r="D35" s="2">
        <v>618.0</v>
      </c>
      <c r="E35" s="2">
        <v>34.0</v>
      </c>
      <c r="F35" s="2">
        <v>621.0</v>
      </c>
      <c r="G35" s="2">
        <v>128.0</v>
      </c>
      <c r="H35" s="2">
        <v>5.0</v>
      </c>
      <c r="I35" s="2">
        <v>265.0</v>
      </c>
      <c r="J35" s="2">
        <v>171.0</v>
      </c>
      <c r="K35" s="2">
        <v>454.0</v>
      </c>
      <c r="L35" s="4">
        <f t="shared" si="7"/>
        <v>772.3333333</v>
      </c>
      <c r="M35" s="4">
        <f t="shared" si="8"/>
        <v>-151.3333333</v>
      </c>
      <c r="N35" s="4">
        <f t="shared" si="9"/>
        <v>151.3333333</v>
      </c>
      <c r="O35" s="4">
        <f t="shared" si="1"/>
        <v>608.2858566</v>
      </c>
      <c r="P35" s="4">
        <f t="shared" si="2"/>
        <v>692.7510185</v>
      </c>
      <c r="Q35" s="4">
        <f t="shared" si="3"/>
        <v>796.1138173</v>
      </c>
      <c r="V35" s="4">
        <f t="shared" si="4"/>
        <v>12.71414341</v>
      </c>
      <c r="W35" s="4">
        <f t="shared" si="5"/>
        <v>71.75101846</v>
      </c>
      <c r="X35" s="4">
        <f t="shared" si="6"/>
        <v>175.1138173</v>
      </c>
    </row>
    <row r="36">
      <c r="A36" s="3">
        <v>40392.0</v>
      </c>
      <c r="B36" s="2">
        <v>294.0</v>
      </c>
      <c r="C36" s="2">
        <v>648.0</v>
      </c>
      <c r="D36" s="2">
        <v>726.0</v>
      </c>
      <c r="E36" s="2">
        <v>57.0</v>
      </c>
      <c r="F36" s="2">
        <v>648.0</v>
      </c>
      <c r="G36" s="2">
        <v>142.0</v>
      </c>
      <c r="H36" s="2">
        <v>17.0</v>
      </c>
      <c r="I36" s="2">
        <v>95.0</v>
      </c>
      <c r="J36" s="2">
        <v>354.0</v>
      </c>
      <c r="K36" s="2">
        <v>694.0</v>
      </c>
      <c r="L36" s="4">
        <f t="shared" si="7"/>
        <v>688</v>
      </c>
      <c r="M36" s="4">
        <f t="shared" si="8"/>
        <v>-40</v>
      </c>
      <c r="N36" s="4">
        <f t="shared" si="9"/>
        <v>40</v>
      </c>
      <c r="O36" s="4">
        <f t="shared" si="1"/>
        <v>609.5572709</v>
      </c>
      <c r="P36" s="4">
        <f t="shared" si="2"/>
        <v>671.2257129</v>
      </c>
      <c r="Q36" s="4">
        <f t="shared" si="3"/>
        <v>708.5569087</v>
      </c>
      <c r="V36" s="4">
        <f t="shared" si="4"/>
        <v>38.44272907</v>
      </c>
      <c r="W36" s="4">
        <f t="shared" si="5"/>
        <v>23.22571292</v>
      </c>
      <c r="X36" s="4">
        <f t="shared" si="6"/>
        <v>60.55690867</v>
      </c>
    </row>
    <row r="37">
      <c r="A37" s="3">
        <v>40399.0</v>
      </c>
      <c r="B37" s="2">
        <v>224.0</v>
      </c>
      <c r="C37" s="2">
        <v>758.0</v>
      </c>
      <c r="D37" s="2">
        <v>893.0</v>
      </c>
      <c r="E37" s="2">
        <v>188.0</v>
      </c>
      <c r="F37" s="2">
        <v>758.0</v>
      </c>
      <c r="G37" s="2">
        <v>74.0</v>
      </c>
      <c r="H37" s="2">
        <v>45.0</v>
      </c>
      <c r="I37" s="2">
        <v>552.0</v>
      </c>
      <c r="J37" s="2">
        <v>460.0</v>
      </c>
      <c r="K37" s="2">
        <v>608.0</v>
      </c>
      <c r="L37" s="4">
        <f t="shared" si="7"/>
        <v>770.6666667</v>
      </c>
      <c r="M37" s="4">
        <f t="shared" si="8"/>
        <v>-12.66666667</v>
      </c>
      <c r="N37" s="4">
        <f t="shared" si="9"/>
        <v>12.66666667</v>
      </c>
      <c r="O37" s="4">
        <f t="shared" si="1"/>
        <v>613.4015438</v>
      </c>
      <c r="P37" s="4">
        <f t="shared" si="2"/>
        <v>664.257999</v>
      </c>
      <c r="Q37" s="4">
        <f t="shared" si="3"/>
        <v>678.2784543</v>
      </c>
      <c r="V37" s="4">
        <f t="shared" si="4"/>
        <v>144.5984562</v>
      </c>
      <c r="W37" s="4">
        <f t="shared" si="5"/>
        <v>93.74200096</v>
      </c>
      <c r="X37" s="4">
        <f t="shared" si="6"/>
        <v>79.72154566</v>
      </c>
    </row>
    <row r="38">
      <c r="A38" s="3">
        <v>40406.0</v>
      </c>
      <c r="B38" s="2">
        <v>177.0</v>
      </c>
      <c r="C38" s="2">
        <v>664.0</v>
      </c>
      <c r="D38" s="2">
        <v>189.0</v>
      </c>
      <c r="E38" s="2">
        <v>351.0</v>
      </c>
      <c r="F38" s="2">
        <v>664.0</v>
      </c>
      <c r="G38" s="2">
        <v>19.0</v>
      </c>
      <c r="H38" s="2">
        <v>37.0</v>
      </c>
      <c r="I38" s="2">
        <v>1025.0</v>
      </c>
      <c r="J38" s="2">
        <v>677.0</v>
      </c>
      <c r="K38" s="2">
        <v>940.0</v>
      </c>
      <c r="L38" s="4">
        <f t="shared" si="7"/>
        <v>675.6666667</v>
      </c>
      <c r="M38" s="4">
        <f t="shared" si="8"/>
        <v>-11.66666667</v>
      </c>
      <c r="N38" s="4">
        <f t="shared" si="9"/>
        <v>11.66666667</v>
      </c>
      <c r="O38" s="4">
        <f t="shared" si="1"/>
        <v>627.8613895</v>
      </c>
      <c r="P38" s="4">
        <f t="shared" si="2"/>
        <v>692.3805993</v>
      </c>
      <c r="Q38" s="4">
        <f t="shared" si="3"/>
        <v>718.1392272</v>
      </c>
      <c r="V38" s="4">
        <f t="shared" si="4"/>
        <v>36.13861055</v>
      </c>
      <c r="W38" s="4">
        <f t="shared" si="5"/>
        <v>28.38059933</v>
      </c>
      <c r="X38" s="4">
        <f t="shared" si="6"/>
        <v>54.13922717</v>
      </c>
    </row>
    <row r="39">
      <c r="A39" s="3">
        <v>40413.0</v>
      </c>
      <c r="B39" s="2">
        <v>254.0</v>
      </c>
      <c r="C39" s="2">
        <v>1000.0</v>
      </c>
      <c r="D39" s="2">
        <v>1.0</v>
      </c>
      <c r="E39" s="2">
        <v>9.0</v>
      </c>
      <c r="F39" s="2">
        <v>1000.0</v>
      </c>
      <c r="G39" s="2">
        <v>27.0</v>
      </c>
      <c r="H39" s="2">
        <v>70.0</v>
      </c>
      <c r="I39" s="2">
        <v>880.0</v>
      </c>
      <c r="J39" s="2">
        <v>338.0</v>
      </c>
      <c r="K39" s="2">
        <v>450.0</v>
      </c>
      <c r="L39" s="4">
        <f t="shared" si="7"/>
        <v>690</v>
      </c>
      <c r="M39" s="4">
        <f t="shared" si="8"/>
        <v>310</v>
      </c>
      <c r="N39" s="4">
        <f t="shared" si="9"/>
        <v>310</v>
      </c>
      <c r="O39" s="4">
        <f t="shared" si="1"/>
        <v>631.4752505</v>
      </c>
      <c r="P39" s="4">
        <f t="shared" si="2"/>
        <v>683.8664195</v>
      </c>
      <c r="Q39" s="4">
        <f t="shared" si="3"/>
        <v>691.0696136</v>
      </c>
      <c r="V39" s="4">
        <f t="shared" si="4"/>
        <v>368.5247495</v>
      </c>
      <c r="W39" s="4">
        <f t="shared" si="5"/>
        <v>316.1335805</v>
      </c>
      <c r="X39" s="4">
        <f t="shared" si="6"/>
        <v>308.9303864</v>
      </c>
    </row>
    <row r="40">
      <c r="A40" s="3">
        <v>40420.0</v>
      </c>
      <c r="B40" s="2">
        <v>445.0</v>
      </c>
      <c r="C40" s="2">
        <v>963.0</v>
      </c>
      <c r="D40" s="2">
        <v>1889.0</v>
      </c>
      <c r="E40" s="2">
        <v>8.0</v>
      </c>
      <c r="F40" s="2">
        <v>963.0</v>
      </c>
      <c r="G40" s="2">
        <v>3.0</v>
      </c>
      <c r="H40" s="2">
        <v>110.0</v>
      </c>
      <c r="I40" s="2">
        <v>135.0</v>
      </c>
      <c r="J40" s="2">
        <v>652.0</v>
      </c>
      <c r="K40" s="2">
        <v>375.0</v>
      </c>
      <c r="L40" s="4">
        <f t="shared" si="7"/>
        <v>807.3333333</v>
      </c>
      <c r="M40" s="4">
        <f t="shared" si="8"/>
        <v>155.6666667</v>
      </c>
      <c r="N40" s="4">
        <f t="shared" si="9"/>
        <v>155.6666667</v>
      </c>
      <c r="O40" s="4">
        <f t="shared" si="1"/>
        <v>668.3277255</v>
      </c>
      <c r="P40" s="4">
        <f t="shared" si="2"/>
        <v>778.7064937</v>
      </c>
      <c r="Q40" s="4">
        <f t="shared" si="3"/>
        <v>845.5348068</v>
      </c>
      <c r="V40" s="4">
        <f t="shared" si="4"/>
        <v>294.6722745</v>
      </c>
      <c r="W40" s="4">
        <f t="shared" si="5"/>
        <v>184.2935063</v>
      </c>
      <c r="X40" s="4">
        <f t="shared" si="6"/>
        <v>117.4651932</v>
      </c>
    </row>
    <row r="41">
      <c r="A41" s="3">
        <v>40427.0</v>
      </c>
      <c r="B41" s="2">
        <v>299.0</v>
      </c>
      <c r="C41" s="2">
        <v>387.0</v>
      </c>
      <c r="D41" s="2">
        <v>1313.0</v>
      </c>
      <c r="E41" s="2">
        <v>6.0</v>
      </c>
      <c r="F41" s="2">
        <v>387.0</v>
      </c>
      <c r="G41" s="2">
        <v>6.0</v>
      </c>
      <c r="H41" s="2">
        <v>68.0</v>
      </c>
      <c r="I41" s="2">
        <v>270.0</v>
      </c>
      <c r="J41" s="2">
        <v>617.0</v>
      </c>
      <c r="K41" s="2">
        <v>483.0</v>
      </c>
      <c r="L41" s="4">
        <f t="shared" si="7"/>
        <v>875.6666667</v>
      </c>
      <c r="M41" s="4">
        <f t="shared" si="8"/>
        <v>-488.6666667</v>
      </c>
      <c r="N41" s="4">
        <f t="shared" si="9"/>
        <v>488.6666667</v>
      </c>
      <c r="O41" s="4">
        <f t="shared" si="1"/>
        <v>697.7949529</v>
      </c>
      <c r="P41" s="4">
        <f t="shared" si="2"/>
        <v>833.9945456</v>
      </c>
      <c r="Q41" s="4">
        <f t="shared" si="3"/>
        <v>904.2674034</v>
      </c>
      <c r="V41" s="4">
        <f t="shared" si="4"/>
        <v>310.7949529</v>
      </c>
      <c r="W41" s="4">
        <f t="shared" si="5"/>
        <v>446.9945456</v>
      </c>
      <c r="X41" s="4">
        <f t="shared" si="6"/>
        <v>517.2674034</v>
      </c>
    </row>
    <row r="42">
      <c r="A42" s="3">
        <v>40434.0</v>
      </c>
      <c r="B42" s="2">
        <v>370.0</v>
      </c>
      <c r="C42" s="2">
        <v>619.0</v>
      </c>
      <c r="D42" s="2">
        <v>1118.0</v>
      </c>
      <c r="E42" s="2">
        <v>0.0</v>
      </c>
      <c r="F42" s="2">
        <v>619.0</v>
      </c>
      <c r="G42" s="2">
        <v>344.0</v>
      </c>
      <c r="H42" s="2">
        <v>38.0</v>
      </c>
      <c r="I42" s="2">
        <v>534.0</v>
      </c>
      <c r="J42" s="2">
        <v>305.0</v>
      </c>
      <c r="K42" s="2">
        <v>304.0</v>
      </c>
      <c r="L42" s="4">
        <f t="shared" si="7"/>
        <v>783.3333333</v>
      </c>
      <c r="M42" s="4">
        <f t="shared" si="8"/>
        <v>-164.3333333</v>
      </c>
      <c r="N42" s="4">
        <f t="shared" si="9"/>
        <v>164.3333333</v>
      </c>
      <c r="O42" s="4">
        <f t="shared" si="1"/>
        <v>666.7154576</v>
      </c>
      <c r="P42" s="4">
        <f t="shared" si="2"/>
        <v>699.8961819</v>
      </c>
      <c r="Q42" s="4">
        <f t="shared" si="3"/>
        <v>645.6337017</v>
      </c>
      <c r="V42" s="4">
        <f t="shared" si="4"/>
        <v>47.71545762</v>
      </c>
      <c r="W42" s="4">
        <f t="shared" si="5"/>
        <v>80.8961819</v>
      </c>
      <c r="X42" s="4">
        <f t="shared" si="6"/>
        <v>26.6337017</v>
      </c>
    </row>
    <row r="43">
      <c r="A43" s="3">
        <v>40441.0</v>
      </c>
      <c r="B43" s="2">
        <v>624.0</v>
      </c>
      <c r="C43" s="2">
        <v>1792.0</v>
      </c>
      <c r="D43" s="2">
        <v>1381.0</v>
      </c>
      <c r="E43" s="2">
        <v>99.0</v>
      </c>
      <c r="F43" s="2">
        <v>1792.0</v>
      </c>
      <c r="G43" s="2">
        <v>425.0</v>
      </c>
      <c r="H43" s="2">
        <v>180.0</v>
      </c>
      <c r="I43" s="2">
        <v>1709.0</v>
      </c>
      <c r="J43" s="2">
        <v>352.0</v>
      </c>
      <c r="K43" s="2">
        <v>605.0</v>
      </c>
      <c r="L43" s="4">
        <f t="shared" si="7"/>
        <v>656.3333333</v>
      </c>
      <c r="M43" s="4">
        <f t="shared" si="8"/>
        <v>1135.666667</v>
      </c>
      <c r="N43" s="4">
        <f t="shared" si="9"/>
        <v>1135.666667</v>
      </c>
      <c r="O43" s="4">
        <f t="shared" si="1"/>
        <v>661.9439119</v>
      </c>
      <c r="P43" s="4">
        <f t="shared" si="2"/>
        <v>675.6273273</v>
      </c>
      <c r="Q43" s="4">
        <f t="shared" si="3"/>
        <v>632.3168508</v>
      </c>
      <c r="V43" s="4">
        <f t="shared" si="4"/>
        <v>1130.056088</v>
      </c>
      <c r="W43" s="4">
        <f t="shared" si="5"/>
        <v>1116.372673</v>
      </c>
      <c r="X43" s="4">
        <f t="shared" si="6"/>
        <v>1159.683149</v>
      </c>
    </row>
    <row r="44">
      <c r="A44" s="3">
        <v>40448.0</v>
      </c>
      <c r="B44" s="2">
        <v>385.0</v>
      </c>
      <c r="C44" s="2">
        <v>773.0</v>
      </c>
      <c r="D44" s="2">
        <v>1597.0</v>
      </c>
      <c r="E44" s="2">
        <v>916.0</v>
      </c>
      <c r="F44" s="2">
        <v>773.0</v>
      </c>
      <c r="G44" s="2">
        <v>495.0</v>
      </c>
      <c r="H44" s="2">
        <v>239.0</v>
      </c>
      <c r="I44" s="2">
        <v>284.0</v>
      </c>
      <c r="J44" s="2">
        <v>518.0</v>
      </c>
      <c r="K44" s="2">
        <v>358.0</v>
      </c>
      <c r="L44" s="4">
        <f t="shared" si="7"/>
        <v>932.6666667</v>
      </c>
      <c r="M44" s="4">
        <f t="shared" si="8"/>
        <v>-159.6666667</v>
      </c>
      <c r="N44" s="4">
        <f t="shared" si="9"/>
        <v>159.6666667</v>
      </c>
      <c r="O44" s="4">
        <f t="shared" si="1"/>
        <v>774.9495207</v>
      </c>
      <c r="P44" s="4">
        <f t="shared" si="2"/>
        <v>1010.539129</v>
      </c>
      <c r="Q44" s="4">
        <f t="shared" si="3"/>
        <v>1212.158425</v>
      </c>
      <c r="V44" s="4">
        <f t="shared" si="4"/>
        <v>1.949520672</v>
      </c>
      <c r="W44" s="4">
        <f t="shared" si="5"/>
        <v>237.5391291</v>
      </c>
      <c r="X44" s="4">
        <f t="shared" si="6"/>
        <v>439.1584254</v>
      </c>
    </row>
    <row r="45">
      <c r="A45" s="3">
        <v>40455.0</v>
      </c>
      <c r="B45" s="2">
        <v>507.0</v>
      </c>
      <c r="C45" s="2">
        <v>753.0</v>
      </c>
      <c r="D45" s="2">
        <v>956.0</v>
      </c>
      <c r="E45" s="2">
        <v>262.0</v>
      </c>
      <c r="F45" s="2">
        <v>753.0</v>
      </c>
      <c r="G45" s="2">
        <v>1516.0</v>
      </c>
      <c r="H45" s="2">
        <v>542.0</v>
      </c>
      <c r="I45" s="2">
        <v>919.0</v>
      </c>
      <c r="J45" s="2">
        <v>258.0</v>
      </c>
      <c r="K45" s="2">
        <v>250.0</v>
      </c>
      <c r="L45" s="4">
        <f t="shared" si="7"/>
        <v>1061.333333</v>
      </c>
      <c r="M45" s="4">
        <f t="shared" si="8"/>
        <v>-308.3333333</v>
      </c>
      <c r="N45" s="4">
        <f t="shared" si="9"/>
        <v>308.3333333</v>
      </c>
      <c r="O45" s="4">
        <f t="shared" si="1"/>
        <v>774.7545686</v>
      </c>
      <c r="P45" s="4">
        <f t="shared" si="2"/>
        <v>939.2773904</v>
      </c>
      <c r="Q45" s="4">
        <f t="shared" si="3"/>
        <v>992.5792127</v>
      </c>
      <c r="V45" s="4">
        <f t="shared" si="4"/>
        <v>21.7545686</v>
      </c>
      <c r="W45" s="4">
        <f t="shared" si="5"/>
        <v>186.2773904</v>
      </c>
      <c r="X45" s="4">
        <f t="shared" si="6"/>
        <v>239.5792127</v>
      </c>
    </row>
    <row r="46">
      <c r="A46" s="3">
        <v>40462.0</v>
      </c>
      <c r="B46" s="2">
        <v>322.0</v>
      </c>
      <c r="C46" s="2">
        <v>2277.0</v>
      </c>
      <c r="D46" s="2">
        <v>1857.0</v>
      </c>
      <c r="E46" s="2">
        <v>333.0</v>
      </c>
      <c r="F46" s="2">
        <v>2277.0</v>
      </c>
      <c r="G46" s="2">
        <v>530.0</v>
      </c>
      <c r="H46" s="2">
        <v>152.0</v>
      </c>
      <c r="I46" s="2">
        <v>345.0</v>
      </c>
      <c r="J46" s="2">
        <v>917.0</v>
      </c>
      <c r="K46" s="2">
        <v>524.0</v>
      </c>
      <c r="L46" s="4">
        <f t="shared" si="7"/>
        <v>1106</v>
      </c>
      <c r="M46" s="4">
        <f t="shared" si="8"/>
        <v>1171</v>
      </c>
      <c r="N46" s="4">
        <f t="shared" si="9"/>
        <v>1171</v>
      </c>
      <c r="O46" s="4">
        <f t="shared" si="1"/>
        <v>772.5791117</v>
      </c>
      <c r="P46" s="4">
        <f t="shared" si="2"/>
        <v>883.3941733</v>
      </c>
      <c r="Q46" s="4">
        <f t="shared" si="3"/>
        <v>872.7896064</v>
      </c>
      <c r="V46" s="4">
        <f t="shared" si="4"/>
        <v>1504.420888</v>
      </c>
      <c r="W46" s="4">
        <f t="shared" si="5"/>
        <v>1393.605827</v>
      </c>
      <c r="X46" s="4">
        <f t="shared" si="6"/>
        <v>1404.210394</v>
      </c>
    </row>
    <row r="47">
      <c r="A47" s="3">
        <v>40469.0</v>
      </c>
      <c r="B47" s="2">
        <v>386.0</v>
      </c>
      <c r="C47" s="2">
        <v>1736.0</v>
      </c>
      <c r="D47" s="2">
        <v>783.0</v>
      </c>
      <c r="E47" s="2">
        <v>167.0</v>
      </c>
      <c r="F47" s="2">
        <v>1736.0</v>
      </c>
      <c r="G47" s="2">
        <v>406.0</v>
      </c>
      <c r="H47" s="2">
        <v>228.0</v>
      </c>
      <c r="I47" s="2">
        <v>1239.0</v>
      </c>
      <c r="J47" s="2">
        <v>144.0</v>
      </c>
      <c r="K47" s="2">
        <v>141.0</v>
      </c>
      <c r="L47" s="4">
        <f t="shared" si="7"/>
        <v>1267.666667</v>
      </c>
      <c r="M47" s="4">
        <f t="shared" si="8"/>
        <v>468.3333333</v>
      </c>
      <c r="N47" s="4">
        <f t="shared" si="9"/>
        <v>468.3333333</v>
      </c>
      <c r="O47" s="4">
        <f t="shared" si="1"/>
        <v>923.0212006</v>
      </c>
      <c r="P47" s="4">
        <f t="shared" si="2"/>
        <v>1301.475921</v>
      </c>
      <c r="Q47" s="4">
        <f t="shared" si="3"/>
        <v>1574.894803</v>
      </c>
      <c r="V47" s="4">
        <f t="shared" si="4"/>
        <v>812.9787994</v>
      </c>
      <c r="W47" s="4">
        <f t="shared" si="5"/>
        <v>434.5240787</v>
      </c>
      <c r="X47" s="4">
        <f t="shared" si="6"/>
        <v>161.1051968</v>
      </c>
    </row>
    <row r="48">
      <c r="A48" s="3">
        <v>40476.0</v>
      </c>
      <c r="B48" s="2">
        <v>638.0</v>
      </c>
      <c r="C48" s="2">
        <v>1039.0</v>
      </c>
      <c r="D48" s="2">
        <v>515.0</v>
      </c>
      <c r="E48" s="2">
        <v>155.0</v>
      </c>
      <c r="F48" s="2">
        <v>1039.0</v>
      </c>
      <c r="G48" s="2">
        <v>469.0</v>
      </c>
      <c r="H48" s="2">
        <v>175.0</v>
      </c>
      <c r="I48" s="2">
        <v>2582.0</v>
      </c>
      <c r="J48" s="2">
        <v>137.0</v>
      </c>
      <c r="K48" s="2">
        <v>276.0</v>
      </c>
      <c r="L48" s="4">
        <f t="shared" si="7"/>
        <v>1588.666667</v>
      </c>
      <c r="M48" s="4">
        <f t="shared" si="8"/>
        <v>-549.6666667</v>
      </c>
      <c r="N48" s="4">
        <f t="shared" si="9"/>
        <v>549.6666667</v>
      </c>
      <c r="O48" s="4">
        <f t="shared" si="1"/>
        <v>1004.319081</v>
      </c>
      <c r="P48" s="4">
        <f t="shared" si="2"/>
        <v>1431.833145</v>
      </c>
      <c r="Q48" s="4">
        <f t="shared" si="3"/>
        <v>1655.447402</v>
      </c>
      <c r="V48" s="4">
        <f t="shared" si="4"/>
        <v>34.68091949</v>
      </c>
      <c r="W48" s="4">
        <f t="shared" si="5"/>
        <v>392.8331449</v>
      </c>
      <c r="X48" s="4">
        <f t="shared" si="6"/>
        <v>616.4474016</v>
      </c>
    </row>
    <row r="49">
      <c r="A49" s="3">
        <v>40483.0</v>
      </c>
      <c r="B49" s="2">
        <v>227.0</v>
      </c>
      <c r="C49" s="2">
        <v>992.0</v>
      </c>
      <c r="D49" s="2">
        <v>793.0</v>
      </c>
      <c r="E49" s="2">
        <v>58.0</v>
      </c>
      <c r="F49" s="2">
        <v>992.0</v>
      </c>
      <c r="G49" s="2">
        <v>1549.0</v>
      </c>
      <c r="H49" s="2">
        <v>123.0</v>
      </c>
      <c r="I49" s="2">
        <v>926.0</v>
      </c>
      <c r="J49" s="2">
        <v>347.0</v>
      </c>
      <c r="K49" s="2">
        <v>530.0</v>
      </c>
      <c r="L49" s="4">
        <f t="shared" si="7"/>
        <v>1684</v>
      </c>
      <c r="M49" s="4">
        <f t="shared" si="8"/>
        <v>-692</v>
      </c>
      <c r="N49" s="4">
        <f t="shared" si="9"/>
        <v>692</v>
      </c>
      <c r="O49" s="4">
        <f t="shared" si="1"/>
        <v>1007.787172</v>
      </c>
      <c r="P49" s="4">
        <f t="shared" si="2"/>
        <v>1313.983201</v>
      </c>
      <c r="Q49" s="4">
        <f t="shared" si="3"/>
        <v>1347.223701</v>
      </c>
      <c r="V49" s="4">
        <f t="shared" si="4"/>
        <v>15.78717246</v>
      </c>
      <c r="W49" s="4">
        <f t="shared" si="5"/>
        <v>321.9832014</v>
      </c>
      <c r="X49" s="4">
        <f t="shared" si="6"/>
        <v>355.2237008</v>
      </c>
    </row>
    <row r="50">
      <c r="A50" s="3">
        <v>40490.0</v>
      </c>
      <c r="B50" s="2">
        <v>570.0</v>
      </c>
      <c r="C50" s="2">
        <v>5584.0</v>
      </c>
      <c r="D50" s="2">
        <v>2127.0</v>
      </c>
      <c r="E50" s="2">
        <v>98.0</v>
      </c>
      <c r="F50" s="2">
        <v>5584.0</v>
      </c>
      <c r="G50" s="2">
        <v>1675.0</v>
      </c>
      <c r="H50" s="2">
        <v>517.0</v>
      </c>
      <c r="I50" s="2">
        <v>4115.0</v>
      </c>
      <c r="J50" s="2">
        <v>659.0</v>
      </c>
      <c r="K50" s="2">
        <v>264.0</v>
      </c>
      <c r="L50" s="4">
        <f t="shared" si="7"/>
        <v>1255.666667</v>
      </c>
      <c r="M50" s="4">
        <f t="shared" si="8"/>
        <v>4328.333333</v>
      </c>
      <c r="N50" s="4">
        <f t="shared" si="9"/>
        <v>4328.333333</v>
      </c>
      <c r="O50" s="4">
        <f t="shared" si="1"/>
        <v>1006.208455</v>
      </c>
      <c r="P50" s="4">
        <f t="shared" si="2"/>
        <v>1217.388241</v>
      </c>
      <c r="Q50" s="4">
        <f t="shared" si="3"/>
        <v>1169.61185</v>
      </c>
      <c r="V50" s="4">
        <f t="shared" si="4"/>
        <v>4577.791545</v>
      </c>
      <c r="W50" s="4">
        <f t="shared" si="5"/>
        <v>4366.611759</v>
      </c>
      <c r="X50" s="4">
        <f t="shared" si="6"/>
        <v>4414.38815</v>
      </c>
    </row>
    <row r="51">
      <c r="A51" s="3">
        <v>40497.0</v>
      </c>
      <c r="B51" s="2">
        <v>461.0</v>
      </c>
      <c r="C51" s="2">
        <v>1263.0</v>
      </c>
      <c r="D51" s="2">
        <v>1215.0</v>
      </c>
      <c r="E51" s="2">
        <v>286.0</v>
      </c>
      <c r="F51" s="2">
        <v>1263.0</v>
      </c>
      <c r="G51" s="2">
        <v>1791.0</v>
      </c>
      <c r="H51" s="2">
        <v>304.0</v>
      </c>
      <c r="I51" s="2">
        <v>1746.0</v>
      </c>
      <c r="J51" s="2">
        <v>699.0</v>
      </c>
      <c r="K51" s="2">
        <v>669.0</v>
      </c>
      <c r="L51" s="4">
        <f t="shared" si="7"/>
        <v>2538.333333</v>
      </c>
      <c r="M51" s="4">
        <f t="shared" si="8"/>
        <v>-1275.333333</v>
      </c>
      <c r="N51" s="4">
        <f t="shared" si="9"/>
        <v>1275.333333</v>
      </c>
      <c r="O51" s="4">
        <f t="shared" si="1"/>
        <v>1463.98761</v>
      </c>
      <c r="P51" s="4">
        <f t="shared" si="2"/>
        <v>2527.371769</v>
      </c>
      <c r="Q51" s="4">
        <f t="shared" si="3"/>
        <v>3376.805925</v>
      </c>
      <c r="V51" s="4">
        <f t="shared" si="4"/>
        <v>200.9876097</v>
      </c>
      <c r="W51" s="4">
        <f t="shared" si="5"/>
        <v>1264.371769</v>
      </c>
      <c r="X51" s="4">
        <f t="shared" si="6"/>
        <v>2113.805925</v>
      </c>
    </row>
    <row r="52">
      <c r="A52" s="3">
        <v>40504.0</v>
      </c>
      <c r="B52" s="2">
        <v>493.0</v>
      </c>
      <c r="C52" s="2">
        <v>787.0</v>
      </c>
      <c r="D52" s="2">
        <v>1223.0</v>
      </c>
      <c r="E52" s="2">
        <v>67.0</v>
      </c>
      <c r="F52" s="2">
        <v>787.0</v>
      </c>
      <c r="G52" s="2">
        <v>1716.0</v>
      </c>
      <c r="H52" s="2">
        <v>343.0</v>
      </c>
      <c r="I52" s="2">
        <v>2207.0</v>
      </c>
      <c r="J52" s="2">
        <v>273.0</v>
      </c>
      <c r="K52" s="2">
        <v>327.0</v>
      </c>
      <c r="L52" s="4">
        <f t="shared" si="7"/>
        <v>2613</v>
      </c>
      <c r="M52" s="4">
        <f t="shared" si="8"/>
        <v>-1826</v>
      </c>
      <c r="N52" s="4">
        <f t="shared" si="9"/>
        <v>1826</v>
      </c>
      <c r="O52" s="4">
        <f t="shared" si="1"/>
        <v>1443.888849</v>
      </c>
      <c r="P52" s="4">
        <f t="shared" si="2"/>
        <v>2148.060238</v>
      </c>
      <c r="Q52" s="4">
        <f t="shared" si="3"/>
        <v>2319.902963</v>
      </c>
      <c r="V52" s="4">
        <f t="shared" si="4"/>
        <v>656.8888487</v>
      </c>
      <c r="W52" s="4">
        <f t="shared" si="5"/>
        <v>1361.060238</v>
      </c>
      <c r="X52" s="4">
        <f t="shared" si="6"/>
        <v>1532.902963</v>
      </c>
    </row>
    <row r="53">
      <c r="A53" s="3">
        <v>40511.0</v>
      </c>
      <c r="B53" s="2">
        <v>928.0</v>
      </c>
      <c r="C53" s="2">
        <v>1192.0</v>
      </c>
      <c r="D53" s="2">
        <v>1767.0</v>
      </c>
      <c r="E53" s="2">
        <v>69.0</v>
      </c>
      <c r="F53" s="2">
        <v>1192.0</v>
      </c>
      <c r="G53" s="2">
        <v>1149.0</v>
      </c>
      <c r="H53" s="2">
        <v>848.0</v>
      </c>
      <c r="I53" s="2">
        <v>683.0</v>
      </c>
      <c r="J53" s="2">
        <v>262.0</v>
      </c>
      <c r="K53" s="2">
        <v>293.0</v>
      </c>
      <c r="L53" s="4">
        <f t="shared" si="7"/>
        <v>2544.666667</v>
      </c>
      <c r="M53" s="4">
        <f t="shared" si="8"/>
        <v>-1352.666667</v>
      </c>
      <c r="N53" s="4">
        <f t="shared" si="9"/>
        <v>1352.666667</v>
      </c>
      <c r="O53" s="4">
        <f t="shared" si="1"/>
        <v>1378.199964</v>
      </c>
      <c r="P53" s="4">
        <f t="shared" si="2"/>
        <v>1739.742167</v>
      </c>
      <c r="Q53" s="4">
        <f t="shared" si="3"/>
        <v>1553.451481</v>
      </c>
      <c r="V53" s="4">
        <f t="shared" si="4"/>
        <v>186.1999639</v>
      </c>
      <c r="W53" s="4">
        <f t="shared" si="5"/>
        <v>547.7421667</v>
      </c>
      <c r="X53" s="4">
        <f t="shared" si="6"/>
        <v>361.4514813</v>
      </c>
    </row>
    <row r="54">
      <c r="A54" s="3">
        <v>40518.0</v>
      </c>
      <c r="B54" s="2">
        <v>850.0</v>
      </c>
      <c r="C54" s="2">
        <v>789.0</v>
      </c>
      <c r="D54" s="2">
        <v>852.0</v>
      </c>
      <c r="E54" s="2">
        <v>165.0</v>
      </c>
      <c r="F54" s="2">
        <v>789.0</v>
      </c>
      <c r="G54" s="2">
        <v>1054.0</v>
      </c>
      <c r="H54" s="2">
        <v>337.0</v>
      </c>
      <c r="I54" s="2">
        <v>1012.0</v>
      </c>
      <c r="J54" s="2">
        <v>270.0</v>
      </c>
      <c r="K54" s="2">
        <v>283.0</v>
      </c>
      <c r="L54" s="4">
        <f t="shared" si="7"/>
        <v>1080.666667</v>
      </c>
      <c r="M54" s="4">
        <f t="shared" si="8"/>
        <v>-291.6666667</v>
      </c>
      <c r="N54" s="4">
        <f t="shared" si="9"/>
        <v>291.6666667</v>
      </c>
      <c r="O54" s="4">
        <f t="shared" si="1"/>
        <v>1359.579967</v>
      </c>
      <c r="P54" s="4">
        <f t="shared" si="2"/>
        <v>1575.419517</v>
      </c>
      <c r="Q54" s="4">
        <f t="shared" si="3"/>
        <v>1372.725741</v>
      </c>
      <c r="V54" s="4">
        <f t="shared" si="4"/>
        <v>570.5799675</v>
      </c>
      <c r="W54" s="4">
        <f t="shared" si="5"/>
        <v>786.4195167</v>
      </c>
      <c r="X54" s="4">
        <f t="shared" si="6"/>
        <v>583.7257406</v>
      </c>
    </row>
    <row r="55">
      <c r="A55" s="3">
        <v>40525.0</v>
      </c>
      <c r="B55" s="2">
        <v>434.0</v>
      </c>
      <c r="C55" s="2">
        <v>638.0</v>
      </c>
      <c r="D55" s="2">
        <v>417.0</v>
      </c>
      <c r="E55" s="2">
        <v>29.0</v>
      </c>
      <c r="F55" s="2">
        <v>638.0</v>
      </c>
      <c r="G55" s="2">
        <v>597.0</v>
      </c>
      <c r="H55" s="2">
        <v>589.0</v>
      </c>
      <c r="I55" s="2">
        <v>981.0</v>
      </c>
      <c r="J55" s="2">
        <v>107.0</v>
      </c>
      <c r="K55" s="2">
        <v>187.0</v>
      </c>
      <c r="L55" s="4">
        <f t="shared" si="7"/>
        <v>922.6666667</v>
      </c>
      <c r="M55" s="4">
        <f t="shared" si="8"/>
        <v>-284.6666667</v>
      </c>
      <c r="N55" s="4">
        <f t="shared" si="9"/>
        <v>284.6666667</v>
      </c>
      <c r="O55" s="4">
        <f t="shared" si="1"/>
        <v>1302.521971</v>
      </c>
      <c r="P55" s="4">
        <f t="shared" si="2"/>
        <v>1339.493662</v>
      </c>
      <c r="Q55" s="4">
        <f t="shared" si="3"/>
        <v>1080.86287</v>
      </c>
      <c r="V55" s="4">
        <f t="shared" si="4"/>
        <v>664.5219707</v>
      </c>
      <c r="W55" s="4">
        <f t="shared" si="5"/>
        <v>701.4936617</v>
      </c>
      <c r="X55" s="4">
        <f t="shared" si="6"/>
        <v>442.8628703</v>
      </c>
    </row>
    <row r="56">
      <c r="A56" s="3">
        <v>40532.0</v>
      </c>
      <c r="B56" s="2">
        <v>177.0</v>
      </c>
      <c r="C56" s="2">
        <v>40.0</v>
      </c>
      <c r="D56" s="2">
        <v>180.0</v>
      </c>
      <c r="E56" s="2">
        <v>23.0</v>
      </c>
      <c r="F56" s="2">
        <v>40.0</v>
      </c>
      <c r="G56" s="2">
        <v>125.0</v>
      </c>
      <c r="H56" s="2">
        <v>60.0</v>
      </c>
      <c r="I56" s="2">
        <v>252.0</v>
      </c>
      <c r="J56" s="2">
        <v>9.0</v>
      </c>
      <c r="K56" s="2">
        <v>44.0</v>
      </c>
      <c r="L56" s="4">
        <f t="shared" si="7"/>
        <v>873</v>
      </c>
      <c r="M56" s="4">
        <f t="shared" si="8"/>
        <v>-833</v>
      </c>
      <c r="N56" s="4">
        <f t="shared" si="9"/>
        <v>833</v>
      </c>
      <c r="O56" s="4">
        <f t="shared" si="1"/>
        <v>1236.069774</v>
      </c>
      <c r="P56" s="4">
        <f t="shared" si="2"/>
        <v>1129.045563</v>
      </c>
      <c r="Q56" s="4">
        <f t="shared" si="3"/>
        <v>859.4314352</v>
      </c>
      <c r="V56" s="4">
        <f t="shared" si="4"/>
        <v>1196.069774</v>
      </c>
      <c r="W56" s="4">
        <f t="shared" si="5"/>
        <v>1089.045563</v>
      </c>
      <c r="X56" s="4">
        <f t="shared" si="6"/>
        <v>819.4314352</v>
      </c>
    </row>
    <row r="57">
      <c r="A57" s="3">
        <v>40539.0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f t="shared" si="7"/>
        <v>489</v>
      </c>
      <c r="M57" s="4">
        <f t="shared" si="8"/>
        <v>-489</v>
      </c>
      <c r="N57" s="4">
        <f t="shared" si="9"/>
        <v>489</v>
      </c>
      <c r="O57" s="4">
        <f t="shared" si="1"/>
        <v>1116.462796</v>
      </c>
      <c r="P57" s="4">
        <f t="shared" si="2"/>
        <v>802.3318942</v>
      </c>
      <c r="Q57" s="4">
        <f t="shared" si="3"/>
        <v>449.7157176</v>
      </c>
      <c r="V57" s="4">
        <f t="shared" si="4"/>
        <v>1116.462796</v>
      </c>
      <c r="W57" s="4">
        <f t="shared" si="5"/>
        <v>802.3318942</v>
      </c>
      <c r="X57" s="4">
        <f t="shared" si="6"/>
        <v>449.7157176</v>
      </c>
    </row>
    <row r="58">
      <c r="A58" s="3">
        <v>40546.0</v>
      </c>
      <c r="B58" s="2">
        <v>251.0</v>
      </c>
      <c r="C58" s="2">
        <v>480.0</v>
      </c>
      <c r="D58" s="2">
        <v>1274.0</v>
      </c>
      <c r="E58" s="2">
        <v>145.0</v>
      </c>
      <c r="F58" s="2">
        <v>480.0</v>
      </c>
      <c r="G58" s="2">
        <v>16.0</v>
      </c>
      <c r="H58" s="2">
        <v>861.0</v>
      </c>
      <c r="I58" s="2">
        <v>797.0</v>
      </c>
      <c r="J58" s="2">
        <v>523.0</v>
      </c>
      <c r="K58" s="2">
        <v>362.0</v>
      </c>
      <c r="L58" s="4">
        <f t="shared" si="7"/>
        <v>226</v>
      </c>
      <c r="M58" s="4">
        <f t="shared" si="8"/>
        <v>254</v>
      </c>
      <c r="N58" s="4">
        <f t="shared" si="9"/>
        <v>254</v>
      </c>
      <c r="O58" s="4">
        <f t="shared" si="1"/>
        <v>1004.816517</v>
      </c>
      <c r="P58" s="4">
        <f t="shared" si="2"/>
        <v>561.632326</v>
      </c>
      <c r="Q58" s="4">
        <f t="shared" si="3"/>
        <v>224.8578588</v>
      </c>
      <c r="V58" s="4">
        <f t="shared" si="4"/>
        <v>524.8165167</v>
      </c>
      <c r="W58" s="4">
        <f t="shared" si="5"/>
        <v>81.63232595</v>
      </c>
      <c r="X58" s="4">
        <f t="shared" si="6"/>
        <v>255.1421412</v>
      </c>
    </row>
    <row r="59">
      <c r="A59" s="3">
        <v>40553.0</v>
      </c>
      <c r="B59" s="2">
        <v>404.0</v>
      </c>
      <c r="C59" s="2">
        <v>442.0</v>
      </c>
      <c r="D59" s="2">
        <v>225.0</v>
      </c>
      <c r="E59" s="2">
        <v>85.0</v>
      </c>
      <c r="F59" s="2">
        <v>442.0</v>
      </c>
      <c r="G59" s="2">
        <v>6.0</v>
      </c>
      <c r="H59" s="2">
        <v>175.0</v>
      </c>
      <c r="I59" s="2">
        <v>344.0</v>
      </c>
      <c r="J59" s="2">
        <v>323.0</v>
      </c>
      <c r="K59" s="2">
        <v>642.0</v>
      </c>
      <c r="L59" s="4">
        <f t="shared" si="7"/>
        <v>173.3333333</v>
      </c>
      <c r="M59" s="4">
        <f t="shared" si="8"/>
        <v>268.6666667</v>
      </c>
      <c r="N59" s="4">
        <f t="shared" si="9"/>
        <v>268.6666667</v>
      </c>
      <c r="O59" s="4">
        <f t="shared" si="1"/>
        <v>952.334865</v>
      </c>
      <c r="P59" s="4">
        <f t="shared" si="2"/>
        <v>537.1426282</v>
      </c>
      <c r="Q59" s="4">
        <f t="shared" si="3"/>
        <v>352.4289294</v>
      </c>
      <c r="V59" s="4">
        <f t="shared" si="4"/>
        <v>510.334865</v>
      </c>
      <c r="W59" s="4">
        <f t="shared" si="5"/>
        <v>95.14262817</v>
      </c>
      <c r="X59" s="4">
        <f t="shared" si="6"/>
        <v>89.5710706</v>
      </c>
    </row>
    <row r="60">
      <c r="A60" s="3">
        <v>40560.0</v>
      </c>
      <c r="B60" s="2">
        <v>138.0</v>
      </c>
      <c r="C60" s="2">
        <v>139.0</v>
      </c>
      <c r="D60" s="2">
        <v>594.0</v>
      </c>
      <c r="E60" s="2">
        <v>69.0</v>
      </c>
      <c r="F60" s="2">
        <v>139.0</v>
      </c>
      <c r="G60" s="2">
        <v>2.0</v>
      </c>
      <c r="H60" s="2">
        <v>165.0</v>
      </c>
      <c r="I60" s="2">
        <v>261.0</v>
      </c>
      <c r="J60" s="2">
        <v>73.0</v>
      </c>
      <c r="K60" s="2">
        <v>128.0</v>
      </c>
      <c r="L60" s="4">
        <f t="shared" si="7"/>
        <v>307.3333333</v>
      </c>
      <c r="M60" s="4">
        <f t="shared" si="8"/>
        <v>-168.3333333</v>
      </c>
      <c r="N60" s="4">
        <f t="shared" si="9"/>
        <v>168.3333333</v>
      </c>
      <c r="O60" s="4">
        <f t="shared" si="1"/>
        <v>901.3013785</v>
      </c>
      <c r="P60" s="4">
        <f t="shared" si="2"/>
        <v>508.5998397</v>
      </c>
      <c r="Q60" s="4">
        <f t="shared" si="3"/>
        <v>397.2144647</v>
      </c>
      <c r="V60" s="4">
        <f t="shared" si="4"/>
        <v>762.3013785</v>
      </c>
      <c r="W60" s="4">
        <f t="shared" si="5"/>
        <v>369.5998397</v>
      </c>
      <c r="X60" s="4">
        <f t="shared" si="6"/>
        <v>258.2144647</v>
      </c>
    </row>
    <row r="61">
      <c r="A61" s="3">
        <v>40567.0</v>
      </c>
      <c r="B61" s="2">
        <v>228.0</v>
      </c>
      <c r="C61" s="2">
        <v>344.0</v>
      </c>
      <c r="D61" s="2">
        <v>502.0</v>
      </c>
      <c r="E61" s="2">
        <v>171.0</v>
      </c>
      <c r="F61" s="2">
        <v>344.0</v>
      </c>
      <c r="G61" s="2">
        <v>0.0</v>
      </c>
      <c r="H61" s="2">
        <v>105.0</v>
      </c>
      <c r="I61" s="2">
        <v>351.0</v>
      </c>
      <c r="J61" s="2">
        <v>199.0</v>
      </c>
      <c r="K61" s="2">
        <v>171.0</v>
      </c>
      <c r="L61" s="4">
        <f t="shared" si="7"/>
        <v>353.6666667</v>
      </c>
      <c r="M61" s="4">
        <f t="shared" si="8"/>
        <v>-9.666666667</v>
      </c>
      <c r="N61" s="4">
        <f t="shared" si="9"/>
        <v>9.666666667</v>
      </c>
      <c r="O61" s="4">
        <f t="shared" si="1"/>
        <v>825.0712406</v>
      </c>
      <c r="P61" s="4">
        <f t="shared" si="2"/>
        <v>397.7198878</v>
      </c>
      <c r="Q61" s="4">
        <f t="shared" si="3"/>
        <v>268.1072323</v>
      </c>
      <c r="V61" s="4">
        <f t="shared" si="4"/>
        <v>481.0712406</v>
      </c>
      <c r="W61" s="4">
        <f t="shared" si="5"/>
        <v>53.7198878</v>
      </c>
      <c r="X61" s="4">
        <f t="shared" si="6"/>
        <v>75.89276765</v>
      </c>
    </row>
    <row r="62">
      <c r="A62" s="3">
        <v>40574.0</v>
      </c>
      <c r="B62" s="2">
        <v>149.0</v>
      </c>
      <c r="C62" s="2">
        <v>937.0</v>
      </c>
      <c r="D62" s="2">
        <v>965.0</v>
      </c>
      <c r="E62" s="2">
        <v>232.0</v>
      </c>
      <c r="F62" s="2">
        <v>937.0</v>
      </c>
      <c r="G62" s="2">
        <v>0.0</v>
      </c>
      <c r="H62" s="2">
        <v>99.0</v>
      </c>
      <c r="I62" s="2">
        <v>107.0</v>
      </c>
      <c r="J62" s="2">
        <v>225.0</v>
      </c>
      <c r="K62" s="2">
        <v>417.0</v>
      </c>
      <c r="L62" s="4">
        <f t="shared" si="7"/>
        <v>308.3333333</v>
      </c>
      <c r="M62" s="4">
        <f t="shared" si="8"/>
        <v>628.6666667</v>
      </c>
      <c r="N62" s="4">
        <f t="shared" si="9"/>
        <v>628.6666667</v>
      </c>
      <c r="O62" s="4">
        <f t="shared" si="1"/>
        <v>776.9641166</v>
      </c>
      <c r="P62" s="4">
        <f t="shared" si="2"/>
        <v>381.6039215</v>
      </c>
      <c r="Q62" s="4">
        <f t="shared" si="3"/>
        <v>306.0536162</v>
      </c>
      <c r="V62" s="4">
        <f t="shared" si="4"/>
        <v>160.0358834</v>
      </c>
      <c r="W62" s="4">
        <f t="shared" si="5"/>
        <v>555.3960785</v>
      </c>
      <c r="X62" s="4">
        <f t="shared" si="6"/>
        <v>630.9463838</v>
      </c>
    </row>
    <row r="63">
      <c r="A63" s="3">
        <v>40581.0</v>
      </c>
      <c r="B63" s="2">
        <v>137.0</v>
      </c>
      <c r="C63" s="2">
        <v>160.0</v>
      </c>
      <c r="D63" s="2">
        <v>288.0</v>
      </c>
      <c r="E63" s="2">
        <v>291.0</v>
      </c>
      <c r="F63" s="2">
        <v>160.0</v>
      </c>
      <c r="G63" s="2">
        <v>0.0</v>
      </c>
      <c r="H63" s="2">
        <v>192.0</v>
      </c>
      <c r="I63" s="2">
        <v>239.0</v>
      </c>
      <c r="J63" s="2">
        <v>95.0</v>
      </c>
      <c r="K63" s="2">
        <v>255.0</v>
      </c>
      <c r="L63" s="4">
        <f t="shared" si="7"/>
        <v>473.3333333</v>
      </c>
      <c r="M63" s="4">
        <f t="shared" si="8"/>
        <v>-313.3333333</v>
      </c>
      <c r="N63" s="4">
        <f t="shared" si="9"/>
        <v>313.3333333</v>
      </c>
      <c r="O63" s="4">
        <f t="shared" si="1"/>
        <v>792.9677049</v>
      </c>
      <c r="P63" s="4">
        <f t="shared" si="2"/>
        <v>548.222745</v>
      </c>
      <c r="Q63" s="4">
        <f t="shared" si="3"/>
        <v>621.5268081</v>
      </c>
      <c r="V63" s="4">
        <f t="shared" si="4"/>
        <v>632.9677049</v>
      </c>
      <c r="W63" s="4">
        <f t="shared" si="5"/>
        <v>388.222745</v>
      </c>
      <c r="X63" s="4">
        <f t="shared" si="6"/>
        <v>461.5268081</v>
      </c>
    </row>
    <row r="64">
      <c r="A64" s="3">
        <v>40588.0</v>
      </c>
      <c r="B64" s="2">
        <v>399.0</v>
      </c>
      <c r="C64" s="2">
        <v>588.0</v>
      </c>
      <c r="D64" s="2">
        <v>985.0</v>
      </c>
      <c r="E64" s="2">
        <v>189.0</v>
      </c>
      <c r="F64" s="2">
        <v>588.0</v>
      </c>
      <c r="G64" s="2">
        <v>2.0</v>
      </c>
      <c r="H64" s="2">
        <v>305.0</v>
      </c>
      <c r="I64" s="2">
        <v>1040.0</v>
      </c>
      <c r="J64" s="2">
        <v>409.0</v>
      </c>
      <c r="K64" s="2">
        <v>291.0</v>
      </c>
      <c r="L64" s="4">
        <f t="shared" si="7"/>
        <v>480.3333333</v>
      </c>
      <c r="M64" s="4">
        <f t="shared" si="8"/>
        <v>107.6666667</v>
      </c>
      <c r="N64" s="4">
        <f t="shared" si="9"/>
        <v>107.6666667</v>
      </c>
      <c r="O64" s="4">
        <f t="shared" si="1"/>
        <v>729.6709344</v>
      </c>
      <c r="P64" s="4">
        <f t="shared" si="2"/>
        <v>431.7559215</v>
      </c>
      <c r="Q64" s="4">
        <f t="shared" si="3"/>
        <v>390.763404</v>
      </c>
      <c r="V64" s="4">
        <f t="shared" si="4"/>
        <v>141.6709344</v>
      </c>
      <c r="W64" s="4">
        <f t="shared" si="5"/>
        <v>156.2440785</v>
      </c>
      <c r="X64" s="4">
        <f t="shared" si="6"/>
        <v>197.236596</v>
      </c>
    </row>
    <row r="65">
      <c r="A65" s="3">
        <v>40595.0</v>
      </c>
      <c r="B65" s="2">
        <v>203.0</v>
      </c>
      <c r="C65" s="2">
        <v>328.0</v>
      </c>
      <c r="D65" s="2">
        <v>810.0</v>
      </c>
      <c r="E65" s="2">
        <v>157.0</v>
      </c>
      <c r="F65" s="2">
        <v>328.0</v>
      </c>
      <c r="G65" s="2">
        <v>2.0</v>
      </c>
      <c r="H65" s="2">
        <v>75.0</v>
      </c>
      <c r="I65" s="2">
        <v>1312.0</v>
      </c>
      <c r="J65" s="2">
        <v>260.0</v>
      </c>
      <c r="K65" s="2">
        <v>369.0</v>
      </c>
      <c r="L65" s="4">
        <f t="shared" si="7"/>
        <v>561.6666667</v>
      </c>
      <c r="M65" s="4">
        <f t="shared" si="8"/>
        <v>-233.6666667</v>
      </c>
      <c r="N65" s="4">
        <f t="shared" si="9"/>
        <v>233.6666667</v>
      </c>
      <c r="O65" s="4">
        <f t="shared" si="1"/>
        <v>715.503841</v>
      </c>
      <c r="P65" s="4">
        <f t="shared" si="2"/>
        <v>478.6291451</v>
      </c>
      <c r="Q65" s="4">
        <f t="shared" si="3"/>
        <v>489.381702</v>
      </c>
      <c r="V65" s="4">
        <f t="shared" si="4"/>
        <v>387.503841</v>
      </c>
      <c r="W65" s="4">
        <f t="shared" si="5"/>
        <v>150.6291451</v>
      </c>
      <c r="X65" s="4">
        <f t="shared" si="6"/>
        <v>161.381702</v>
      </c>
    </row>
    <row r="66">
      <c r="A66" s="3">
        <v>40602.0</v>
      </c>
      <c r="B66" s="2">
        <v>348.0</v>
      </c>
      <c r="C66" s="2">
        <v>213.0</v>
      </c>
      <c r="D66" s="2">
        <v>624.0</v>
      </c>
      <c r="E66" s="2">
        <v>255.0</v>
      </c>
      <c r="F66" s="2">
        <v>213.0</v>
      </c>
      <c r="G66" s="2">
        <v>45.0</v>
      </c>
      <c r="H66" s="2">
        <v>39.0</v>
      </c>
      <c r="I66" s="2">
        <v>370.0</v>
      </c>
      <c r="J66" s="2">
        <v>174.0</v>
      </c>
      <c r="K66" s="2">
        <v>175.0</v>
      </c>
      <c r="L66" s="4">
        <f t="shared" si="7"/>
        <v>358.6666667</v>
      </c>
      <c r="M66" s="4">
        <f t="shared" si="8"/>
        <v>-145.6666667</v>
      </c>
      <c r="N66" s="4">
        <f t="shared" si="9"/>
        <v>145.6666667</v>
      </c>
      <c r="O66" s="4">
        <f t="shared" si="1"/>
        <v>676.7534569</v>
      </c>
      <c r="P66" s="4">
        <f t="shared" si="2"/>
        <v>433.4404015</v>
      </c>
      <c r="Q66" s="4">
        <f t="shared" si="3"/>
        <v>408.690851</v>
      </c>
      <c r="V66" s="4">
        <f t="shared" si="4"/>
        <v>463.7534569</v>
      </c>
      <c r="W66" s="4">
        <f t="shared" si="5"/>
        <v>220.4404015</v>
      </c>
      <c r="X66" s="4">
        <f t="shared" si="6"/>
        <v>195.690851</v>
      </c>
    </row>
    <row r="67">
      <c r="A67" s="3">
        <v>40609.0</v>
      </c>
      <c r="B67" s="2">
        <v>190.0</v>
      </c>
      <c r="C67" s="2">
        <v>642.0</v>
      </c>
      <c r="D67" s="2">
        <v>738.0</v>
      </c>
      <c r="E67" s="2">
        <v>205.0</v>
      </c>
      <c r="F67" s="2">
        <v>642.0</v>
      </c>
      <c r="G67" s="2">
        <v>1.0</v>
      </c>
      <c r="H67" s="2">
        <v>270.0</v>
      </c>
      <c r="I67" s="2">
        <v>779.0</v>
      </c>
      <c r="J67" s="2">
        <v>374.0</v>
      </c>
      <c r="K67" s="2">
        <v>148.0</v>
      </c>
      <c r="L67" s="4">
        <f t="shared" si="7"/>
        <v>376.3333333</v>
      </c>
      <c r="M67" s="4">
        <f t="shared" si="8"/>
        <v>265.6666667</v>
      </c>
      <c r="N67" s="4">
        <f t="shared" si="9"/>
        <v>265.6666667</v>
      </c>
      <c r="O67" s="4">
        <f t="shared" si="1"/>
        <v>630.3781112</v>
      </c>
      <c r="P67" s="4">
        <f t="shared" si="2"/>
        <v>367.3082811</v>
      </c>
      <c r="Q67" s="4">
        <f t="shared" si="3"/>
        <v>310.8454255</v>
      </c>
      <c r="V67" s="4">
        <f t="shared" si="4"/>
        <v>11.6218888</v>
      </c>
      <c r="W67" s="4">
        <f t="shared" si="5"/>
        <v>274.6917189</v>
      </c>
      <c r="X67" s="4">
        <f t="shared" si="6"/>
        <v>331.1545745</v>
      </c>
    </row>
    <row r="68">
      <c r="A68" s="3">
        <v>40616.0</v>
      </c>
      <c r="B68" s="2">
        <v>308.0</v>
      </c>
      <c r="C68" s="2">
        <v>963.0</v>
      </c>
      <c r="D68" s="2">
        <v>1546.0</v>
      </c>
      <c r="E68" s="2">
        <v>606.0</v>
      </c>
      <c r="F68" s="2">
        <v>963.0</v>
      </c>
      <c r="G68" s="2">
        <v>0.0</v>
      </c>
      <c r="H68" s="2">
        <v>108.0</v>
      </c>
      <c r="I68" s="2">
        <v>583.0</v>
      </c>
      <c r="J68" s="2">
        <v>1083.0</v>
      </c>
      <c r="K68" s="2">
        <v>278.0</v>
      </c>
      <c r="L68" s="4">
        <f t="shared" si="7"/>
        <v>394.3333333</v>
      </c>
      <c r="M68" s="4">
        <f t="shared" si="8"/>
        <v>568.6666667</v>
      </c>
      <c r="N68" s="4">
        <f t="shared" si="9"/>
        <v>568.6666667</v>
      </c>
      <c r="O68" s="4">
        <f t="shared" si="1"/>
        <v>631.5403001</v>
      </c>
      <c r="P68" s="4">
        <f t="shared" si="2"/>
        <v>449.7157968</v>
      </c>
      <c r="Q68" s="4">
        <f t="shared" si="3"/>
        <v>476.4227128</v>
      </c>
      <c r="V68" s="4">
        <f t="shared" si="4"/>
        <v>331.4596999</v>
      </c>
      <c r="W68" s="4">
        <f t="shared" si="5"/>
        <v>513.2842032</v>
      </c>
      <c r="X68" s="4">
        <f t="shared" si="6"/>
        <v>486.5772872</v>
      </c>
    </row>
    <row r="69">
      <c r="A69" s="3">
        <v>40623.0</v>
      </c>
      <c r="B69" s="2">
        <v>327.0</v>
      </c>
      <c r="C69" s="2">
        <v>391.0</v>
      </c>
      <c r="D69" s="2">
        <v>1379.0</v>
      </c>
      <c r="E69" s="2">
        <v>325.0</v>
      </c>
      <c r="F69" s="2">
        <v>391.0</v>
      </c>
      <c r="G69" s="2">
        <v>42.0</v>
      </c>
      <c r="H69" s="2">
        <v>22.0</v>
      </c>
      <c r="I69" s="2">
        <v>237.0</v>
      </c>
      <c r="J69" s="2">
        <v>586.0</v>
      </c>
      <c r="K69" s="2">
        <v>379.0</v>
      </c>
      <c r="L69" s="4">
        <f t="shared" si="7"/>
        <v>606</v>
      </c>
      <c r="M69" s="4">
        <f t="shared" si="8"/>
        <v>-215</v>
      </c>
      <c r="N69" s="4">
        <f t="shared" si="9"/>
        <v>215</v>
      </c>
      <c r="O69" s="4">
        <f t="shared" si="1"/>
        <v>664.6862701</v>
      </c>
      <c r="P69" s="4">
        <f t="shared" si="2"/>
        <v>603.7010577</v>
      </c>
      <c r="Q69" s="4">
        <f t="shared" si="3"/>
        <v>719.7113564</v>
      </c>
      <c r="V69" s="4">
        <f t="shared" si="4"/>
        <v>273.6862701</v>
      </c>
      <c r="W69" s="4">
        <f t="shared" si="5"/>
        <v>212.7010577</v>
      </c>
      <c r="X69" s="4">
        <f t="shared" si="6"/>
        <v>328.7113564</v>
      </c>
    </row>
    <row r="70">
      <c r="A70" s="3">
        <v>40630.0</v>
      </c>
      <c r="B70" s="2">
        <v>282.0</v>
      </c>
      <c r="C70" s="2">
        <v>585.0</v>
      </c>
      <c r="D70" s="2">
        <v>1103.0</v>
      </c>
      <c r="E70" s="2">
        <v>368.0</v>
      </c>
      <c r="F70" s="2">
        <v>585.0</v>
      </c>
      <c r="G70" s="2">
        <v>3.0</v>
      </c>
      <c r="H70" s="2">
        <v>85.0</v>
      </c>
      <c r="I70" s="2">
        <v>1030.0</v>
      </c>
      <c r="J70" s="2">
        <v>665.0</v>
      </c>
      <c r="K70" s="2">
        <v>587.0</v>
      </c>
      <c r="L70" s="4">
        <f t="shared" si="7"/>
        <v>665.3333333</v>
      </c>
      <c r="M70" s="4">
        <f t="shared" si="8"/>
        <v>-80.33333333</v>
      </c>
      <c r="N70" s="4">
        <f t="shared" si="9"/>
        <v>80.33333333</v>
      </c>
      <c r="O70" s="4">
        <f t="shared" si="1"/>
        <v>637.3176431</v>
      </c>
      <c r="P70" s="4">
        <f t="shared" si="2"/>
        <v>539.8907404</v>
      </c>
      <c r="Q70" s="4">
        <f t="shared" si="3"/>
        <v>555.3556782</v>
      </c>
      <c r="V70" s="4">
        <f t="shared" si="4"/>
        <v>52.31764306</v>
      </c>
      <c r="W70" s="4">
        <f t="shared" si="5"/>
        <v>45.10925959</v>
      </c>
      <c r="X70" s="4">
        <f t="shared" si="6"/>
        <v>29.64432181</v>
      </c>
    </row>
    <row r="71">
      <c r="A71" s="3">
        <v>40637.0</v>
      </c>
      <c r="B71" s="2">
        <v>274.0</v>
      </c>
      <c r="C71" s="2">
        <v>753.0</v>
      </c>
      <c r="D71" s="2">
        <v>975.0</v>
      </c>
      <c r="E71" s="2">
        <v>460.0</v>
      </c>
      <c r="F71" s="2">
        <v>753.0</v>
      </c>
      <c r="G71" s="2">
        <v>9.0</v>
      </c>
      <c r="H71" s="2">
        <v>14.0</v>
      </c>
      <c r="I71" s="2">
        <v>564.0</v>
      </c>
      <c r="J71" s="2">
        <v>125.0</v>
      </c>
      <c r="K71" s="2">
        <v>247.0</v>
      </c>
      <c r="L71" s="4">
        <f t="shared" si="7"/>
        <v>646.3333333</v>
      </c>
      <c r="M71" s="4">
        <f t="shared" si="8"/>
        <v>106.6666667</v>
      </c>
      <c r="N71" s="4">
        <f t="shared" si="9"/>
        <v>106.6666667</v>
      </c>
      <c r="O71" s="4">
        <f t="shared" si="1"/>
        <v>632.0858788</v>
      </c>
      <c r="P71" s="4">
        <f t="shared" si="2"/>
        <v>553.4235183</v>
      </c>
      <c r="Q71" s="4">
        <f t="shared" si="3"/>
        <v>570.1778391</v>
      </c>
      <c r="V71" s="4">
        <f t="shared" si="4"/>
        <v>120.9141212</v>
      </c>
      <c r="W71" s="4">
        <f t="shared" si="5"/>
        <v>199.5764817</v>
      </c>
      <c r="X71" s="4">
        <f t="shared" si="6"/>
        <v>182.8221609</v>
      </c>
    </row>
    <row r="72">
      <c r="A72" s="3">
        <v>40644.0</v>
      </c>
      <c r="B72" s="2">
        <v>362.0</v>
      </c>
      <c r="C72" s="2">
        <v>815.0</v>
      </c>
      <c r="D72" s="2">
        <v>616.0</v>
      </c>
      <c r="E72" s="2">
        <v>542.0</v>
      </c>
      <c r="F72" s="2">
        <v>815.0</v>
      </c>
      <c r="G72" s="2">
        <v>0.0</v>
      </c>
      <c r="H72" s="2">
        <v>5.0</v>
      </c>
      <c r="I72" s="2">
        <v>784.0</v>
      </c>
      <c r="J72" s="2">
        <v>119.0</v>
      </c>
      <c r="K72" s="2">
        <v>305.0</v>
      </c>
      <c r="L72" s="4">
        <f t="shared" si="7"/>
        <v>576.3333333</v>
      </c>
      <c r="M72" s="4">
        <f t="shared" si="8"/>
        <v>238.6666667</v>
      </c>
      <c r="N72" s="4">
        <f t="shared" si="9"/>
        <v>238.6666667</v>
      </c>
      <c r="O72" s="4">
        <f t="shared" si="1"/>
        <v>644.1772909</v>
      </c>
      <c r="P72" s="4">
        <f t="shared" si="2"/>
        <v>613.2964628</v>
      </c>
      <c r="Q72" s="4">
        <f t="shared" si="3"/>
        <v>661.5889195</v>
      </c>
      <c r="V72" s="4">
        <f t="shared" si="4"/>
        <v>170.8227091</v>
      </c>
      <c r="W72" s="4">
        <f t="shared" si="5"/>
        <v>201.7035372</v>
      </c>
      <c r="X72" s="4">
        <f t="shared" si="6"/>
        <v>153.4110805</v>
      </c>
    </row>
    <row r="73">
      <c r="A73" s="3">
        <v>40651.0</v>
      </c>
      <c r="B73" s="2">
        <v>186.0</v>
      </c>
      <c r="C73" s="2">
        <v>612.0</v>
      </c>
      <c r="D73" s="2">
        <v>549.0</v>
      </c>
      <c r="E73" s="2">
        <v>548.0</v>
      </c>
      <c r="F73" s="2">
        <v>612.0</v>
      </c>
      <c r="G73" s="2">
        <v>1.0</v>
      </c>
      <c r="H73" s="2">
        <v>4.0</v>
      </c>
      <c r="I73" s="2">
        <v>232.0</v>
      </c>
      <c r="J73" s="2">
        <v>155.0</v>
      </c>
      <c r="K73" s="2">
        <v>368.0</v>
      </c>
      <c r="L73" s="4">
        <f t="shared" si="7"/>
        <v>717.6666667</v>
      </c>
      <c r="M73" s="4">
        <f t="shared" si="8"/>
        <v>-105.6666667</v>
      </c>
      <c r="N73" s="4">
        <f t="shared" si="9"/>
        <v>105.6666667</v>
      </c>
      <c r="O73" s="4">
        <f t="shared" si="1"/>
        <v>661.2595618</v>
      </c>
      <c r="P73" s="4">
        <f t="shared" si="2"/>
        <v>673.807524</v>
      </c>
      <c r="Q73" s="4">
        <f t="shared" si="3"/>
        <v>738.2944598</v>
      </c>
      <c r="V73" s="4">
        <f t="shared" si="4"/>
        <v>49.25956179</v>
      </c>
      <c r="W73" s="4">
        <f t="shared" si="5"/>
        <v>61.80752396</v>
      </c>
      <c r="X73" s="4">
        <f t="shared" si="6"/>
        <v>126.2944598</v>
      </c>
    </row>
    <row r="74">
      <c r="A74" s="3">
        <v>40658.0</v>
      </c>
      <c r="B74" s="2">
        <v>175.0</v>
      </c>
      <c r="C74" s="2">
        <v>264.0</v>
      </c>
      <c r="D74" s="2">
        <v>385.0</v>
      </c>
      <c r="E74" s="2">
        <v>276.0</v>
      </c>
      <c r="F74" s="2">
        <v>264.0</v>
      </c>
      <c r="G74" s="2">
        <v>0.0</v>
      </c>
      <c r="H74" s="2">
        <v>5.0</v>
      </c>
      <c r="I74" s="2">
        <v>310.0</v>
      </c>
      <c r="J74" s="2">
        <v>282.0</v>
      </c>
      <c r="K74" s="2">
        <v>164.0</v>
      </c>
      <c r="L74" s="4">
        <f t="shared" si="7"/>
        <v>726.6666667</v>
      </c>
      <c r="M74" s="4">
        <f t="shared" si="8"/>
        <v>-462.6666667</v>
      </c>
      <c r="N74" s="4">
        <f t="shared" si="9"/>
        <v>462.6666667</v>
      </c>
      <c r="O74" s="4">
        <f t="shared" si="1"/>
        <v>656.3336056</v>
      </c>
      <c r="P74" s="4">
        <f t="shared" si="2"/>
        <v>655.2652668</v>
      </c>
      <c r="Q74" s="4">
        <f t="shared" si="3"/>
        <v>675.1472299</v>
      </c>
      <c r="V74" s="4">
        <f t="shared" si="4"/>
        <v>392.3336056</v>
      </c>
      <c r="W74" s="4">
        <f t="shared" si="5"/>
        <v>391.2652668</v>
      </c>
      <c r="X74" s="4">
        <f t="shared" si="6"/>
        <v>411.1472299</v>
      </c>
    </row>
    <row r="75">
      <c r="A75" s="3">
        <v>40665.0</v>
      </c>
      <c r="B75" s="2">
        <v>171.0</v>
      </c>
      <c r="C75" s="2">
        <v>594.0</v>
      </c>
      <c r="D75" s="2">
        <v>380.0</v>
      </c>
      <c r="E75" s="2">
        <v>984.0</v>
      </c>
      <c r="F75" s="2">
        <v>594.0</v>
      </c>
      <c r="G75" s="2">
        <v>4.0</v>
      </c>
      <c r="H75" s="2">
        <v>109.0</v>
      </c>
      <c r="I75" s="2">
        <v>372.0</v>
      </c>
      <c r="J75" s="2">
        <v>154.0</v>
      </c>
      <c r="K75" s="2">
        <v>289.0</v>
      </c>
      <c r="L75" s="4">
        <f t="shared" si="7"/>
        <v>563.6666667</v>
      </c>
      <c r="M75" s="4">
        <f t="shared" si="8"/>
        <v>30.33333333</v>
      </c>
      <c r="N75" s="4">
        <f t="shared" si="9"/>
        <v>30.33333333</v>
      </c>
      <c r="O75" s="4">
        <f t="shared" si="1"/>
        <v>617.1002451</v>
      </c>
      <c r="P75" s="4">
        <f t="shared" si="2"/>
        <v>537.8856867</v>
      </c>
      <c r="Q75" s="4">
        <f t="shared" si="3"/>
        <v>469.5736149</v>
      </c>
      <c r="V75" s="4">
        <f t="shared" si="4"/>
        <v>23.10024505</v>
      </c>
      <c r="W75" s="4">
        <f t="shared" si="5"/>
        <v>56.11431326</v>
      </c>
      <c r="X75" s="4">
        <f t="shared" si="6"/>
        <v>124.4263851</v>
      </c>
    </row>
    <row r="76">
      <c r="A76" s="3">
        <v>40672.0</v>
      </c>
      <c r="B76" s="2">
        <v>366.0</v>
      </c>
      <c r="C76" s="2">
        <v>1201.0</v>
      </c>
      <c r="D76" s="2">
        <v>1206.0</v>
      </c>
      <c r="E76" s="2">
        <v>752.0</v>
      </c>
      <c r="F76" s="2">
        <v>1201.0</v>
      </c>
      <c r="G76" s="2">
        <v>13.0</v>
      </c>
      <c r="H76" s="2">
        <v>187.0</v>
      </c>
      <c r="I76" s="2">
        <v>381.0</v>
      </c>
      <c r="J76" s="2">
        <v>401.0</v>
      </c>
      <c r="K76" s="2">
        <v>885.0</v>
      </c>
      <c r="L76" s="4">
        <f t="shared" si="7"/>
        <v>490</v>
      </c>
      <c r="M76" s="4">
        <f t="shared" si="8"/>
        <v>711</v>
      </c>
      <c r="N76" s="4">
        <f t="shared" si="9"/>
        <v>711</v>
      </c>
      <c r="O76" s="4">
        <f t="shared" si="1"/>
        <v>614.7902205</v>
      </c>
      <c r="P76" s="4">
        <f t="shared" si="2"/>
        <v>554.7199807</v>
      </c>
      <c r="Q76" s="4">
        <f t="shared" si="3"/>
        <v>531.7868075</v>
      </c>
      <c r="V76" s="4">
        <f t="shared" si="4"/>
        <v>586.2097795</v>
      </c>
      <c r="W76" s="4">
        <f t="shared" si="5"/>
        <v>646.2800193</v>
      </c>
      <c r="X76" s="4">
        <f t="shared" si="6"/>
        <v>669.2131925</v>
      </c>
    </row>
    <row r="77">
      <c r="A77" s="3">
        <v>40679.0</v>
      </c>
      <c r="B77" s="2">
        <v>305.0</v>
      </c>
      <c r="C77" s="2">
        <v>595.0</v>
      </c>
      <c r="D77" s="2">
        <v>978.0</v>
      </c>
      <c r="E77" s="2">
        <v>754.0</v>
      </c>
      <c r="F77" s="2">
        <v>595.0</v>
      </c>
      <c r="G77" s="2">
        <v>0.0</v>
      </c>
      <c r="H77" s="2">
        <v>44.0</v>
      </c>
      <c r="I77" s="2">
        <v>1300.0</v>
      </c>
      <c r="J77" s="2">
        <v>169.0</v>
      </c>
      <c r="K77" s="2">
        <v>445.0</v>
      </c>
      <c r="L77" s="4">
        <f t="shared" si="7"/>
        <v>686.3333333</v>
      </c>
      <c r="M77" s="4">
        <f t="shared" si="8"/>
        <v>-91.33333333</v>
      </c>
      <c r="N77" s="4">
        <f t="shared" si="9"/>
        <v>91.33333333</v>
      </c>
      <c r="O77" s="4">
        <f t="shared" si="1"/>
        <v>673.4111985</v>
      </c>
      <c r="P77" s="4">
        <f t="shared" si="2"/>
        <v>748.6039865</v>
      </c>
      <c r="Q77" s="4">
        <f t="shared" si="3"/>
        <v>866.3934037</v>
      </c>
      <c r="V77" s="4">
        <f t="shared" si="4"/>
        <v>78.41119849</v>
      </c>
      <c r="W77" s="4">
        <f t="shared" si="5"/>
        <v>153.6039865</v>
      </c>
      <c r="X77" s="4">
        <f t="shared" si="6"/>
        <v>271.3934037</v>
      </c>
    </row>
    <row r="78">
      <c r="A78" s="3">
        <v>40686.0</v>
      </c>
      <c r="B78" s="2">
        <v>169.0</v>
      </c>
      <c r="C78" s="2">
        <v>565.0</v>
      </c>
      <c r="D78" s="2">
        <v>933.0</v>
      </c>
      <c r="E78" s="2">
        <v>839.0</v>
      </c>
      <c r="F78" s="2">
        <v>565.0</v>
      </c>
      <c r="G78" s="2">
        <v>0.0</v>
      </c>
      <c r="H78" s="2">
        <v>72.0</v>
      </c>
      <c r="I78" s="2">
        <v>4562.0</v>
      </c>
      <c r="J78" s="2">
        <v>558.0</v>
      </c>
      <c r="K78" s="2">
        <v>684.0</v>
      </c>
      <c r="L78" s="4">
        <f t="shared" si="7"/>
        <v>796.6666667</v>
      </c>
      <c r="M78" s="4">
        <f t="shared" si="8"/>
        <v>-231.6666667</v>
      </c>
      <c r="N78" s="4">
        <f t="shared" si="9"/>
        <v>231.6666667</v>
      </c>
      <c r="O78" s="4">
        <f t="shared" si="1"/>
        <v>665.5700786</v>
      </c>
      <c r="P78" s="4">
        <f t="shared" si="2"/>
        <v>702.5227906</v>
      </c>
      <c r="Q78" s="4">
        <f t="shared" si="3"/>
        <v>730.6967019</v>
      </c>
      <c r="V78" s="4">
        <f t="shared" si="4"/>
        <v>100.5700786</v>
      </c>
      <c r="W78" s="4">
        <f t="shared" si="5"/>
        <v>137.5227906</v>
      </c>
      <c r="X78" s="4">
        <f t="shared" si="6"/>
        <v>165.6967019</v>
      </c>
    </row>
    <row r="79">
      <c r="A79" s="3">
        <v>40693.0</v>
      </c>
      <c r="B79" s="2">
        <v>263.0</v>
      </c>
      <c r="C79" s="2">
        <v>384.0</v>
      </c>
      <c r="D79" s="2">
        <v>273.0</v>
      </c>
      <c r="E79" s="2">
        <v>434.0</v>
      </c>
      <c r="F79" s="2">
        <v>384.0</v>
      </c>
      <c r="G79" s="2">
        <v>0.0</v>
      </c>
      <c r="H79" s="2">
        <v>27.0</v>
      </c>
      <c r="I79" s="2">
        <v>533.0</v>
      </c>
      <c r="J79" s="2">
        <v>410.0</v>
      </c>
      <c r="K79" s="2">
        <v>184.0</v>
      </c>
      <c r="L79" s="4">
        <f t="shared" si="7"/>
        <v>787</v>
      </c>
      <c r="M79" s="4">
        <f t="shared" si="8"/>
        <v>-403</v>
      </c>
      <c r="N79" s="4">
        <f t="shared" si="9"/>
        <v>403</v>
      </c>
      <c r="O79" s="4">
        <f t="shared" si="1"/>
        <v>655.5130708</v>
      </c>
      <c r="P79" s="4">
        <f t="shared" si="2"/>
        <v>661.2659534</v>
      </c>
      <c r="Q79" s="4">
        <f t="shared" si="3"/>
        <v>647.8483509</v>
      </c>
      <c r="V79" s="4">
        <f t="shared" si="4"/>
        <v>271.5130708</v>
      </c>
      <c r="W79" s="4">
        <f t="shared" si="5"/>
        <v>277.2659534</v>
      </c>
      <c r="X79" s="4">
        <f t="shared" si="6"/>
        <v>263.8483509</v>
      </c>
    </row>
    <row r="80">
      <c r="A80" s="3">
        <v>40700.0</v>
      </c>
      <c r="B80" s="2">
        <v>207.0</v>
      </c>
      <c r="C80" s="2">
        <v>292.0</v>
      </c>
      <c r="D80" s="2">
        <v>883.0</v>
      </c>
      <c r="E80" s="2">
        <v>651.0</v>
      </c>
      <c r="F80" s="2">
        <v>292.0</v>
      </c>
      <c r="G80" s="2">
        <v>2.0</v>
      </c>
      <c r="H80" s="2">
        <v>91.0</v>
      </c>
      <c r="I80" s="2">
        <v>410.0</v>
      </c>
      <c r="J80" s="2">
        <v>478.0</v>
      </c>
      <c r="K80" s="2">
        <v>585.0</v>
      </c>
      <c r="L80" s="4">
        <f t="shared" si="7"/>
        <v>514.6666667</v>
      </c>
      <c r="M80" s="4">
        <f t="shared" si="8"/>
        <v>-222.6666667</v>
      </c>
      <c r="N80" s="4">
        <f t="shared" si="9"/>
        <v>222.6666667</v>
      </c>
      <c r="O80" s="4">
        <f t="shared" si="1"/>
        <v>628.3617637</v>
      </c>
      <c r="P80" s="4">
        <f t="shared" si="2"/>
        <v>578.0861674</v>
      </c>
      <c r="Q80" s="4">
        <f t="shared" si="3"/>
        <v>515.9241755</v>
      </c>
      <c r="V80" s="4">
        <f t="shared" si="4"/>
        <v>336.3617637</v>
      </c>
      <c r="W80" s="4">
        <f t="shared" si="5"/>
        <v>286.0861674</v>
      </c>
      <c r="X80" s="4">
        <f t="shared" si="6"/>
        <v>223.9241755</v>
      </c>
    </row>
    <row r="81">
      <c r="A81" s="3">
        <v>40707.0</v>
      </c>
      <c r="B81" s="2">
        <v>173.0</v>
      </c>
      <c r="C81" s="2">
        <v>446.0</v>
      </c>
      <c r="D81" s="2">
        <v>959.0</v>
      </c>
      <c r="E81" s="2">
        <v>507.0</v>
      </c>
      <c r="F81" s="2">
        <v>446.0</v>
      </c>
      <c r="G81" s="2">
        <v>1.0</v>
      </c>
      <c r="H81" s="2">
        <v>113.0</v>
      </c>
      <c r="I81" s="2">
        <v>437.0</v>
      </c>
      <c r="J81" s="2">
        <v>243.0</v>
      </c>
      <c r="K81" s="2">
        <v>448.0</v>
      </c>
      <c r="L81" s="4">
        <f t="shared" si="7"/>
        <v>413.6666667</v>
      </c>
      <c r="M81" s="4">
        <f t="shared" si="8"/>
        <v>32.33333333</v>
      </c>
      <c r="N81" s="4">
        <f t="shared" si="9"/>
        <v>32.33333333</v>
      </c>
      <c r="O81" s="4">
        <f t="shared" si="1"/>
        <v>594.7255873</v>
      </c>
      <c r="P81" s="4">
        <f t="shared" si="2"/>
        <v>492.2603172</v>
      </c>
      <c r="Q81" s="4">
        <f t="shared" si="3"/>
        <v>403.9620877</v>
      </c>
      <c r="V81" s="4">
        <f t="shared" si="4"/>
        <v>148.7255873</v>
      </c>
      <c r="W81" s="4">
        <f t="shared" si="5"/>
        <v>46.26031716</v>
      </c>
      <c r="X81" s="4">
        <f t="shared" si="6"/>
        <v>42.03791227</v>
      </c>
    </row>
    <row r="82">
      <c r="A82" s="3">
        <v>40714.0</v>
      </c>
      <c r="B82" s="2">
        <v>143.0</v>
      </c>
      <c r="C82" s="2">
        <v>270.0</v>
      </c>
      <c r="D82" s="2">
        <v>841.0</v>
      </c>
      <c r="E82" s="2">
        <v>598.0</v>
      </c>
      <c r="F82" s="2">
        <v>270.0</v>
      </c>
      <c r="G82" s="2">
        <v>6.0</v>
      </c>
      <c r="H82" s="2">
        <v>60.0</v>
      </c>
      <c r="I82" s="2">
        <v>345.0</v>
      </c>
      <c r="J82" s="2">
        <v>611.0</v>
      </c>
      <c r="K82" s="2">
        <v>238.0</v>
      </c>
      <c r="L82" s="4">
        <f t="shared" si="7"/>
        <v>374</v>
      </c>
      <c r="M82" s="4">
        <f t="shared" si="8"/>
        <v>-104</v>
      </c>
      <c r="N82" s="4">
        <f t="shared" si="9"/>
        <v>104</v>
      </c>
      <c r="O82" s="4">
        <f t="shared" si="1"/>
        <v>579.8530286</v>
      </c>
      <c r="P82" s="4">
        <f t="shared" si="2"/>
        <v>478.382222</v>
      </c>
      <c r="Q82" s="4">
        <f t="shared" si="3"/>
        <v>424.9810439</v>
      </c>
      <c r="V82" s="4">
        <f t="shared" si="4"/>
        <v>309.8530286</v>
      </c>
      <c r="W82" s="4">
        <f t="shared" si="5"/>
        <v>208.382222</v>
      </c>
      <c r="X82" s="4">
        <f t="shared" si="6"/>
        <v>154.9810439</v>
      </c>
    </row>
    <row r="83">
      <c r="A83" s="3">
        <v>40721.0</v>
      </c>
      <c r="B83" s="2">
        <v>79.0</v>
      </c>
      <c r="C83" s="2">
        <v>292.0</v>
      </c>
      <c r="D83" s="2">
        <v>815.0</v>
      </c>
      <c r="E83" s="2">
        <v>276.0</v>
      </c>
      <c r="F83" s="2">
        <v>292.0</v>
      </c>
      <c r="G83" s="2">
        <v>365.0</v>
      </c>
      <c r="H83" s="2">
        <v>113.0</v>
      </c>
      <c r="I83" s="2">
        <v>430.0</v>
      </c>
      <c r="J83" s="2">
        <v>456.0</v>
      </c>
      <c r="K83" s="2">
        <v>303.0</v>
      </c>
      <c r="L83" s="4">
        <f t="shared" si="7"/>
        <v>336</v>
      </c>
      <c r="M83" s="4">
        <f t="shared" si="8"/>
        <v>-44</v>
      </c>
      <c r="N83" s="4">
        <f t="shared" si="9"/>
        <v>44</v>
      </c>
      <c r="O83" s="4">
        <f t="shared" si="1"/>
        <v>548.8677257</v>
      </c>
      <c r="P83" s="4">
        <f t="shared" si="2"/>
        <v>415.8675554</v>
      </c>
      <c r="Q83" s="4">
        <f t="shared" si="3"/>
        <v>347.4905219</v>
      </c>
      <c r="V83" s="4">
        <f t="shared" si="4"/>
        <v>256.8677257</v>
      </c>
      <c r="W83" s="4">
        <f t="shared" si="5"/>
        <v>123.8675554</v>
      </c>
      <c r="X83" s="4">
        <f t="shared" si="6"/>
        <v>55.49052193</v>
      </c>
    </row>
    <row r="84">
      <c r="A84" s="3">
        <v>40728.0</v>
      </c>
      <c r="B84" s="2">
        <v>131.0</v>
      </c>
      <c r="C84" s="2">
        <v>460.0</v>
      </c>
      <c r="D84" s="2">
        <v>1364.0</v>
      </c>
      <c r="E84" s="2">
        <v>901.0</v>
      </c>
      <c r="F84" s="2">
        <v>460.0</v>
      </c>
      <c r="G84" s="2">
        <v>18.0</v>
      </c>
      <c r="H84" s="2">
        <v>23.0</v>
      </c>
      <c r="I84" s="2">
        <v>636.0</v>
      </c>
      <c r="J84" s="2">
        <v>452.0</v>
      </c>
      <c r="K84" s="2">
        <v>440.0</v>
      </c>
      <c r="L84" s="4">
        <f t="shared" si="7"/>
        <v>336</v>
      </c>
      <c r="M84" s="4">
        <f t="shared" si="8"/>
        <v>124</v>
      </c>
      <c r="N84" s="4">
        <f t="shared" si="9"/>
        <v>124</v>
      </c>
      <c r="O84" s="4">
        <f t="shared" si="1"/>
        <v>523.1809532</v>
      </c>
      <c r="P84" s="4">
        <f t="shared" si="2"/>
        <v>378.7072888</v>
      </c>
      <c r="Q84" s="4">
        <f t="shared" si="3"/>
        <v>319.745261</v>
      </c>
      <c r="V84" s="4">
        <f t="shared" si="4"/>
        <v>63.18095316</v>
      </c>
      <c r="W84" s="4">
        <f t="shared" si="5"/>
        <v>81.29271121</v>
      </c>
      <c r="X84" s="4">
        <f t="shared" si="6"/>
        <v>140.254739</v>
      </c>
    </row>
    <row r="85">
      <c r="A85" s="3">
        <v>40735.0</v>
      </c>
      <c r="B85" s="2">
        <v>292.0</v>
      </c>
      <c r="C85" s="2">
        <v>372.0</v>
      </c>
      <c r="D85" s="2">
        <v>421.0</v>
      </c>
      <c r="E85" s="2">
        <v>354.0</v>
      </c>
      <c r="F85" s="2">
        <v>372.0</v>
      </c>
      <c r="G85" s="2">
        <v>10.0</v>
      </c>
      <c r="H85" s="2">
        <v>33.0</v>
      </c>
      <c r="I85" s="2">
        <v>157.0</v>
      </c>
      <c r="J85" s="2">
        <v>315.0</v>
      </c>
      <c r="K85" s="2">
        <v>231.0</v>
      </c>
      <c r="L85" s="4">
        <f t="shared" si="7"/>
        <v>340.6666667</v>
      </c>
      <c r="M85" s="4">
        <f t="shared" si="8"/>
        <v>31.33333333</v>
      </c>
      <c r="N85" s="4">
        <f t="shared" si="9"/>
        <v>31.33333333</v>
      </c>
      <c r="O85" s="4">
        <f t="shared" si="1"/>
        <v>516.8628578</v>
      </c>
      <c r="P85" s="4">
        <f t="shared" si="2"/>
        <v>403.0951021</v>
      </c>
      <c r="Q85" s="4">
        <f t="shared" si="3"/>
        <v>389.8726305</v>
      </c>
      <c r="V85" s="4">
        <f t="shared" si="4"/>
        <v>144.8628578</v>
      </c>
      <c r="W85" s="4">
        <f t="shared" si="5"/>
        <v>31.09510215</v>
      </c>
      <c r="X85" s="4">
        <f t="shared" si="6"/>
        <v>17.87263048</v>
      </c>
    </row>
    <row r="86">
      <c r="A86" s="3">
        <v>40742.0</v>
      </c>
      <c r="B86" s="2">
        <v>340.0</v>
      </c>
      <c r="C86" s="2">
        <v>519.0</v>
      </c>
      <c r="D86" s="2">
        <v>732.0</v>
      </c>
      <c r="E86" s="2">
        <v>927.0</v>
      </c>
      <c r="F86" s="2">
        <v>519.0</v>
      </c>
      <c r="G86" s="2">
        <v>32.0</v>
      </c>
      <c r="H86" s="2">
        <v>133.0</v>
      </c>
      <c r="I86" s="2">
        <v>621.0</v>
      </c>
      <c r="J86" s="2">
        <v>307.0</v>
      </c>
      <c r="K86" s="2">
        <v>495.0</v>
      </c>
      <c r="L86" s="4">
        <f t="shared" si="7"/>
        <v>374.6666667</v>
      </c>
      <c r="M86" s="4">
        <f t="shared" si="8"/>
        <v>144.3333333</v>
      </c>
      <c r="N86" s="4">
        <f t="shared" si="9"/>
        <v>144.3333333</v>
      </c>
      <c r="O86" s="4">
        <f t="shared" si="1"/>
        <v>502.3765721</v>
      </c>
      <c r="P86" s="4">
        <f t="shared" si="2"/>
        <v>393.7665715</v>
      </c>
      <c r="Q86" s="4">
        <f t="shared" si="3"/>
        <v>380.9363152</v>
      </c>
      <c r="V86" s="4">
        <f t="shared" si="4"/>
        <v>16.62342794</v>
      </c>
      <c r="W86" s="4">
        <f t="shared" si="5"/>
        <v>125.2334285</v>
      </c>
      <c r="X86" s="4">
        <f t="shared" si="6"/>
        <v>138.0636848</v>
      </c>
    </row>
    <row r="87">
      <c r="A87" s="3">
        <v>40749.0</v>
      </c>
      <c r="B87" s="2">
        <v>341.0</v>
      </c>
      <c r="C87" s="2">
        <v>478.0</v>
      </c>
      <c r="D87" s="2">
        <v>440.0</v>
      </c>
      <c r="E87" s="2">
        <v>520.0</v>
      </c>
      <c r="F87" s="2">
        <v>478.0</v>
      </c>
      <c r="G87" s="2">
        <v>287.0</v>
      </c>
      <c r="H87" s="2">
        <v>651.0</v>
      </c>
      <c r="I87" s="2">
        <v>436.0</v>
      </c>
      <c r="J87" s="2">
        <v>403.0</v>
      </c>
      <c r="K87" s="2">
        <v>385.0</v>
      </c>
      <c r="L87" s="4">
        <f t="shared" si="7"/>
        <v>450.3333333</v>
      </c>
      <c r="M87" s="4">
        <f t="shared" si="8"/>
        <v>27.66666667</v>
      </c>
      <c r="N87" s="4">
        <f t="shared" si="9"/>
        <v>27.66666667</v>
      </c>
      <c r="O87" s="4">
        <f t="shared" si="1"/>
        <v>504.0389149</v>
      </c>
      <c r="P87" s="4">
        <f t="shared" si="2"/>
        <v>431.3366001</v>
      </c>
      <c r="Q87" s="4">
        <f t="shared" si="3"/>
        <v>449.9681576</v>
      </c>
      <c r="V87" s="4">
        <f t="shared" si="4"/>
        <v>26.03891486</v>
      </c>
      <c r="W87" s="4">
        <f t="shared" si="5"/>
        <v>46.66339995</v>
      </c>
      <c r="X87" s="4">
        <f t="shared" si="6"/>
        <v>28.03184238</v>
      </c>
    </row>
    <row r="88">
      <c r="A88" s="3">
        <v>40756.0</v>
      </c>
      <c r="B88" s="2">
        <v>148.0</v>
      </c>
      <c r="C88" s="2">
        <v>3800.0</v>
      </c>
      <c r="D88" s="2">
        <v>1040.0</v>
      </c>
      <c r="E88" s="2">
        <v>423.0</v>
      </c>
      <c r="F88" s="2">
        <v>3800.0</v>
      </c>
      <c r="G88" s="2">
        <v>161.0</v>
      </c>
      <c r="H88" s="2">
        <v>87.0</v>
      </c>
      <c r="I88" s="2">
        <v>2178.0</v>
      </c>
      <c r="J88" s="2">
        <v>382.0</v>
      </c>
      <c r="K88" s="2">
        <v>603.0</v>
      </c>
      <c r="L88" s="4">
        <f t="shared" si="7"/>
        <v>456.3333333</v>
      </c>
      <c r="M88" s="4">
        <f t="shared" si="8"/>
        <v>3343.666667</v>
      </c>
      <c r="N88" s="4">
        <f t="shared" si="9"/>
        <v>3343.666667</v>
      </c>
      <c r="O88" s="4">
        <f t="shared" si="1"/>
        <v>501.4350234</v>
      </c>
      <c r="P88" s="4">
        <f t="shared" si="2"/>
        <v>445.33562</v>
      </c>
      <c r="Q88" s="4">
        <f t="shared" si="3"/>
        <v>463.9840788</v>
      </c>
      <c r="V88" s="4">
        <f t="shared" si="4"/>
        <v>3298.564977</v>
      </c>
      <c r="W88" s="4">
        <f t="shared" si="5"/>
        <v>3354.66438</v>
      </c>
      <c r="X88" s="4">
        <f t="shared" si="6"/>
        <v>3336.015921</v>
      </c>
    </row>
    <row r="89">
      <c r="A89" s="3">
        <v>40763.0</v>
      </c>
      <c r="B89" s="2">
        <v>177.0</v>
      </c>
      <c r="C89" s="2">
        <v>1323.0</v>
      </c>
      <c r="D89" s="2">
        <v>1373.0</v>
      </c>
      <c r="E89" s="2">
        <v>280.0</v>
      </c>
      <c r="F89" s="2">
        <v>1323.0</v>
      </c>
      <c r="G89" s="2">
        <v>22.0</v>
      </c>
      <c r="H89" s="2">
        <v>135.0</v>
      </c>
      <c r="I89" s="2">
        <v>1735.0</v>
      </c>
      <c r="J89" s="2">
        <v>551.0</v>
      </c>
      <c r="K89" s="2">
        <v>725.0</v>
      </c>
      <c r="L89" s="4">
        <f t="shared" si="7"/>
        <v>1599</v>
      </c>
      <c r="M89" s="4">
        <f t="shared" si="8"/>
        <v>-276</v>
      </c>
      <c r="N89" s="4">
        <f t="shared" si="9"/>
        <v>276</v>
      </c>
      <c r="O89" s="4">
        <f t="shared" si="1"/>
        <v>831.291521</v>
      </c>
      <c r="P89" s="4">
        <f t="shared" si="2"/>
        <v>1451.734934</v>
      </c>
      <c r="Q89" s="4">
        <f t="shared" si="3"/>
        <v>2131.992039</v>
      </c>
      <c r="V89" s="4">
        <f t="shared" si="4"/>
        <v>491.708479</v>
      </c>
      <c r="W89" s="4">
        <f t="shared" si="5"/>
        <v>128.734934</v>
      </c>
      <c r="X89" s="4">
        <f t="shared" si="6"/>
        <v>808.9920394</v>
      </c>
    </row>
    <row r="90">
      <c r="A90" s="3">
        <v>40770.0</v>
      </c>
      <c r="B90" s="2">
        <v>210.0</v>
      </c>
      <c r="C90" s="2">
        <v>556.0</v>
      </c>
      <c r="D90" s="2">
        <v>1356.0</v>
      </c>
      <c r="E90" s="2">
        <v>402.0</v>
      </c>
      <c r="F90" s="2">
        <v>556.0</v>
      </c>
      <c r="G90" s="2">
        <v>36.0</v>
      </c>
      <c r="H90" s="2">
        <v>62.0</v>
      </c>
      <c r="I90" s="2">
        <v>518.0</v>
      </c>
      <c r="J90" s="2">
        <v>586.0</v>
      </c>
      <c r="K90" s="2">
        <v>423.0</v>
      </c>
      <c r="L90" s="4">
        <f t="shared" si="7"/>
        <v>1867</v>
      </c>
      <c r="M90" s="4">
        <f t="shared" si="8"/>
        <v>-1311</v>
      </c>
      <c r="N90" s="4">
        <f t="shared" si="9"/>
        <v>1311</v>
      </c>
      <c r="O90" s="4">
        <f t="shared" si="1"/>
        <v>880.4623689</v>
      </c>
      <c r="P90" s="4">
        <f t="shared" si="2"/>
        <v>1413.114454</v>
      </c>
      <c r="Q90" s="4">
        <f t="shared" si="3"/>
        <v>1727.49602</v>
      </c>
      <c r="V90" s="4">
        <f t="shared" si="4"/>
        <v>324.4623689</v>
      </c>
      <c r="W90" s="4">
        <f t="shared" si="5"/>
        <v>857.1144538</v>
      </c>
      <c r="X90" s="4">
        <f t="shared" si="6"/>
        <v>1171.49602</v>
      </c>
    </row>
    <row r="91">
      <c r="A91" s="3">
        <v>40777.0</v>
      </c>
      <c r="B91" s="2">
        <v>241.0</v>
      </c>
      <c r="C91" s="2">
        <v>850.0</v>
      </c>
      <c r="D91" s="2">
        <v>1518.0</v>
      </c>
      <c r="E91" s="2">
        <v>470.0</v>
      </c>
      <c r="F91" s="2">
        <v>850.0</v>
      </c>
      <c r="G91" s="2">
        <v>28.0</v>
      </c>
      <c r="H91" s="2">
        <v>110.0</v>
      </c>
      <c r="I91" s="2">
        <v>826.0</v>
      </c>
      <c r="J91" s="2">
        <v>619.0</v>
      </c>
      <c r="K91" s="2">
        <v>340.0</v>
      </c>
      <c r="L91" s="4">
        <f t="shared" si="7"/>
        <v>1893</v>
      </c>
      <c r="M91" s="4">
        <f t="shared" si="8"/>
        <v>-1043</v>
      </c>
      <c r="N91" s="4">
        <f t="shared" si="9"/>
        <v>1043</v>
      </c>
      <c r="O91" s="4">
        <f t="shared" si="1"/>
        <v>848.016132</v>
      </c>
      <c r="P91" s="4">
        <f t="shared" si="2"/>
        <v>1155.980118</v>
      </c>
      <c r="Q91" s="4">
        <f t="shared" si="3"/>
        <v>1141.74801</v>
      </c>
      <c r="V91" s="4">
        <f t="shared" si="4"/>
        <v>1.983867963</v>
      </c>
      <c r="W91" s="4">
        <f t="shared" si="5"/>
        <v>305.9801177</v>
      </c>
      <c r="X91" s="4">
        <f t="shared" si="6"/>
        <v>291.7480099</v>
      </c>
    </row>
    <row r="92">
      <c r="A92" s="3">
        <v>40784.0</v>
      </c>
      <c r="B92" s="2">
        <v>146.0</v>
      </c>
      <c r="C92" s="2">
        <v>216.0</v>
      </c>
      <c r="D92" s="2">
        <v>717.0</v>
      </c>
      <c r="E92" s="2">
        <v>207.0</v>
      </c>
      <c r="F92" s="2">
        <v>216.0</v>
      </c>
      <c r="G92" s="2">
        <v>192.0</v>
      </c>
      <c r="H92" s="2">
        <v>210.0</v>
      </c>
      <c r="I92" s="2">
        <v>956.0</v>
      </c>
      <c r="J92" s="2">
        <v>248.0</v>
      </c>
      <c r="K92" s="2">
        <v>202.0</v>
      </c>
      <c r="L92" s="4">
        <f t="shared" si="7"/>
        <v>909.6666667</v>
      </c>
      <c r="M92" s="4">
        <f t="shared" si="8"/>
        <v>-693.6666667</v>
      </c>
      <c r="N92" s="4">
        <f t="shared" si="9"/>
        <v>693.6666667</v>
      </c>
      <c r="O92" s="4">
        <f t="shared" si="1"/>
        <v>848.2145188</v>
      </c>
      <c r="P92" s="4">
        <f t="shared" si="2"/>
        <v>1064.186082</v>
      </c>
      <c r="Q92" s="4">
        <f t="shared" si="3"/>
        <v>995.8740049</v>
      </c>
      <c r="V92" s="4">
        <f t="shared" si="4"/>
        <v>632.2145188</v>
      </c>
      <c r="W92" s="4">
        <f t="shared" si="5"/>
        <v>848.1860824</v>
      </c>
      <c r="X92" s="4">
        <f t="shared" si="6"/>
        <v>779.8740049</v>
      </c>
    </row>
    <row r="93">
      <c r="A93" s="3">
        <v>40791.0</v>
      </c>
      <c r="B93" s="2">
        <v>149.0</v>
      </c>
      <c r="C93" s="2">
        <v>488.0</v>
      </c>
      <c r="D93" s="2">
        <v>556.0</v>
      </c>
      <c r="E93" s="2">
        <v>300.0</v>
      </c>
      <c r="F93" s="2">
        <v>488.0</v>
      </c>
      <c r="G93" s="2">
        <v>455.0</v>
      </c>
      <c r="H93" s="2">
        <v>70.0</v>
      </c>
      <c r="I93" s="2">
        <v>516.0</v>
      </c>
      <c r="J93" s="2">
        <v>657.0</v>
      </c>
      <c r="K93" s="2">
        <v>424.0</v>
      </c>
      <c r="L93" s="4">
        <f t="shared" si="7"/>
        <v>540.6666667</v>
      </c>
      <c r="M93" s="4">
        <f t="shared" si="8"/>
        <v>-52.66666667</v>
      </c>
      <c r="N93" s="4">
        <f t="shared" si="9"/>
        <v>52.66666667</v>
      </c>
      <c r="O93" s="4">
        <f t="shared" si="1"/>
        <v>784.993067</v>
      </c>
      <c r="P93" s="4">
        <f t="shared" si="2"/>
        <v>809.7302577</v>
      </c>
      <c r="Q93" s="4">
        <f t="shared" si="3"/>
        <v>605.9370025</v>
      </c>
      <c r="V93" s="4">
        <f t="shared" si="4"/>
        <v>296.993067</v>
      </c>
      <c r="W93" s="4">
        <f t="shared" si="5"/>
        <v>321.7302577</v>
      </c>
      <c r="X93" s="4">
        <f t="shared" si="6"/>
        <v>117.9370025</v>
      </c>
    </row>
    <row r="94">
      <c r="A94" s="3">
        <v>40798.0</v>
      </c>
      <c r="B94" s="2">
        <v>218.0</v>
      </c>
      <c r="C94" s="2">
        <v>908.0</v>
      </c>
      <c r="D94" s="2">
        <v>743.0</v>
      </c>
      <c r="E94" s="2">
        <v>334.0</v>
      </c>
      <c r="F94" s="2">
        <v>908.0</v>
      </c>
      <c r="G94" s="2">
        <v>561.0</v>
      </c>
      <c r="H94" s="2">
        <v>262.0</v>
      </c>
      <c r="I94" s="2">
        <v>570.0</v>
      </c>
      <c r="J94" s="2">
        <v>478.0</v>
      </c>
      <c r="K94" s="2">
        <v>329.0</v>
      </c>
      <c r="L94" s="4">
        <f t="shared" si="7"/>
        <v>518</v>
      </c>
      <c r="M94" s="4">
        <f t="shared" si="8"/>
        <v>390</v>
      </c>
      <c r="N94" s="4">
        <f t="shared" si="9"/>
        <v>390</v>
      </c>
      <c r="O94" s="4">
        <f t="shared" si="1"/>
        <v>755.2937603</v>
      </c>
      <c r="P94" s="4">
        <f t="shared" si="2"/>
        <v>713.2111804</v>
      </c>
      <c r="Q94" s="4">
        <f t="shared" si="3"/>
        <v>546.9685012</v>
      </c>
      <c r="V94" s="4">
        <f t="shared" si="4"/>
        <v>152.7062397</v>
      </c>
      <c r="W94" s="4">
        <f t="shared" si="5"/>
        <v>194.7888196</v>
      </c>
      <c r="X94" s="4">
        <f t="shared" si="6"/>
        <v>361.0314988</v>
      </c>
    </row>
    <row r="95">
      <c r="A95" s="3">
        <v>40805.0</v>
      </c>
      <c r="B95" s="2">
        <v>147.0</v>
      </c>
      <c r="C95" s="2">
        <v>677.0</v>
      </c>
      <c r="D95" s="2">
        <v>1667.0</v>
      </c>
      <c r="E95" s="2">
        <v>158.0</v>
      </c>
      <c r="F95" s="2">
        <v>677.0</v>
      </c>
      <c r="G95" s="2">
        <v>602.0</v>
      </c>
      <c r="H95" s="2">
        <v>28.0</v>
      </c>
      <c r="I95" s="2">
        <v>682.0</v>
      </c>
      <c r="J95" s="2">
        <v>809.0</v>
      </c>
      <c r="K95" s="2">
        <v>482.0</v>
      </c>
      <c r="L95" s="4">
        <f t="shared" si="7"/>
        <v>537.3333333</v>
      </c>
      <c r="M95" s="4">
        <f t="shared" si="8"/>
        <v>139.6666667</v>
      </c>
      <c r="N95" s="4">
        <f t="shared" si="9"/>
        <v>139.6666667</v>
      </c>
      <c r="O95" s="4">
        <f t="shared" si="1"/>
        <v>770.5643842</v>
      </c>
      <c r="P95" s="4">
        <f t="shared" si="2"/>
        <v>771.6478263</v>
      </c>
      <c r="Q95" s="4">
        <f t="shared" si="3"/>
        <v>727.4842506</v>
      </c>
      <c r="V95" s="4">
        <f t="shared" si="4"/>
        <v>93.56438423</v>
      </c>
      <c r="W95" s="4">
        <f t="shared" si="5"/>
        <v>94.64782625</v>
      </c>
      <c r="X95" s="4">
        <f t="shared" si="6"/>
        <v>50.48425062</v>
      </c>
    </row>
    <row r="96">
      <c r="A96" s="3">
        <v>40812.0</v>
      </c>
      <c r="B96" s="2">
        <v>148.0</v>
      </c>
      <c r="C96" s="2">
        <v>799.0</v>
      </c>
      <c r="D96" s="2">
        <v>929.0</v>
      </c>
      <c r="E96" s="2">
        <v>209.0</v>
      </c>
      <c r="F96" s="2">
        <v>799.0</v>
      </c>
      <c r="G96" s="2">
        <v>359.0</v>
      </c>
      <c r="H96" s="2">
        <v>162.0</v>
      </c>
      <c r="I96" s="2">
        <v>1675.0</v>
      </c>
      <c r="J96" s="2">
        <v>665.0</v>
      </c>
      <c r="K96" s="2">
        <v>318.0</v>
      </c>
      <c r="L96" s="4">
        <f t="shared" si="7"/>
        <v>691</v>
      </c>
      <c r="M96" s="4">
        <f t="shared" si="8"/>
        <v>108</v>
      </c>
      <c r="N96" s="4">
        <f t="shared" si="9"/>
        <v>108</v>
      </c>
      <c r="O96" s="4">
        <f t="shared" si="1"/>
        <v>761.2079458</v>
      </c>
      <c r="P96" s="4">
        <f t="shared" si="2"/>
        <v>743.2534784</v>
      </c>
      <c r="Q96" s="4">
        <f t="shared" si="3"/>
        <v>702.2421253</v>
      </c>
      <c r="V96" s="4">
        <f t="shared" si="4"/>
        <v>37.79205419</v>
      </c>
      <c r="W96" s="4">
        <f t="shared" si="5"/>
        <v>55.74652162</v>
      </c>
      <c r="X96" s="4">
        <f t="shared" si="6"/>
        <v>96.75787469</v>
      </c>
    </row>
    <row r="97">
      <c r="A97" s="3">
        <v>40819.0</v>
      </c>
      <c r="B97" s="2">
        <v>409.0</v>
      </c>
      <c r="C97" s="2">
        <v>589.0</v>
      </c>
      <c r="D97" s="2">
        <v>2569.0</v>
      </c>
      <c r="E97" s="2">
        <v>183.0</v>
      </c>
      <c r="F97" s="2">
        <v>589.0</v>
      </c>
      <c r="G97" s="2">
        <v>977.0</v>
      </c>
      <c r="H97" s="2">
        <v>51.0</v>
      </c>
      <c r="I97" s="2">
        <v>835.0</v>
      </c>
      <c r="J97" s="2">
        <v>1649.0</v>
      </c>
      <c r="K97" s="2">
        <v>322.0</v>
      </c>
      <c r="L97" s="4">
        <f t="shared" si="7"/>
        <v>794.6666667</v>
      </c>
      <c r="M97" s="4">
        <f t="shared" si="8"/>
        <v>-205.6666667</v>
      </c>
      <c r="N97" s="4">
        <f t="shared" si="9"/>
        <v>205.6666667</v>
      </c>
      <c r="O97" s="4">
        <f t="shared" si="1"/>
        <v>764.9871512</v>
      </c>
      <c r="P97" s="4">
        <f t="shared" si="2"/>
        <v>759.9774349</v>
      </c>
      <c r="Q97" s="4">
        <f t="shared" si="3"/>
        <v>750.6210627</v>
      </c>
      <c r="V97" s="4">
        <f t="shared" si="4"/>
        <v>175.9871512</v>
      </c>
      <c r="W97" s="4">
        <f t="shared" si="5"/>
        <v>170.9774349</v>
      </c>
      <c r="X97" s="4">
        <f t="shared" si="6"/>
        <v>161.6210627</v>
      </c>
    </row>
    <row r="98">
      <c r="A98" s="3">
        <v>40826.0</v>
      </c>
      <c r="B98" s="2">
        <v>181.0</v>
      </c>
      <c r="C98" s="2">
        <v>420.0</v>
      </c>
      <c r="D98" s="2">
        <v>647.0</v>
      </c>
      <c r="E98" s="2">
        <v>106.0</v>
      </c>
      <c r="F98" s="2">
        <v>420.0</v>
      </c>
      <c r="G98" s="2">
        <v>739.0</v>
      </c>
      <c r="H98" s="2">
        <v>150.0</v>
      </c>
      <c r="I98" s="2">
        <v>884.0</v>
      </c>
      <c r="J98" s="2">
        <v>237.0</v>
      </c>
      <c r="K98" s="2">
        <v>443.0</v>
      </c>
      <c r="L98" s="4">
        <f t="shared" si="7"/>
        <v>688.3333333</v>
      </c>
      <c r="M98" s="4">
        <f t="shared" si="8"/>
        <v>-268.3333333</v>
      </c>
      <c r="N98" s="4">
        <f t="shared" si="9"/>
        <v>268.3333333</v>
      </c>
      <c r="O98" s="4">
        <f t="shared" si="1"/>
        <v>747.3884361</v>
      </c>
      <c r="P98" s="4">
        <f t="shared" si="2"/>
        <v>708.6842044</v>
      </c>
      <c r="Q98" s="4">
        <f t="shared" si="3"/>
        <v>669.8105313</v>
      </c>
      <c r="V98" s="4">
        <f t="shared" si="4"/>
        <v>327.3884361</v>
      </c>
      <c r="W98" s="4">
        <f t="shared" si="5"/>
        <v>288.6842044</v>
      </c>
      <c r="X98" s="4">
        <f t="shared" si="6"/>
        <v>249.8105313</v>
      </c>
    </row>
    <row r="99">
      <c r="A99" s="3">
        <v>40833.0</v>
      </c>
      <c r="B99" s="2">
        <v>268.0</v>
      </c>
      <c r="C99" s="2">
        <v>829.0</v>
      </c>
      <c r="D99" s="2">
        <v>1045.0</v>
      </c>
      <c r="E99" s="2">
        <v>211.0</v>
      </c>
      <c r="F99" s="2">
        <v>829.0</v>
      </c>
      <c r="G99" s="2">
        <v>756.0</v>
      </c>
      <c r="H99" s="2">
        <v>109.0</v>
      </c>
      <c r="I99" s="2">
        <v>1164.0</v>
      </c>
      <c r="J99" s="2">
        <v>334.0</v>
      </c>
      <c r="K99" s="2">
        <v>276.0</v>
      </c>
      <c r="L99" s="4">
        <f t="shared" si="7"/>
        <v>602.6666667</v>
      </c>
      <c r="M99" s="4">
        <f t="shared" si="8"/>
        <v>226.3333333</v>
      </c>
      <c r="N99" s="4">
        <f t="shared" si="9"/>
        <v>226.3333333</v>
      </c>
      <c r="O99" s="4">
        <f t="shared" si="1"/>
        <v>714.6495925</v>
      </c>
      <c r="P99" s="4">
        <f t="shared" si="2"/>
        <v>622.0789431</v>
      </c>
      <c r="Q99" s="4">
        <f t="shared" si="3"/>
        <v>544.9052657</v>
      </c>
      <c r="V99" s="4">
        <f t="shared" si="4"/>
        <v>114.3504075</v>
      </c>
      <c r="W99" s="4">
        <f t="shared" si="5"/>
        <v>206.9210569</v>
      </c>
      <c r="X99" s="4">
        <f t="shared" si="6"/>
        <v>284.0947343</v>
      </c>
    </row>
    <row r="100">
      <c r="A100" s="3">
        <v>40840.0</v>
      </c>
      <c r="B100" s="2">
        <v>135.0</v>
      </c>
      <c r="C100" s="2">
        <v>778.0</v>
      </c>
      <c r="D100" s="2">
        <v>500.0</v>
      </c>
      <c r="E100" s="2">
        <v>78.0</v>
      </c>
      <c r="F100" s="2">
        <v>778.0</v>
      </c>
      <c r="G100" s="2">
        <v>644.0</v>
      </c>
      <c r="H100" s="2">
        <v>431.0</v>
      </c>
      <c r="I100" s="2">
        <v>2775.0</v>
      </c>
      <c r="J100" s="2">
        <v>643.0</v>
      </c>
      <c r="K100" s="2">
        <v>314.0</v>
      </c>
      <c r="L100" s="4">
        <f t="shared" si="7"/>
        <v>612.6666667</v>
      </c>
      <c r="M100" s="4">
        <f t="shared" si="8"/>
        <v>165.3333333</v>
      </c>
      <c r="N100" s="4">
        <f t="shared" si="9"/>
        <v>165.3333333</v>
      </c>
      <c r="O100" s="4">
        <f t="shared" si="1"/>
        <v>726.0846332</v>
      </c>
      <c r="P100" s="4">
        <f t="shared" si="2"/>
        <v>684.1552602</v>
      </c>
      <c r="Q100" s="4">
        <f t="shared" si="3"/>
        <v>686.9526328</v>
      </c>
      <c r="V100" s="4">
        <f t="shared" si="4"/>
        <v>51.91536676</v>
      </c>
      <c r="W100" s="4">
        <f t="shared" si="5"/>
        <v>93.84473984</v>
      </c>
      <c r="X100" s="4">
        <f t="shared" si="6"/>
        <v>91.04736717</v>
      </c>
    </row>
    <row r="101">
      <c r="A101" s="3">
        <v>40847.0</v>
      </c>
      <c r="B101" s="2">
        <v>279.0</v>
      </c>
      <c r="C101" s="2">
        <v>968.0</v>
      </c>
      <c r="D101" s="2">
        <v>1063.0</v>
      </c>
      <c r="E101" s="2">
        <v>102.0</v>
      </c>
      <c r="F101" s="2">
        <v>968.0</v>
      </c>
      <c r="G101" s="2">
        <v>1745.0</v>
      </c>
      <c r="H101" s="2">
        <v>166.0</v>
      </c>
      <c r="I101" s="2">
        <v>1156.0</v>
      </c>
      <c r="J101" s="2">
        <v>313.0</v>
      </c>
      <c r="K101" s="2">
        <v>223.0</v>
      </c>
      <c r="L101" s="4">
        <f t="shared" si="7"/>
        <v>675.6666667</v>
      </c>
      <c r="M101" s="4">
        <f t="shared" si="8"/>
        <v>292.3333333</v>
      </c>
      <c r="N101" s="4">
        <f t="shared" si="9"/>
        <v>292.3333333</v>
      </c>
      <c r="O101" s="4">
        <f t="shared" si="1"/>
        <v>731.2761699</v>
      </c>
      <c r="P101" s="4">
        <f t="shared" si="2"/>
        <v>712.3086821</v>
      </c>
      <c r="Q101" s="4">
        <f t="shared" si="3"/>
        <v>732.4763164</v>
      </c>
      <c r="V101" s="4">
        <f t="shared" si="4"/>
        <v>236.7238301</v>
      </c>
      <c r="W101" s="4">
        <f t="shared" si="5"/>
        <v>255.6913179</v>
      </c>
      <c r="X101" s="4">
        <f t="shared" si="6"/>
        <v>235.5236836</v>
      </c>
    </row>
    <row r="102">
      <c r="A102" s="3">
        <v>40854.0</v>
      </c>
      <c r="B102" s="2">
        <v>167.0</v>
      </c>
      <c r="C102" s="2">
        <v>1748.0</v>
      </c>
      <c r="D102" s="2">
        <v>2100.0</v>
      </c>
      <c r="E102" s="2">
        <v>135.0</v>
      </c>
      <c r="F102" s="2">
        <v>1748.0</v>
      </c>
      <c r="G102" s="2">
        <v>1436.0</v>
      </c>
      <c r="H102" s="2">
        <v>482.0</v>
      </c>
      <c r="I102" s="2">
        <v>3900.0</v>
      </c>
      <c r="J102" s="2">
        <v>416.0</v>
      </c>
      <c r="K102" s="2">
        <v>556.0</v>
      </c>
      <c r="L102" s="4">
        <f t="shared" si="7"/>
        <v>858.3333333</v>
      </c>
      <c r="M102" s="4">
        <f t="shared" si="8"/>
        <v>889.6666667</v>
      </c>
      <c r="N102" s="4">
        <f t="shared" si="9"/>
        <v>889.6666667</v>
      </c>
      <c r="O102" s="4">
        <f t="shared" si="1"/>
        <v>754.9485529</v>
      </c>
      <c r="P102" s="4">
        <f t="shared" si="2"/>
        <v>789.0160775</v>
      </c>
      <c r="Q102" s="4">
        <f t="shared" si="3"/>
        <v>850.2381582</v>
      </c>
      <c r="V102" s="4">
        <f t="shared" si="4"/>
        <v>993.0514471</v>
      </c>
      <c r="W102" s="4">
        <f t="shared" si="5"/>
        <v>958.9839225</v>
      </c>
      <c r="X102" s="4">
        <f t="shared" si="6"/>
        <v>897.7618418</v>
      </c>
    </row>
    <row r="103">
      <c r="A103" s="3">
        <v>40861.0</v>
      </c>
      <c r="B103" s="2">
        <v>235.0</v>
      </c>
      <c r="C103" s="2">
        <v>1326.0</v>
      </c>
      <c r="D103" s="2">
        <v>1602.0</v>
      </c>
      <c r="E103" s="2">
        <v>218.0</v>
      </c>
      <c r="F103" s="2">
        <v>1326.0</v>
      </c>
      <c r="G103" s="2">
        <v>2161.0</v>
      </c>
      <c r="H103" s="2">
        <v>389.0</v>
      </c>
      <c r="I103" s="2">
        <v>3145.0</v>
      </c>
      <c r="J103" s="2">
        <v>522.0</v>
      </c>
      <c r="K103" s="2">
        <v>650.0</v>
      </c>
      <c r="L103" s="4">
        <f t="shared" si="7"/>
        <v>1164.666667</v>
      </c>
      <c r="M103" s="4">
        <f t="shared" si="8"/>
        <v>161.3333333</v>
      </c>
      <c r="N103" s="4">
        <f t="shared" si="9"/>
        <v>161.3333333</v>
      </c>
      <c r="O103" s="4">
        <f t="shared" si="1"/>
        <v>854.2536976</v>
      </c>
      <c r="P103" s="4">
        <f t="shared" si="2"/>
        <v>1076.711254</v>
      </c>
      <c r="Q103" s="4">
        <f t="shared" si="3"/>
        <v>1299.119079</v>
      </c>
      <c r="V103" s="4">
        <f t="shared" si="4"/>
        <v>471.7463024</v>
      </c>
      <c r="W103" s="4">
        <f t="shared" si="5"/>
        <v>249.2887458</v>
      </c>
      <c r="X103" s="4">
        <f t="shared" si="6"/>
        <v>26.8809209</v>
      </c>
    </row>
    <row r="104">
      <c r="A104" s="3">
        <v>40868.0</v>
      </c>
      <c r="B104" s="2">
        <v>249.0</v>
      </c>
      <c r="C104" s="2">
        <v>1037.0</v>
      </c>
      <c r="D104" s="2">
        <v>753.0</v>
      </c>
      <c r="E104" s="2">
        <v>455.0</v>
      </c>
      <c r="F104" s="2">
        <v>1037.0</v>
      </c>
      <c r="G104" s="2">
        <v>1692.0</v>
      </c>
      <c r="H104" s="2">
        <v>959.0</v>
      </c>
      <c r="I104" s="2">
        <v>2755.0</v>
      </c>
      <c r="J104" s="2">
        <v>253.0</v>
      </c>
      <c r="K104" s="2">
        <v>276.0</v>
      </c>
      <c r="L104" s="4">
        <f t="shared" si="7"/>
        <v>1347.333333</v>
      </c>
      <c r="M104" s="4">
        <f t="shared" si="8"/>
        <v>-310.3333333</v>
      </c>
      <c r="N104" s="4">
        <f t="shared" si="9"/>
        <v>310.3333333</v>
      </c>
      <c r="O104" s="4">
        <f t="shared" si="1"/>
        <v>901.4283279</v>
      </c>
      <c r="P104" s="4">
        <f t="shared" si="2"/>
        <v>1151.497878</v>
      </c>
      <c r="Q104" s="4">
        <f t="shared" si="3"/>
        <v>1312.55954</v>
      </c>
      <c r="V104" s="4">
        <f t="shared" si="4"/>
        <v>135.5716721</v>
      </c>
      <c r="W104" s="4">
        <f t="shared" si="5"/>
        <v>114.497878</v>
      </c>
      <c r="X104" s="4">
        <f t="shared" si="6"/>
        <v>275.5595396</v>
      </c>
    </row>
    <row r="105">
      <c r="A105" s="3">
        <v>40875.0</v>
      </c>
      <c r="B105" s="2">
        <v>226.0</v>
      </c>
      <c r="C105" s="2">
        <v>953.0</v>
      </c>
      <c r="D105" s="2">
        <v>1040.0</v>
      </c>
      <c r="E105" s="2">
        <v>105.0</v>
      </c>
      <c r="F105" s="2">
        <v>953.0</v>
      </c>
      <c r="G105" s="2">
        <v>1564.0</v>
      </c>
      <c r="H105" s="2">
        <v>314.0</v>
      </c>
      <c r="I105" s="2">
        <v>3275.0</v>
      </c>
      <c r="J105" s="2">
        <v>436.0</v>
      </c>
      <c r="K105" s="2">
        <v>331.0</v>
      </c>
      <c r="L105" s="4">
        <f t="shared" si="7"/>
        <v>1370.333333</v>
      </c>
      <c r="M105" s="4">
        <f t="shared" si="8"/>
        <v>-417.3333333</v>
      </c>
      <c r="N105" s="4">
        <f t="shared" si="9"/>
        <v>417.3333333</v>
      </c>
      <c r="O105" s="4">
        <f t="shared" si="1"/>
        <v>914.9854951</v>
      </c>
      <c r="P105" s="4">
        <f t="shared" si="2"/>
        <v>1117.148515</v>
      </c>
      <c r="Q105" s="4">
        <f t="shared" si="3"/>
        <v>1174.77977</v>
      </c>
      <c r="V105" s="4">
        <f t="shared" si="4"/>
        <v>38.01450492</v>
      </c>
      <c r="W105" s="4">
        <f t="shared" si="5"/>
        <v>164.1485146</v>
      </c>
      <c r="X105" s="4">
        <f t="shared" si="6"/>
        <v>221.7797698</v>
      </c>
    </row>
    <row r="106">
      <c r="T106" s="1" t="s">
        <v>21</v>
      </c>
      <c r="U106" s="5">
        <f>AVERAGE(N94:N105)</f>
        <v>297.8611111</v>
      </c>
    </row>
    <row r="107">
      <c r="T107" s="1" t="s">
        <v>22</v>
      </c>
      <c r="U107" s="5">
        <f>AVERAGE(V94:V105)</f>
        <v>235.7343164</v>
      </c>
    </row>
    <row r="108">
      <c r="T108" s="1" t="s">
        <v>23</v>
      </c>
      <c r="U108" s="5">
        <f>AVERAGE(W94:W105)</f>
        <v>237.3517485</v>
      </c>
    </row>
    <row r="109">
      <c r="T109" s="1" t="s">
        <v>24</v>
      </c>
      <c r="U109" s="5">
        <f>AVERAGE(X94:X105)</f>
        <v>246.0294229</v>
      </c>
    </row>
    <row r="111">
      <c r="V111" s="1" t="s">
        <v>25</v>
      </c>
      <c r="W111" s="1" t="s">
        <v>26</v>
      </c>
    </row>
    <row r="112">
      <c r="V112" s="4">
        <f>AVERAGE(C2:C105)</f>
        <v>741.8076923</v>
      </c>
      <c r="W112" s="4">
        <f>STDEV(C2:C105)</f>
        <v>694.7721157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>
        <v>0.1</v>
      </c>
      <c r="V1" s="1" t="s">
        <v>18</v>
      </c>
      <c r="W1" s="1" t="s">
        <v>19</v>
      </c>
      <c r="X1" s="1" t="s">
        <v>20</v>
      </c>
    </row>
    <row r="2">
      <c r="A2" s="3">
        <v>40154.0</v>
      </c>
      <c r="B2" s="2">
        <v>0.0</v>
      </c>
      <c r="C2" s="2">
        <v>1233.0</v>
      </c>
      <c r="D2" s="2">
        <v>1233.0</v>
      </c>
      <c r="E2" s="2">
        <v>19.0</v>
      </c>
      <c r="F2" s="2">
        <v>1213.0</v>
      </c>
      <c r="G2" s="2">
        <v>663.0</v>
      </c>
      <c r="H2" s="2">
        <v>175.0</v>
      </c>
      <c r="I2" s="2">
        <v>153.0</v>
      </c>
      <c r="J2" s="2">
        <v>0.0</v>
      </c>
      <c r="K2" s="2">
        <v>324.0</v>
      </c>
      <c r="O2" s="4">
        <f>(C2)</f>
        <v>1233</v>
      </c>
      <c r="P2" s="4">
        <f>(C2)</f>
        <v>1233</v>
      </c>
      <c r="Q2" s="4">
        <f>(C2)</f>
        <v>1233</v>
      </c>
      <c r="S2" s="2">
        <v>0.3</v>
      </c>
    </row>
    <row r="3">
      <c r="A3" s="3">
        <v>40161.0</v>
      </c>
      <c r="B3" s="2">
        <v>0.0</v>
      </c>
      <c r="C3" s="2">
        <v>1304.0</v>
      </c>
      <c r="D3" s="2">
        <v>1304.0</v>
      </c>
      <c r="E3" s="2">
        <v>52.0</v>
      </c>
      <c r="F3" s="2">
        <v>1324.0</v>
      </c>
      <c r="G3" s="2">
        <v>572.0</v>
      </c>
      <c r="H3" s="2">
        <v>173.0</v>
      </c>
      <c r="I3" s="2">
        <v>644.0</v>
      </c>
      <c r="J3" s="2">
        <v>0.0</v>
      </c>
      <c r="K3" s="2">
        <v>236.0</v>
      </c>
      <c r="O3" s="4">
        <f t="shared" ref="O3:O105" si="1">($S$1*C2+(1-$S$1)*O2)</f>
        <v>1233</v>
      </c>
      <c r="P3" s="4">
        <f t="shared" ref="P3:P105" si="2">($S$2*C2+(1-$S$2)*P2)</f>
        <v>1233</v>
      </c>
      <c r="Q3" s="4">
        <f t="shared" ref="Q3:Q105" si="3">($S$3*C2+(1-$S$3)*Q2)</f>
        <v>1233</v>
      </c>
      <c r="S3" s="2">
        <v>0.5</v>
      </c>
      <c r="V3" s="4">
        <f t="shared" ref="V3:V105" si="4">ABS(C3-O3)</f>
        <v>71</v>
      </c>
      <c r="W3" s="4">
        <f t="shared" ref="W3:W105" si="5">ABS(C3-P3)</f>
        <v>71</v>
      </c>
      <c r="X3" s="4">
        <f t="shared" ref="X3:X105" si="6">ABS(C3-Q3)</f>
        <v>71</v>
      </c>
    </row>
    <row r="4">
      <c r="A4" s="3">
        <v>40168.0</v>
      </c>
      <c r="B4" s="2">
        <v>0.0</v>
      </c>
      <c r="C4" s="2">
        <v>36.0</v>
      </c>
      <c r="D4" s="2">
        <v>36.0</v>
      </c>
      <c r="E4" s="2">
        <v>1.0</v>
      </c>
      <c r="F4" s="2">
        <v>82.0</v>
      </c>
      <c r="G4" s="2">
        <v>69.0</v>
      </c>
      <c r="H4" s="2">
        <v>19.0</v>
      </c>
      <c r="I4" s="2">
        <v>2.0</v>
      </c>
      <c r="J4" s="2">
        <v>0.0</v>
      </c>
      <c r="K4" s="2">
        <v>111.0</v>
      </c>
      <c r="O4" s="4">
        <f t="shared" si="1"/>
        <v>1240.1</v>
      </c>
      <c r="P4" s="4">
        <f t="shared" si="2"/>
        <v>1254.3</v>
      </c>
      <c r="Q4" s="4">
        <f t="shared" si="3"/>
        <v>1268.5</v>
      </c>
      <c r="V4" s="4">
        <f t="shared" si="4"/>
        <v>1204.1</v>
      </c>
      <c r="W4" s="4">
        <f t="shared" si="5"/>
        <v>1218.3</v>
      </c>
      <c r="X4" s="4">
        <f t="shared" si="6"/>
        <v>1232.5</v>
      </c>
    </row>
    <row r="5">
      <c r="A5" s="3">
        <v>40175.0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f t="shared" ref="L5:L105" si="7">AVERAGE(C2:C4)</f>
        <v>857.6666667</v>
      </c>
      <c r="M5" s="4">
        <f t="shared" ref="M5:M105" si="8">(C5-L5)</f>
        <v>-857.6666667</v>
      </c>
      <c r="N5" s="4">
        <f t="shared" ref="N5:N105" si="9">ABS(M5)</f>
        <v>857.6666667</v>
      </c>
      <c r="O5" s="4">
        <f t="shared" si="1"/>
        <v>1119.69</v>
      </c>
      <c r="P5" s="4">
        <f t="shared" si="2"/>
        <v>888.81</v>
      </c>
      <c r="Q5" s="4">
        <f t="shared" si="3"/>
        <v>652.25</v>
      </c>
      <c r="V5" s="4">
        <f t="shared" si="4"/>
        <v>1119.69</v>
      </c>
      <c r="W5" s="4">
        <f t="shared" si="5"/>
        <v>888.81</v>
      </c>
      <c r="X5" s="4">
        <f t="shared" si="6"/>
        <v>652.25</v>
      </c>
    </row>
    <row r="6">
      <c r="A6" s="3">
        <v>40182.0</v>
      </c>
      <c r="B6" s="2">
        <v>0.0</v>
      </c>
      <c r="C6" s="2">
        <v>1152.0</v>
      </c>
      <c r="D6" s="2">
        <v>1152.0</v>
      </c>
      <c r="E6" s="2">
        <v>47.0</v>
      </c>
      <c r="F6" s="2">
        <v>168.0</v>
      </c>
      <c r="G6" s="2">
        <v>0.0</v>
      </c>
      <c r="H6" s="2">
        <v>17.0</v>
      </c>
      <c r="I6" s="2">
        <v>21.0</v>
      </c>
      <c r="J6" s="2">
        <v>0.0</v>
      </c>
      <c r="K6" s="2">
        <v>324.0</v>
      </c>
      <c r="L6" s="4">
        <f t="shared" si="7"/>
        <v>446.6666667</v>
      </c>
      <c r="M6" s="4">
        <f t="shared" si="8"/>
        <v>705.3333333</v>
      </c>
      <c r="N6" s="4">
        <f t="shared" si="9"/>
        <v>705.3333333</v>
      </c>
      <c r="O6" s="4">
        <f t="shared" si="1"/>
        <v>1007.721</v>
      </c>
      <c r="P6" s="4">
        <f t="shared" si="2"/>
        <v>622.167</v>
      </c>
      <c r="Q6" s="4">
        <f t="shared" si="3"/>
        <v>326.125</v>
      </c>
      <c r="V6" s="4">
        <f t="shared" si="4"/>
        <v>144.279</v>
      </c>
      <c r="W6" s="4">
        <f t="shared" si="5"/>
        <v>529.833</v>
      </c>
      <c r="X6" s="4">
        <f t="shared" si="6"/>
        <v>825.875</v>
      </c>
    </row>
    <row r="7">
      <c r="A7" s="3">
        <v>40189.0</v>
      </c>
      <c r="B7" s="2">
        <v>0.0</v>
      </c>
      <c r="C7" s="2">
        <v>928.0</v>
      </c>
      <c r="D7" s="2">
        <v>928.0</v>
      </c>
      <c r="E7" s="2">
        <v>64.0</v>
      </c>
      <c r="F7" s="2">
        <v>233.0</v>
      </c>
      <c r="G7" s="2">
        <v>20.0</v>
      </c>
      <c r="H7" s="2">
        <v>23.0</v>
      </c>
      <c r="I7" s="2">
        <v>72.0</v>
      </c>
      <c r="J7" s="2">
        <v>0.0</v>
      </c>
      <c r="K7" s="2">
        <v>190.0</v>
      </c>
      <c r="L7" s="4">
        <f t="shared" si="7"/>
        <v>396</v>
      </c>
      <c r="M7" s="4">
        <f t="shared" si="8"/>
        <v>532</v>
      </c>
      <c r="N7" s="4">
        <f t="shared" si="9"/>
        <v>532</v>
      </c>
      <c r="O7" s="4">
        <f t="shared" si="1"/>
        <v>1022.1489</v>
      </c>
      <c r="P7" s="4">
        <f t="shared" si="2"/>
        <v>781.1169</v>
      </c>
      <c r="Q7" s="4">
        <f t="shared" si="3"/>
        <v>739.0625</v>
      </c>
      <c r="V7" s="4">
        <f t="shared" si="4"/>
        <v>94.1489</v>
      </c>
      <c r="W7" s="4">
        <f t="shared" si="5"/>
        <v>146.8831</v>
      </c>
      <c r="X7" s="4">
        <f t="shared" si="6"/>
        <v>188.9375</v>
      </c>
    </row>
    <row r="8">
      <c r="A8" s="3">
        <v>40196.0</v>
      </c>
      <c r="B8" s="2">
        <v>0.0</v>
      </c>
      <c r="C8" s="2">
        <v>627.0</v>
      </c>
      <c r="D8" s="2">
        <v>627.0</v>
      </c>
      <c r="E8" s="2">
        <v>49.0</v>
      </c>
      <c r="F8" s="2">
        <v>897.0</v>
      </c>
      <c r="G8" s="2">
        <v>3.0</v>
      </c>
      <c r="H8" s="2">
        <v>0.0</v>
      </c>
      <c r="I8" s="2">
        <v>23.0</v>
      </c>
      <c r="J8" s="2">
        <v>0.0</v>
      </c>
      <c r="K8" s="2">
        <v>479.0</v>
      </c>
      <c r="L8" s="4">
        <f t="shared" si="7"/>
        <v>693.3333333</v>
      </c>
      <c r="M8" s="4">
        <f t="shared" si="8"/>
        <v>-66.33333333</v>
      </c>
      <c r="N8" s="4">
        <f t="shared" si="9"/>
        <v>66.33333333</v>
      </c>
      <c r="O8" s="4">
        <f t="shared" si="1"/>
        <v>1012.73401</v>
      </c>
      <c r="P8" s="4">
        <f t="shared" si="2"/>
        <v>825.18183</v>
      </c>
      <c r="Q8" s="4">
        <f t="shared" si="3"/>
        <v>833.53125</v>
      </c>
      <c r="V8" s="4">
        <f t="shared" si="4"/>
        <v>385.73401</v>
      </c>
      <c r="W8" s="4">
        <f t="shared" si="5"/>
        <v>198.18183</v>
      </c>
      <c r="X8" s="4">
        <f t="shared" si="6"/>
        <v>206.53125</v>
      </c>
    </row>
    <row r="9">
      <c r="A9" s="3">
        <v>40203.0</v>
      </c>
      <c r="B9" s="2">
        <v>0.0</v>
      </c>
      <c r="C9" s="2">
        <v>864.0</v>
      </c>
      <c r="D9" s="2">
        <v>864.0</v>
      </c>
      <c r="E9" s="2">
        <v>186.0</v>
      </c>
      <c r="F9" s="2">
        <v>211.0</v>
      </c>
      <c r="G9" s="2">
        <v>0.0</v>
      </c>
      <c r="H9" s="2">
        <v>0.0</v>
      </c>
      <c r="I9" s="2">
        <v>621.0</v>
      </c>
      <c r="J9" s="2">
        <v>114.0</v>
      </c>
      <c r="K9" s="2">
        <v>504.0</v>
      </c>
      <c r="L9" s="4">
        <f t="shared" si="7"/>
        <v>902.3333333</v>
      </c>
      <c r="M9" s="4">
        <f t="shared" si="8"/>
        <v>-38.33333333</v>
      </c>
      <c r="N9" s="4">
        <f t="shared" si="9"/>
        <v>38.33333333</v>
      </c>
      <c r="O9" s="4">
        <f t="shared" si="1"/>
        <v>974.160609</v>
      </c>
      <c r="P9" s="4">
        <f t="shared" si="2"/>
        <v>765.727281</v>
      </c>
      <c r="Q9" s="4">
        <f t="shared" si="3"/>
        <v>730.265625</v>
      </c>
      <c r="V9" s="4">
        <f t="shared" si="4"/>
        <v>110.160609</v>
      </c>
      <c r="W9" s="4">
        <f t="shared" si="5"/>
        <v>98.272719</v>
      </c>
      <c r="X9" s="4">
        <f t="shared" si="6"/>
        <v>133.734375</v>
      </c>
    </row>
    <row r="10">
      <c r="A10" s="3">
        <v>40210.0</v>
      </c>
      <c r="B10" s="2">
        <v>0.0</v>
      </c>
      <c r="C10" s="2">
        <v>488.0</v>
      </c>
      <c r="D10" s="2">
        <v>488.0</v>
      </c>
      <c r="E10" s="2">
        <v>53.0</v>
      </c>
      <c r="F10" s="2">
        <v>274.0</v>
      </c>
      <c r="G10" s="2">
        <v>0.0</v>
      </c>
      <c r="H10" s="2">
        <v>24.0</v>
      </c>
      <c r="I10" s="2">
        <v>81.0</v>
      </c>
      <c r="J10" s="2">
        <v>338.0</v>
      </c>
      <c r="K10" s="2">
        <v>326.0</v>
      </c>
      <c r="L10" s="4">
        <f t="shared" si="7"/>
        <v>806.3333333</v>
      </c>
      <c r="M10" s="4">
        <f t="shared" si="8"/>
        <v>-318.3333333</v>
      </c>
      <c r="N10" s="4">
        <f t="shared" si="9"/>
        <v>318.3333333</v>
      </c>
      <c r="O10" s="4">
        <f t="shared" si="1"/>
        <v>963.1445481</v>
      </c>
      <c r="P10" s="4">
        <f t="shared" si="2"/>
        <v>795.2090967</v>
      </c>
      <c r="Q10" s="4">
        <f t="shared" si="3"/>
        <v>797.1328125</v>
      </c>
      <c r="V10" s="4">
        <f t="shared" si="4"/>
        <v>475.1445481</v>
      </c>
      <c r="W10" s="4">
        <f t="shared" si="5"/>
        <v>307.2090967</v>
      </c>
      <c r="X10" s="4">
        <f t="shared" si="6"/>
        <v>309.1328125</v>
      </c>
    </row>
    <row r="11">
      <c r="A11" s="3">
        <v>40217.0</v>
      </c>
      <c r="B11" s="2">
        <v>0.0</v>
      </c>
      <c r="C11" s="2">
        <v>547.0</v>
      </c>
      <c r="D11" s="2">
        <v>547.0</v>
      </c>
      <c r="E11" s="2">
        <v>51.0</v>
      </c>
      <c r="F11" s="2">
        <v>512.0</v>
      </c>
      <c r="G11" s="2">
        <v>0.0</v>
      </c>
      <c r="H11" s="2">
        <v>0.0</v>
      </c>
      <c r="I11" s="2">
        <v>68.0</v>
      </c>
      <c r="J11" s="2">
        <v>314.0</v>
      </c>
      <c r="K11" s="2">
        <v>213.0</v>
      </c>
      <c r="L11" s="4">
        <f t="shared" si="7"/>
        <v>659.6666667</v>
      </c>
      <c r="M11" s="4">
        <f t="shared" si="8"/>
        <v>-112.6666667</v>
      </c>
      <c r="N11" s="4">
        <f t="shared" si="9"/>
        <v>112.6666667</v>
      </c>
      <c r="O11" s="4">
        <f t="shared" si="1"/>
        <v>915.6300933</v>
      </c>
      <c r="P11" s="4">
        <f t="shared" si="2"/>
        <v>703.0463677</v>
      </c>
      <c r="Q11" s="4">
        <f t="shared" si="3"/>
        <v>642.5664063</v>
      </c>
      <c r="V11" s="4">
        <f t="shared" si="4"/>
        <v>368.6300933</v>
      </c>
      <c r="W11" s="4">
        <f t="shared" si="5"/>
        <v>156.0463677</v>
      </c>
      <c r="X11" s="4">
        <f t="shared" si="6"/>
        <v>95.56640625</v>
      </c>
    </row>
    <row r="12">
      <c r="A12" s="3">
        <v>40224.0</v>
      </c>
      <c r="B12" s="2">
        <v>0.0</v>
      </c>
      <c r="C12" s="2">
        <v>1014.0</v>
      </c>
      <c r="D12" s="2">
        <v>1014.0</v>
      </c>
      <c r="E12" s="2">
        <v>159.0</v>
      </c>
      <c r="F12" s="2">
        <v>587.0</v>
      </c>
      <c r="G12" s="2">
        <v>0.0</v>
      </c>
      <c r="H12" s="2">
        <v>1.0</v>
      </c>
      <c r="I12" s="2">
        <v>19.0</v>
      </c>
      <c r="J12" s="2">
        <v>720.0</v>
      </c>
      <c r="K12" s="2">
        <v>442.0</v>
      </c>
      <c r="L12" s="4">
        <f t="shared" si="7"/>
        <v>633</v>
      </c>
      <c r="M12" s="4">
        <f t="shared" si="8"/>
        <v>381</v>
      </c>
      <c r="N12" s="4">
        <f t="shared" si="9"/>
        <v>381</v>
      </c>
      <c r="O12" s="4">
        <f t="shared" si="1"/>
        <v>878.767084</v>
      </c>
      <c r="P12" s="4">
        <f t="shared" si="2"/>
        <v>656.2324574</v>
      </c>
      <c r="Q12" s="4">
        <f t="shared" si="3"/>
        <v>594.7832031</v>
      </c>
      <c r="V12" s="4">
        <f t="shared" si="4"/>
        <v>135.232916</v>
      </c>
      <c r="W12" s="4">
        <f t="shared" si="5"/>
        <v>357.7675426</v>
      </c>
      <c r="X12" s="4">
        <f t="shared" si="6"/>
        <v>419.2167969</v>
      </c>
    </row>
    <row r="13">
      <c r="A13" s="3">
        <v>40231.0</v>
      </c>
      <c r="B13" s="2">
        <v>0.0</v>
      </c>
      <c r="C13" s="2">
        <v>613.0</v>
      </c>
      <c r="D13" s="2">
        <v>613.0</v>
      </c>
      <c r="E13" s="2">
        <v>79.0</v>
      </c>
      <c r="F13" s="2">
        <v>294.0</v>
      </c>
      <c r="G13" s="2">
        <v>0.0</v>
      </c>
      <c r="H13" s="2">
        <v>0.0</v>
      </c>
      <c r="I13" s="2">
        <v>1407.0</v>
      </c>
      <c r="J13" s="2">
        <v>551.0</v>
      </c>
      <c r="K13" s="2">
        <v>272.0</v>
      </c>
      <c r="L13" s="4">
        <f t="shared" si="7"/>
        <v>683</v>
      </c>
      <c r="M13" s="4">
        <f t="shared" si="8"/>
        <v>-70</v>
      </c>
      <c r="N13" s="4">
        <f t="shared" si="9"/>
        <v>70</v>
      </c>
      <c r="O13" s="4">
        <f t="shared" si="1"/>
        <v>892.2903756</v>
      </c>
      <c r="P13" s="4">
        <f t="shared" si="2"/>
        <v>763.5627202</v>
      </c>
      <c r="Q13" s="4">
        <f t="shared" si="3"/>
        <v>804.3916016</v>
      </c>
      <c r="V13" s="4">
        <f t="shared" si="4"/>
        <v>279.2903756</v>
      </c>
      <c r="W13" s="4">
        <f t="shared" si="5"/>
        <v>150.5627202</v>
      </c>
      <c r="X13" s="4">
        <f t="shared" si="6"/>
        <v>191.3916016</v>
      </c>
    </row>
    <row r="14">
      <c r="A14" s="3">
        <v>40238.0</v>
      </c>
      <c r="B14" s="2">
        <v>0.0</v>
      </c>
      <c r="C14" s="2">
        <v>754.0</v>
      </c>
      <c r="D14" s="2">
        <v>754.0</v>
      </c>
      <c r="E14" s="2">
        <v>78.0</v>
      </c>
      <c r="F14" s="2">
        <v>735.0</v>
      </c>
      <c r="G14" s="2">
        <v>3.0</v>
      </c>
      <c r="H14" s="2">
        <v>2.0</v>
      </c>
      <c r="I14" s="2">
        <v>133.0</v>
      </c>
      <c r="J14" s="2">
        <v>306.0</v>
      </c>
      <c r="K14" s="2">
        <v>409.0</v>
      </c>
      <c r="L14" s="4">
        <f t="shared" si="7"/>
        <v>724.6666667</v>
      </c>
      <c r="M14" s="4">
        <f t="shared" si="8"/>
        <v>29.33333333</v>
      </c>
      <c r="N14" s="4">
        <f t="shared" si="9"/>
        <v>29.33333333</v>
      </c>
      <c r="O14" s="4">
        <f t="shared" si="1"/>
        <v>864.361338</v>
      </c>
      <c r="P14" s="4">
        <f t="shared" si="2"/>
        <v>718.3939041</v>
      </c>
      <c r="Q14" s="4">
        <f t="shared" si="3"/>
        <v>708.6958008</v>
      </c>
      <c r="V14" s="4">
        <f t="shared" si="4"/>
        <v>110.361338</v>
      </c>
      <c r="W14" s="4">
        <f t="shared" si="5"/>
        <v>35.60609588</v>
      </c>
      <c r="X14" s="4">
        <f t="shared" si="6"/>
        <v>45.30419922</v>
      </c>
    </row>
    <row r="15">
      <c r="A15" s="3">
        <v>40245.0</v>
      </c>
      <c r="B15" s="2">
        <v>0.0</v>
      </c>
      <c r="C15" s="2">
        <v>800.0</v>
      </c>
      <c r="D15" s="2">
        <v>800.0</v>
      </c>
      <c r="E15" s="2">
        <v>262.0</v>
      </c>
      <c r="F15" s="2">
        <v>917.0</v>
      </c>
      <c r="G15" s="2">
        <v>0.0</v>
      </c>
      <c r="H15" s="2">
        <v>0.0</v>
      </c>
      <c r="I15" s="2">
        <v>47.0</v>
      </c>
      <c r="J15" s="2">
        <v>405.0</v>
      </c>
      <c r="K15" s="2">
        <v>337.0</v>
      </c>
      <c r="L15" s="4">
        <f t="shared" si="7"/>
        <v>793.6666667</v>
      </c>
      <c r="M15" s="4">
        <f t="shared" si="8"/>
        <v>6.333333333</v>
      </c>
      <c r="N15" s="4">
        <f t="shared" si="9"/>
        <v>6.333333333</v>
      </c>
      <c r="O15" s="4">
        <f t="shared" si="1"/>
        <v>853.3252042</v>
      </c>
      <c r="P15" s="4">
        <f t="shared" si="2"/>
        <v>729.0757329</v>
      </c>
      <c r="Q15" s="4">
        <f t="shared" si="3"/>
        <v>731.3479004</v>
      </c>
      <c r="V15" s="4">
        <f t="shared" si="4"/>
        <v>53.32520421</v>
      </c>
      <c r="W15" s="4">
        <f t="shared" si="5"/>
        <v>70.92426712</v>
      </c>
      <c r="X15" s="4">
        <f t="shared" si="6"/>
        <v>68.65209961</v>
      </c>
    </row>
    <row r="16">
      <c r="A16" s="3">
        <v>40252.0</v>
      </c>
      <c r="B16" s="2">
        <v>194.0</v>
      </c>
      <c r="C16" s="2">
        <v>555.0</v>
      </c>
      <c r="D16" s="2">
        <v>555.0</v>
      </c>
      <c r="E16" s="2">
        <v>224.0</v>
      </c>
      <c r="F16" s="2">
        <v>551.0</v>
      </c>
      <c r="G16" s="2">
        <v>12.0</v>
      </c>
      <c r="H16" s="2">
        <v>0.0</v>
      </c>
      <c r="I16" s="2">
        <v>826.0</v>
      </c>
      <c r="J16" s="2">
        <v>179.0</v>
      </c>
      <c r="K16" s="2">
        <v>375.0</v>
      </c>
      <c r="L16" s="4">
        <f t="shared" si="7"/>
        <v>722.3333333</v>
      </c>
      <c r="M16" s="4">
        <f t="shared" si="8"/>
        <v>-167.3333333</v>
      </c>
      <c r="N16" s="4">
        <f t="shared" si="9"/>
        <v>167.3333333</v>
      </c>
      <c r="O16" s="4">
        <f t="shared" si="1"/>
        <v>847.9926838</v>
      </c>
      <c r="P16" s="4">
        <f t="shared" si="2"/>
        <v>750.353013</v>
      </c>
      <c r="Q16" s="4">
        <f t="shared" si="3"/>
        <v>765.6739502</v>
      </c>
      <c r="V16" s="4">
        <f t="shared" si="4"/>
        <v>292.9926838</v>
      </c>
      <c r="W16" s="4">
        <f t="shared" si="5"/>
        <v>195.353013</v>
      </c>
      <c r="X16" s="4">
        <f t="shared" si="6"/>
        <v>210.6739502</v>
      </c>
    </row>
    <row r="17">
      <c r="A17" s="3">
        <v>40259.0</v>
      </c>
      <c r="B17" s="2">
        <v>410.0</v>
      </c>
      <c r="C17" s="2">
        <v>930.0</v>
      </c>
      <c r="D17" s="2">
        <v>930.0</v>
      </c>
      <c r="E17" s="2">
        <v>212.0</v>
      </c>
      <c r="F17" s="2">
        <v>808.0</v>
      </c>
      <c r="G17" s="2">
        <v>0.0</v>
      </c>
      <c r="H17" s="2">
        <v>0.0</v>
      </c>
      <c r="I17" s="2">
        <v>103.0</v>
      </c>
      <c r="J17" s="2">
        <v>467.0</v>
      </c>
      <c r="K17" s="2">
        <v>177.0</v>
      </c>
      <c r="L17" s="4">
        <f t="shared" si="7"/>
        <v>703</v>
      </c>
      <c r="M17" s="4">
        <f t="shared" si="8"/>
        <v>227</v>
      </c>
      <c r="N17" s="4">
        <f t="shared" si="9"/>
        <v>227</v>
      </c>
      <c r="O17" s="4">
        <f t="shared" si="1"/>
        <v>818.6934154</v>
      </c>
      <c r="P17" s="4">
        <f t="shared" si="2"/>
        <v>691.7471091</v>
      </c>
      <c r="Q17" s="4">
        <f t="shared" si="3"/>
        <v>660.3369751</v>
      </c>
      <c r="V17" s="4">
        <f t="shared" si="4"/>
        <v>111.3065846</v>
      </c>
      <c r="W17" s="4">
        <f t="shared" si="5"/>
        <v>238.2528909</v>
      </c>
      <c r="X17" s="4">
        <f t="shared" si="6"/>
        <v>269.6630249</v>
      </c>
    </row>
    <row r="18">
      <c r="A18" s="3">
        <v>40266.0</v>
      </c>
      <c r="B18" s="2">
        <v>186.0</v>
      </c>
      <c r="C18" s="2">
        <v>588.0</v>
      </c>
      <c r="D18" s="2">
        <v>588.0</v>
      </c>
      <c r="E18" s="2">
        <v>149.0</v>
      </c>
      <c r="F18" s="2">
        <v>331.0</v>
      </c>
      <c r="G18" s="2">
        <v>2.0</v>
      </c>
      <c r="H18" s="2">
        <v>450.0</v>
      </c>
      <c r="I18" s="2">
        <v>423.0</v>
      </c>
      <c r="J18" s="2">
        <v>331.0</v>
      </c>
      <c r="K18" s="2">
        <v>425.0</v>
      </c>
      <c r="L18" s="4">
        <f t="shared" si="7"/>
        <v>761.6666667</v>
      </c>
      <c r="M18" s="4">
        <f t="shared" si="8"/>
        <v>-173.6666667</v>
      </c>
      <c r="N18" s="4">
        <f t="shared" si="9"/>
        <v>173.6666667</v>
      </c>
      <c r="O18" s="4">
        <f t="shared" si="1"/>
        <v>829.8240739</v>
      </c>
      <c r="P18" s="4">
        <f t="shared" si="2"/>
        <v>763.2229764</v>
      </c>
      <c r="Q18" s="4">
        <f t="shared" si="3"/>
        <v>795.1684875</v>
      </c>
      <c r="V18" s="4">
        <f t="shared" si="4"/>
        <v>241.8240739</v>
      </c>
      <c r="W18" s="4">
        <f t="shared" si="5"/>
        <v>175.2229764</v>
      </c>
      <c r="X18" s="4">
        <f t="shared" si="6"/>
        <v>207.1684875</v>
      </c>
    </row>
    <row r="19">
      <c r="A19" s="3">
        <v>40273.0</v>
      </c>
      <c r="B19" s="2">
        <v>230.0</v>
      </c>
      <c r="C19" s="2">
        <v>416.0</v>
      </c>
      <c r="D19" s="2">
        <v>416.0</v>
      </c>
      <c r="E19" s="2">
        <v>179.0</v>
      </c>
      <c r="F19" s="2">
        <v>736.0</v>
      </c>
      <c r="G19" s="2">
        <v>0.0</v>
      </c>
      <c r="H19" s="2">
        <v>216.0</v>
      </c>
      <c r="I19" s="2">
        <v>716.0</v>
      </c>
      <c r="J19" s="2">
        <v>164.0</v>
      </c>
      <c r="K19" s="2">
        <v>298.0</v>
      </c>
      <c r="L19" s="4">
        <f t="shared" si="7"/>
        <v>691</v>
      </c>
      <c r="M19" s="4">
        <f t="shared" si="8"/>
        <v>-275</v>
      </c>
      <c r="N19" s="4">
        <f t="shared" si="9"/>
        <v>275</v>
      </c>
      <c r="O19" s="4">
        <f t="shared" si="1"/>
        <v>805.6416665</v>
      </c>
      <c r="P19" s="4">
        <f t="shared" si="2"/>
        <v>710.6560835</v>
      </c>
      <c r="Q19" s="4">
        <f t="shared" si="3"/>
        <v>691.5842438</v>
      </c>
      <c r="V19" s="4">
        <f t="shared" si="4"/>
        <v>389.6416665</v>
      </c>
      <c r="W19" s="4">
        <f t="shared" si="5"/>
        <v>294.6560835</v>
      </c>
      <c r="X19" s="4">
        <f t="shared" si="6"/>
        <v>275.5842438</v>
      </c>
    </row>
    <row r="20">
      <c r="A20" s="3">
        <v>40280.0</v>
      </c>
      <c r="B20" s="2">
        <v>293.0</v>
      </c>
      <c r="C20" s="2">
        <v>1007.0</v>
      </c>
      <c r="D20" s="2">
        <v>1007.0</v>
      </c>
      <c r="E20" s="2">
        <v>386.0</v>
      </c>
      <c r="F20" s="2">
        <v>653.0</v>
      </c>
      <c r="G20" s="2">
        <v>0.0</v>
      </c>
      <c r="H20" s="2">
        <v>91.0</v>
      </c>
      <c r="I20" s="2">
        <v>224.0</v>
      </c>
      <c r="J20" s="2">
        <v>218.0</v>
      </c>
      <c r="K20" s="2">
        <v>477.0</v>
      </c>
      <c r="L20" s="4">
        <f t="shared" si="7"/>
        <v>644.6666667</v>
      </c>
      <c r="M20" s="4">
        <f t="shared" si="8"/>
        <v>362.3333333</v>
      </c>
      <c r="N20" s="4">
        <f t="shared" si="9"/>
        <v>362.3333333</v>
      </c>
      <c r="O20" s="4">
        <f t="shared" si="1"/>
        <v>766.6774998</v>
      </c>
      <c r="P20" s="4">
        <f t="shared" si="2"/>
        <v>622.2592584</v>
      </c>
      <c r="Q20" s="4">
        <f t="shared" si="3"/>
        <v>553.7921219</v>
      </c>
      <c r="V20" s="4">
        <f t="shared" si="4"/>
        <v>240.3225002</v>
      </c>
      <c r="W20" s="4">
        <f t="shared" si="5"/>
        <v>384.7407416</v>
      </c>
      <c r="X20" s="4">
        <f t="shared" si="6"/>
        <v>453.2078781</v>
      </c>
    </row>
    <row r="21">
      <c r="A21" s="3">
        <v>40287.0</v>
      </c>
      <c r="B21" s="2">
        <v>349.0</v>
      </c>
      <c r="C21" s="2">
        <v>645.0</v>
      </c>
      <c r="D21" s="2">
        <v>645.0</v>
      </c>
      <c r="E21" s="2">
        <v>525.0</v>
      </c>
      <c r="F21" s="2">
        <v>504.0</v>
      </c>
      <c r="G21" s="2">
        <v>1.0</v>
      </c>
      <c r="H21" s="2">
        <v>116.0</v>
      </c>
      <c r="I21" s="2">
        <v>378.0</v>
      </c>
      <c r="J21" s="2">
        <v>248.0</v>
      </c>
      <c r="K21" s="2">
        <v>297.0</v>
      </c>
      <c r="L21" s="4">
        <f t="shared" si="7"/>
        <v>670.3333333</v>
      </c>
      <c r="M21" s="4">
        <f t="shared" si="8"/>
        <v>-25.33333333</v>
      </c>
      <c r="N21" s="4">
        <f t="shared" si="9"/>
        <v>25.33333333</v>
      </c>
      <c r="O21" s="4">
        <f t="shared" si="1"/>
        <v>790.7097498</v>
      </c>
      <c r="P21" s="4">
        <f t="shared" si="2"/>
        <v>737.6814809</v>
      </c>
      <c r="Q21" s="4">
        <f t="shared" si="3"/>
        <v>780.3960609</v>
      </c>
      <c r="V21" s="4">
        <f t="shared" si="4"/>
        <v>145.7097498</v>
      </c>
      <c r="W21" s="4">
        <f t="shared" si="5"/>
        <v>92.6814809</v>
      </c>
      <c r="X21" s="4">
        <f t="shared" si="6"/>
        <v>135.3960609</v>
      </c>
    </row>
    <row r="22">
      <c r="A22" s="3">
        <v>40294.0</v>
      </c>
      <c r="B22" s="2">
        <v>276.0</v>
      </c>
      <c r="C22" s="2">
        <v>1539.0</v>
      </c>
      <c r="D22" s="2">
        <v>1539.0</v>
      </c>
      <c r="E22" s="2">
        <v>418.0</v>
      </c>
      <c r="F22" s="2">
        <v>919.0</v>
      </c>
      <c r="G22" s="2">
        <v>18.0</v>
      </c>
      <c r="H22" s="2">
        <v>55.0</v>
      </c>
      <c r="I22" s="2">
        <v>500.0</v>
      </c>
      <c r="J22" s="2">
        <v>386.0</v>
      </c>
      <c r="K22" s="2">
        <v>304.0</v>
      </c>
      <c r="L22" s="4">
        <f t="shared" si="7"/>
        <v>689.3333333</v>
      </c>
      <c r="M22" s="4">
        <f t="shared" si="8"/>
        <v>849.6666667</v>
      </c>
      <c r="N22" s="4">
        <f t="shared" si="9"/>
        <v>849.6666667</v>
      </c>
      <c r="O22" s="4">
        <f t="shared" si="1"/>
        <v>776.1387749</v>
      </c>
      <c r="P22" s="4">
        <f t="shared" si="2"/>
        <v>709.8770366</v>
      </c>
      <c r="Q22" s="4">
        <f t="shared" si="3"/>
        <v>712.6980305</v>
      </c>
      <c r="V22" s="4">
        <f t="shared" si="4"/>
        <v>762.8612251</v>
      </c>
      <c r="W22" s="4">
        <f t="shared" si="5"/>
        <v>829.1229634</v>
      </c>
      <c r="X22" s="4">
        <f t="shared" si="6"/>
        <v>826.3019695</v>
      </c>
    </row>
    <row r="23">
      <c r="A23" s="3">
        <v>40301.0</v>
      </c>
      <c r="B23" s="2">
        <v>306.0</v>
      </c>
      <c r="C23" s="2">
        <v>1207.0</v>
      </c>
      <c r="D23" s="2">
        <v>1207.0</v>
      </c>
      <c r="E23" s="2">
        <v>565.0</v>
      </c>
      <c r="F23" s="2">
        <v>342.0</v>
      </c>
      <c r="G23" s="2">
        <v>46.0</v>
      </c>
      <c r="H23" s="2">
        <v>62.0</v>
      </c>
      <c r="I23" s="2">
        <v>203.0</v>
      </c>
      <c r="J23" s="2">
        <v>751.0</v>
      </c>
      <c r="K23" s="2">
        <v>711.0</v>
      </c>
      <c r="L23" s="4">
        <f t="shared" si="7"/>
        <v>1063.666667</v>
      </c>
      <c r="M23" s="4">
        <f t="shared" si="8"/>
        <v>143.3333333</v>
      </c>
      <c r="N23" s="4">
        <f t="shared" si="9"/>
        <v>143.3333333</v>
      </c>
      <c r="O23" s="4">
        <f t="shared" si="1"/>
        <v>852.4248974</v>
      </c>
      <c r="P23" s="4">
        <f t="shared" si="2"/>
        <v>958.6139256</v>
      </c>
      <c r="Q23" s="4">
        <f t="shared" si="3"/>
        <v>1125.849015</v>
      </c>
      <c r="V23" s="4">
        <f t="shared" si="4"/>
        <v>354.5751026</v>
      </c>
      <c r="W23" s="4">
        <f t="shared" si="5"/>
        <v>248.3860744</v>
      </c>
      <c r="X23" s="4">
        <f t="shared" si="6"/>
        <v>81.15098476</v>
      </c>
    </row>
    <row r="24">
      <c r="A24" s="3">
        <v>40308.0</v>
      </c>
      <c r="B24" s="2">
        <v>130.0</v>
      </c>
      <c r="C24" s="2">
        <v>987.0</v>
      </c>
      <c r="D24" s="2">
        <v>987.0</v>
      </c>
      <c r="E24" s="2">
        <v>436.0</v>
      </c>
      <c r="F24" s="2">
        <v>907.0</v>
      </c>
      <c r="G24" s="2">
        <v>6.0</v>
      </c>
      <c r="H24" s="2">
        <v>16.0</v>
      </c>
      <c r="I24" s="2">
        <v>180.0</v>
      </c>
      <c r="J24" s="2">
        <v>290.0</v>
      </c>
      <c r="K24" s="2">
        <v>517.0</v>
      </c>
      <c r="L24" s="4">
        <f t="shared" si="7"/>
        <v>1130.333333</v>
      </c>
      <c r="M24" s="4">
        <f t="shared" si="8"/>
        <v>-143.3333333</v>
      </c>
      <c r="N24" s="4">
        <f t="shared" si="9"/>
        <v>143.3333333</v>
      </c>
      <c r="O24" s="4">
        <f t="shared" si="1"/>
        <v>887.8824076</v>
      </c>
      <c r="P24" s="4">
        <f t="shared" si="2"/>
        <v>1033.129748</v>
      </c>
      <c r="Q24" s="4">
        <f t="shared" si="3"/>
        <v>1166.424508</v>
      </c>
      <c r="V24" s="4">
        <f t="shared" si="4"/>
        <v>99.11759236</v>
      </c>
      <c r="W24" s="4">
        <f t="shared" si="5"/>
        <v>46.12974795</v>
      </c>
      <c r="X24" s="4">
        <f t="shared" si="6"/>
        <v>179.4245076</v>
      </c>
    </row>
    <row r="25">
      <c r="A25" s="3">
        <v>40315.0</v>
      </c>
      <c r="B25" s="2">
        <v>28.0</v>
      </c>
      <c r="C25" s="2">
        <v>621.0</v>
      </c>
      <c r="D25" s="2">
        <v>621.0</v>
      </c>
      <c r="E25" s="2">
        <v>450.0</v>
      </c>
      <c r="F25" s="2">
        <v>283.0</v>
      </c>
      <c r="G25" s="2">
        <v>6.0</v>
      </c>
      <c r="H25" s="2">
        <v>87.0</v>
      </c>
      <c r="I25" s="2">
        <v>192.0</v>
      </c>
      <c r="J25" s="2">
        <v>512.0</v>
      </c>
      <c r="K25" s="2">
        <v>265.0</v>
      </c>
      <c r="L25" s="4">
        <f t="shared" si="7"/>
        <v>1244.333333</v>
      </c>
      <c r="M25" s="4">
        <f t="shared" si="8"/>
        <v>-623.3333333</v>
      </c>
      <c r="N25" s="4">
        <f t="shared" si="9"/>
        <v>623.3333333</v>
      </c>
      <c r="O25" s="4">
        <f t="shared" si="1"/>
        <v>897.7941669</v>
      </c>
      <c r="P25" s="4">
        <f t="shared" si="2"/>
        <v>1019.290824</v>
      </c>
      <c r="Q25" s="4">
        <f t="shared" si="3"/>
        <v>1076.712254</v>
      </c>
      <c r="V25" s="4">
        <f t="shared" si="4"/>
        <v>276.7941669</v>
      </c>
      <c r="W25" s="4">
        <f t="shared" si="5"/>
        <v>398.2908236</v>
      </c>
      <c r="X25" s="4">
        <f t="shared" si="6"/>
        <v>455.7122538</v>
      </c>
    </row>
    <row r="26">
      <c r="A26" s="3">
        <v>40322.0</v>
      </c>
      <c r="B26" s="2">
        <v>15.0</v>
      </c>
      <c r="C26" s="2">
        <v>760.0</v>
      </c>
      <c r="D26" s="2">
        <v>760.0</v>
      </c>
      <c r="E26" s="2">
        <v>671.0</v>
      </c>
      <c r="F26" s="2">
        <v>560.0</v>
      </c>
      <c r="G26" s="2">
        <v>0.0</v>
      </c>
      <c r="H26" s="2">
        <v>69.0</v>
      </c>
      <c r="I26" s="2">
        <v>218.0</v>
      </c>
      <c r="J26" s="2">
        <v>279.0</v>
      </c>
      <c r="K26" s="2">
        <v>674.0</v>
      </c>
      <c r="L26" s="4">
        <f t="shared" si="7"/>
        <v>938.3333333</v>
      </c>
      <c r="M26" s="4">
        <f t="shared" si="8"/>
        <v>-178.3333333</v>
      </c>
      <c r="N26" s="4">
        <f t="shared" si="9"/>
        <v>178.3333333</v>
      </c>
      <c r="O26" s="4">
        <f t="shared" si="1"/>
        <v>870.1147502</v>
      </c>
      <c r="P26" s="4">
        <f t="shared" si="2"/>
        <v>899.8035765</v>
      </c>
      <c r="Q26" s="4">
        <f t="shared" si="3"/>
        <v>848.8561269</v>
      </c>
      <c r="V26" s="4">
        <f t="shared" si="4"/>
        <v>110.1147502</v>
      </c>
      <c r="W26" s="4">
        <f t="shared" si="5"/>
        <v>139.8035765</v>
      </c>
      <c r="X26" s="4">
        <f t="shared" si="6"/>
        <v>88.8561269</v>
      </c>
    </row>
    <row r="27">
      <c r="A27" s="3">
        <v>40329.0</v>
      </c>
      <c r="B27" s="2">
        <v>93.0</v>
      </c>
      <c r="C27" s="2">
        <v>727.0</v>
      </c>
      <c r="D27" s="2">
        <v>727.0</v>
      </c>
      <c r="E27" s="2">
        <v>301.0</v>
      </c>
      <c r="F27" s="2">
        <v>309.0</v>
      </c>
      <c r="G27" s="2">
        <v>4.0</v>
      </c>
      <c r="H27" s="2">
        <v>29.0</v>
      </c>
      <c r="I27" s="2">
        <v>145.0</v>
      </c>
      <c r="J27" s="2">
        <v>236.0</v>
      </c>
      <c r="K27" s="2">
        <v>300.0</v>
      </c>
      <c r="L27" s="4">
        <f t="shared" si="7"/>
        <v>789.3333333</v>
      </c>
      <c r="M27" s="4">
        <f t="shared" si="8"/>
        <v>-62.33333333</v>
      </c>
      <c r="N27" s="4">
        <f t="shared" si="9"/>
        <v>62.33333333</v>
      </c>
      <c r="O27" s="4">
        <f t="shared" si="1"/>
        <v>859.1032752</v>
      </c>
      <c r="P27" s="4">
        <f t="shared" si="2"/>
        <v>857.8625035</v>
      </c>
      <c r="Q27" s="4">
        <f t="shared" si="3"/>
        <v>804.4280635</v>
      </c>
      <c r="V27" s="4">
        <f t="shared" si="4"/>
        <v>132.1032752</v>
      </c>
      <c r="W27" s="4">
        <f t="shared" si="5"/>
        <v>130.8625035</v>
      </c>
      <c r="X27" s="4">
        <f t="shared" si="6"/>
        <v>77.42806345</v>
      </c>
    </row>
    <row r="28">
      <c r="A28" s="3">
        <v>40336.0</v>
      </c>
      <c r="B28" s="2">
        <v>454.0</v>
      </c>
      <c r="C28" s="2">
        <v>973.0</v>
      </c>
      <c r="D28" s="2">
        <v>973.0</v>
      </c>
      <c r="E28" s="2">
        <v>716.0</v>
      </c>
      <c r="F28" s="2">
        <v>264.0</v>
      </c>
      <c r="G28" s="2">
        <v>3.0</v>
      </c>
      <c r="H28" s="2">
        <v>220.0</v>
      </c>
      <c r="I28" s="2">
        <v>617.0</v>
      </c>
      <c r="J28" s="2">
        <v>429.0</v>
      </c>
      <c r="K28" s="2">
        <v>408.0</v>
      </c>
      <c r="L28" s="4">
        <f t="shared" si="7"/>
        <v>702.6666667</v>
      </c>
      <c r="M28" s="4">
        <f t="shared" si="8"/>
        <v>270.3333333</v>
      </c>
      <c r="N28" s="4">
        <f t="shared" si="9"/>
        <v>270.3333333</v>
      </c>
      <c r="O28" s="4">
        <f t="shared" si="1"/>
        <v>845.8929477</v>
      </c>
      <c r="P28" s="4">
        <f t="shared" si="2"/>
        <v>818.6037525</v>
      </c>
      <c r="Q28" s="4">
        <f t="shared" si="3"/>
        <v>765.7140317</v>
      </c>
      <c r="V28" s="4">
        <f t="shared" si="4"/>
        <v>127.1070523</v>
      </c>
      <c r="W28" s="4">
        <f t="shared" si="5"/>
        <v>154.3962475</v>
      </c>
      <c r="X28" s="4">
        <f t="shared" si="6"/>
        <v>207.2859683</v>
      </c>
    </row>
    <row r="29">
      <c r="A29" s="3">
        <v>40343.0</v>
      </c>
      <c r="B29" s="2">
        <v>432.0</v>
      </c>
      <c r="C29" s="2">
        <v>696.0</v>
      </c>
      <c r="D29" s="2">
        <v>696.0</v>
      </c>
      <c r="E29" s="2">
        <v>142.0</v>
      </c>
      <c r="F29" s="2">
        <v>569.0</v>
      </c>
      <c r="G29" s="2">
        <v>28.0</v>
      </c>
      <c r="H29" s="2">
        <v>25.0</v>
      </c>
      <c r="I29" s="2">
        <v>625.0</v>
      </c>
      <c r="J29" s="2">
        <v>362.0</v>
      </c>
      <c r="K29" s="2">
        <v>458.0</v>
      </c>
      <c r="L29" s="4">
        <f t="shared" si="7"/>
        <v>820</v>
      </c>
      <c r="M29" s="4">
        <f t="shared" si="8"/>
        <v>-124</v>
      </c>
      <c r="N29" s="4">
        <f t="shared" si="9"/>
        <v>124</v>
      </c>
      <c r="O29" s="4">
        <f t="shared" si="1"/>
        <v>858.6036529</v>
      </c>
      <c r="P29" s="4">
        <f t="shared" si="2"/>
        <v>864.9226267</v>
      </c>
      <c r="Q29" s="4">
        <f t="shared" si="3"/>
        <v>869.3570159</v>
      </c>
      <c r="V29" s="4">
        <f t="shared" si="4"/>
        <v>162.6036529</v>
      </c>
      <c r="W29" s="4">
        <f t="shared" si="5"/>
        <v>168.9226267</v>
      </c>
      <c r="X29" s="4">
        <f t="shared" si="6"/>
        <v>173.3570159</v>
      </c>
    </row>
    <row r="30">
      <c r="A30" s="3">
        <v>40350.0</v>
      </c>
      <c r="B30" s="2">
        <v>151.0</v>
      </c>
      <c r="C30" s="2">
        <v>750.0</v>
      </c>
      <c r="D30" s="2">
        <v>750.0</v>
      </c>
      <c r="E30" s="2">
        <v>52.0</v>
      </c>
      <c r="F30" s="2">
        <v>252.0</v>
      </c>
      <c r="G30" s="2">
        <v>305.0</v>
      </c>
      <c r="H30" s="2">
        <v>35.0</v>
      </c>
      <c r="I30" s="2">
        <v>168.0</v>
      </c>
      <c r="J30" s="2">
        <v>460.0</v>
      </c>
      <c r="K30" s="2">
        <v>511.0</v>
      </c>
      <c r="L30" s="4">
        <f t="shared" si="7"/>
        <v>798.6666667</v>
      </c>
      <c r="M30" s="4">
        <f t="shared" si="8"/>
        <v>-48.66666667</v>
      </c>
      <c r="N30" s="4">
        <f t="shared" si="9"/>
        <v>48.66666667</v>
      </c>
      <c r="O30" s="4">
        <f t="shared" si="1"/>
        <v>842.3432876</v>
      </c>
      <c r="P30" s="4">
        <f t="shared" si="2"/>
        <v>814.2458387</v>
      </c>
      <c r="Q30" s="4">
        <f t="shared" si="3"/>
        <v>782.6785079</v>
      </c>
      <c r="V30" s="4">
        <f t="shared" si="4"/>
        <v>92.3432876</v>
      </c>
      <c r="W30" s="4">
        <f t="shared" si="5"/>
        <v>64.24583872</v>
      </c>
      <c r="X30" s="4">
        <f t="shared" si="6"/>
        <v>32.67850793</v>
      </c>
    </row>
    <row r="31">
      <c r="A31" s="3">
        <v>40357.0</v>
      </c>
      <c r="B31" s="2">
        <v>387.0</v>
      </c>
      <c r="C31" s="2">
        <v>1415.0</v>
      </c>
      <c r="D31" s="2">
        <v>1415.0</v>
      </c>
      <c r="E31" s="2">
        <v>51.0</v>
      </c>
      <c r="F31" s="2">
        <v>692.0</v>
      </c>
      <c r="G31" s="2">
        <v>44.0</v>
      </c>
      <c r="H31" s="2">
        <v>22.0</v>
      </c>
      <c r="I31" s="2">
        <v>365.0</v>
      </c>
      <c r="J31" s="2">
        <v>598.0</v>
      </c>
      <c r="K31" s="2">
        <v>534.0</v>
      </c>
      <c r="L31" s="4">
        <f t="shared" si="7"/>
        <v>806.3333333</v>
      </c>
      <c r="M31" s="4">
        <f t="shared" si="8"/>
        <v>608.6666667</v>
      </c>
      <c r="N31" s="4">
        <f t="shared" si="9"/>
        <v>608.6666667</v>
      </c>
      <c r="O31" s="4">
        <f t="shared" si="1"/>
        <v>833.1089588</v>
      </c>
      <c r="P31" s="4">
        <f t="shared" si="2"/>
        <v>794.9720871</v>
      </c>
      <c r="Q31" s="4">
        <f t="shared" si="3"/>
        <v>766.339254</v>
      </c>
      <c r="V31" s="4">
        <f t="shared" si="4"/>
        <v>581.8910412</v>
      </c>
      <c r="W31" s="4">
        <f t="shared" si="5"/>
        <v>620.0279129</v>
      </c>
      <c r="X31" s="4">
        <f t="shared" si="6"/>
        <v>648.660746</v>
      </c>
    </row>
    <row r="32">
      <c r="A32" s="3">
        <v>40364.0</v>
      </c>
      <c r="B32" s="2">
        <v>150.0</v>
      </c>
      <c r="C32" s="2">
        <v>654.0</v>
      </c>
      <c r="D32" s="2">
        <v>654.0</v>
      </c>
      <c r="E32" s="2">
        <v>52.0</v>
      </c>
      <c r="F32" s="2">
        <v>874.0</v>
      </c>
      <c r="G32" s="2">
        <v>14.0</v>
      </c>
      <c r="H32" s="2">
        <v>88.0</v>
      </c>
      <c r="I32" s="2">
        <v>278.0</v>
      </c>
      <c r="J32" s="2">
        <v>331.0</v>
      </c>
      <c r="K32" s="2">
        <v>211.0</v>
      </c>
      <c r="L32" s="4">
        <f t="shared" si="7"/>
        <v>953.6666667</v>
      </c>
      <c r="M32" s="4">
        <f t="shared" si="8"/>
        <v>-299.6666667</v>
      </c>
      <c r="N32" s="4">
        <f t="shared" si="9"/>
        <v>299.6666667</v>
      </c>
      <c r="O32" s="4">
        <f t="shared" si="1"/>
        <v>891.298063</v>
      </c>
      <c r="P32" s="4">
        <f t="shared" si="2"/>
        <v>980.980461</v>
      </c>
      <c r="Q32" s="4">
        <f t="shared" si="3"/>
        <v>1090.669627</v>
      </c>
      <c r="V32" s="4">
        <f t="shared" si="4"/>
        <v>237.298063</v>
      </c>
      <c r="W32" s="4">
        <f t="shared" si="5"/>
        <v>326.980461</v>
      </c>
      <c r="X32" s="4">
        <f t="shared" si="6"/>
        <v>436.669627</v>
      </c>
    </row>
    <row r="33">
      <c r="A33" s="3">
        <v>40371.0</v>
      </c>
      <c r="B33" s="2">
        <v>160.0</v>
      </c>
      <c r="C33" s="2">
        <v>865.0</v>
      </c>
      <c r="D33" s="2">
        <v>865.0</v>
      </c>
      <c r="E33" s="2">
        <v>44.0</v>
      </c>
      <c r="F33" s="2">
        <v>400.0</v>
      </c>
      <c r="G33" s="2">
        <v>3.0</v>
      </c>
      <c r="H33" s="2">
        <v>6.0</v>
      </c>
      <c r="I33" s="2">
        <v>766.0</v>
      </c>
      <c r="J33" s="2">
        <v>240.0</v>
      </c>
      <c r="K33" s="2">
        <v>575.0</v>
      </c>
      <c r="L33" s="4">
        <f t="shared" si="7"/>
        <v>939.6666667</v>
      </c>
      <c r="M33" s="4">
        <f t="shared" si="8"/>
        <v>-74.66666667</v>
      </c>
      <c r="N33" s="4">
        <f t="shared" si="9"/>
        <v>74.66666667</v>
      </c>
      <c r="O33" s="4">
        <f t="shared" si="1"/>
        <v>867.5682567</v>
      </c>
      <c r="P33" s="4">
        <f t="shared" si="2"/>
        <v>882.8863227</v>
      </c>
      <c r="Q33" s="4">
        <f t="shared" si="3"/>
        <v>872.3348135</v>
      </c>
      <c r="V33" s="4">
        <f t="shared" si="4"/>
        <v>2.568256659</v>
      </c>
      <c r="W33" s="4">
        <f t="shared" si="5"/>
        <v>17.88632268</v>
      </c>
      <c r="X33" s="4">
        <f t="shared" si="6"/>
        <v>7.334813491</v>
      </c>
    </row>
    <row r="34">
      <c r="A34" s="3">
        <v>40378.0</v>
      </c>
      <c r="B34" s="2">
        <v>453.0</v>
      </c>
      <c r="C34" s="2">
        <v>1268.0</v>
      </c>
      <c r="D34" s="2">
        <v>1268.0</v>
      </c>
      <c r="E34" s="2">
        <v>52.0</v>
      </c>
      <c r="F34" s="2">
        <v>1043.0</v>
      </c>
      <c r="G34" s="2">
        <v>50.0</v>
      </c>
      <c r="H34" s="2">
        <v>8.0</v>
      </c>
      <c r="I34" s="2">
        <v>691.0</v>
      </c>
      <c r="J34" s="2">
        <v>729.0</v>
      </c>
      <c r="K34" s="2">
        <v>487.0</v>
      </c>
      <c r="L34" s="4">
        <f t="shared" si="7"/>
        <v>978</v>
      </c>
      <c r="M34" s="4">
        <f t="shared" si="8"/>
        <v>290</v>
      </c>
      <c r="N34" s="4">
        <f t="shared" si="9"/>
        <v>290</v>
      </c>
      <c r="O34" s="4">
        <f t="shared" si="1"/>
        <v>867.311431</v>
      </c>
      <c r="P34" s="4">
        <f t="shared" si="2"/>
        <v>877.5204259</v>
      </c>
      <c r="Q34" s="4">
        <f t="shared" si="3"/>
        <v>868.6674067</v>
      </c>
      <c r="V34" s="4">
        <f t="shared" si="4"/>
        <v>400.688569</v>
      </c>
      <c r="W34" s="4">
        <f t="shared" si="5"/>
        <v>390.4795741</v>
      </c>
      <c r="X34" s="4">
        <f t="shared" si="6"/>
        <v>399.3325933</v>
      </c>
    </row>
    <row r="35">
      <c r="A35" s="3">
        <v>40385.0</v>
      </c>
      <c r="B35" s="2">
        <v>577.0</v>
      </c>
      <c r="C35" s="2">
        <v>618.0</v>
      </c>
      <c r="D35" s="2">
        <v>618.0</v>
      </c>
      <c r="E35" s="2">
        <v>34.0</v>
      </c>
      <c r="F35" s="2">
        <v>621.0</v>
      </c>
      <c r="G35" s="2">
        <v>128.0</v>
      </c>
      <c r="H35" s="2">
        <v>5.0</v>
      </c>
      <c r="I35" s="2">
        <v>265.0</v>
      </c>
      <c r="J35" s="2">
        <v>171.0</v>
      </c>
      <c r="K35" s="2">
        <v>454.0</v>
      </c>
      <c r="L35" s="4">
        <f t="shared" si="7"/>
        <v>929</v>
      </c>
      <c r="M35" s="4">
        <f t="shared" si="8"/>
        <v>-311</v>
      </c>
      <c r="N35" s="4">
        <f t="shared" si="9"/>
        <v>311</v>
      </c>
      <c r="O35" s="4">
        <f t="shared" si="1"/>
        <v>907.3802879</v>
      </c>
      <c r="P35" s="4">
        <f t="shared" si="2"/>
        <v>994.6642981</v>
      </c>
      <c r="Q35" s="4">
        <f t="shared" si="3"/>
        <v>1068.333703</v>
      </c>
      <c r="V35" s="4">
        <f t="shared" si="4"/>
        <v>289.3802879</v>
      </c>
      <c r="W35" s="4">
        <f t="shared" si="5"/>
        <v>376.6642981</v>
      </c>
      <c r="X35" s="4">
        <f t="shared" si="6"/>
        <v>450.3337034</v>
      </c>
    </row>
    <row r="36">
      <c r="A36" s="3">
        <v>40392.0</v>
      </c>
      <c r="B36" s="2">
        <v>294.0</v>
      </c>
      <c r="C36" s="2">
        <v>726.0</v>
      </c>
      <c r="D36" s="2">
        <v>726.0</v>
      </c>
      <c r="E36" s="2">
        <v>57.0</v>
      </c>
      <c r="F36" s="2">
        <v>648.0</v>
      </c>
      <c r="G36" s="2">
        <v>142.0</v>
      </c>
      <c r="H36" s="2">
        <v>17.0</v>
      </c>
      <c r="I36" s="2">
        <v>95.0</v>
      </c>
      <c r="J36" s="2">
        <v>354.0</v>
      </c>
      <c r="K36" s="2">
        <v>694.0</v>
      </c>
      <c r="L36" s="4">
        <f t="shared" si="7"/>
        <v>917</v>
      </c>
      <c r="M36" s="4">
        <f t="shared" si="8"/>
        <v>-191</v>
      </c>
      <c r="N36" s="4">
        <f t="shared" si="9"/>
        <v>191</v>
      </c>
      <c r="O36" s="4">
        <f t="shared" si="1"/>
        <v>878.4422591</v>
      </c>
      <c r="P36" s="4">
        <f t="shared" si="2"/>
        <v>881.6650087</v>
      </c>
      <c r="Q36" s="4">
        <f t="shared" si="3"/>
        <v>843.1668517</v>
      </c>
      <c r="V36" s="4">
        <f t="shared" si="4"/>
        <v>152.4422591</v>
      </c>
      <c r="W36" s="4">
        <f t="shared" si="5"/>
        <v>155.6650087</v>
      </c>
      <c r="X36" s="4">
        <f t="shared" si="6"/>
        <v>117.1668517</v>
      </c>
    </row>
    <row r="37">
      <c r="A37" s="3">
        <v>40399.0</v>
      </c>
      <c r="B37" s="2">
        <v>224.0</v>
      </c>
      <c r="C37" s="2">
        <v>893.0</v>
      </c>
      <c r="D37" s="2">
        <v>893.0</v>
      </c>
      <c r="E37" s="2">
        <v>188.0</v>
      </c>
      <c r="F37" s="2">
        <v>758.0</v>
      </c>
      <c r="G37" s="2">
        <v>74.0</v>
      </c>
      <c r="H37" s="2">
        <v>45.0</v>
      </c>
      <c r="I37" s="2">
        <v>552.0</v>
      </c>
      <c r="J37" s="2">
        <v>460.0</v>
      </c>
      <c r="K37" s="2">
        <v>608.0</v>
      </c>
      <c r="L37" s="4">
        <f t="shared" si="7"/>
        <v>870.6666667</v>
      </c>
      <c r="M37" s="4">
        <f t="shared" si="8"/>
        <v>22.33333333</v>
      </c>
      <c r="N37" s="4">
        <f t="shared" si="9"/>
        <v>22.33333333</v>
      </c>
      <c r="O37" s="4">
        <f t="shared" si="1"/>
        <v>863.1980332</v>
      </c>
      <c r="P37" s="4">
        <f t="shared" si="2"/>
        <v>834.9655061</v>
      </c>
      <c r="Q37" s="4">
        <f t="shared" si="3"/>
        <v>784.5834258</v>
      </c>
      <c r="V37" s="4">
        <f t="shared" si="4"/>
        <v>29.80196681</v>
      </c>
      <c r="W37" s="4">
        <f t="shared" si="5"/>
        <v>58.03449392</v>
      </c>
      <c r="X37" s="4">
        <f t="shared" si="6"/>
        <v>108.4165742</v>
      </c>
    </row>
    <row r="38">
      <c r="A38" s="3">
        <v>40406.0</v>
      </c>
      <c r="B38" s="2">
        <v>177.0</v>
      </c>
      <c r="C38" s="2">
        <v>189.0</v>
      </c>
      <c r="D38" s="2">
        <v>189.0</v>
      </c>
      <c r="E38" s="2">
        <v>351.0</v>
      </c>
      <c r="F38" s="2">
        <v>664.0</v>
      </c>
      <c r="G38" s="2">
        <v>19.0</v>
      </c>
      <c r="H38" s="2">
        <v>37.0</v>
      </c>
      <c r="I38" s="2">
        <v>1025.0</v>
      </c>
      <c r="J38" s="2">
        <v>677.0</v>
      </c>
      <c r="K38" s="2">
        <v>940.0</v>
      </c>
      <c r="L38" s="4">
        <f t="shared" si="7"/>
        <v>745.6666667</v>
      </c>
      <c r="M38" s="4">
        <f t="shared" si="8"/>
        <v>-556.6666667</v>
      </c>
      <c r="N38" s="4">
        <f t="shared" si="9"/>
        <v>556.6666667</v>
      </c>
      <c r="O38" s="4">
        <f t="shared" si="1"/>
        <v>866.1782299</v>
      </c>
      <c r="P38" s="4">
        <f t="shared" si="2"/>
        <v>852.3758543</v>
      </c>
      <c r="Q38" s="4">
        <f t="shared" si="3"/>
        <v>838.7917129</v>
      </c>
      <c r="V38" s="4">
        <f t="shared" si="4"/>
        <v>677.1782299</v>
      </c>
      <c r="W38" s="4">
        <f t="shared" si="5"/>
        <v>663.3758543</v>
      </c>
      <c r="X38" s="4">
        <f t="shared" si="6"/>
        <v>649.7917129</v>
      </c>
    </row>
    <row r="39">
      <c r="A39" s="3">
        <v>40413.0</v>
      </c>
      <c r="B39" s="2">
        <v>254.0</v>
      </c>
      <c r="C39" s="2">
        <v>1.0</v>
      </c>
      <c r="D39" s="2">
        <v>1.0</v>
      </c>
      <c r="E39" s="2">
        <v>9.0</v>
      </c>
      <c r="F39" s="2">
        <v>1000.0</v>
      </c>
      <c r="G39" s="2">
        <v>27.0</v>
      </c>
      <c r="H39" s="2">
        <v>70.0</v>
      </c>
      <c r="I39" s="2">
        <v>880.0</v>
      </c>
      <c r="J39" s="2">
        <v>338.0</v>
      </c>
      <c r="K39" s="2">
        <v>450.0</v>
      </c>
      <c r="L39" s="4">
        <f t="shared" si="7"/>
        <v>602.6666667</v>
      </c>
      <c r="M39" s="4">
        <f t="shared" si="8"/>
        <v>-601.6666667</v>
      </c>
      <c r="N39" s="4">
        <f t="shared" si="9"/>
        <v>601.6666667</v>
      </c>
      <c r="O39" s="4">
        <f t="shared" si="1"/>
        <v>798.4604069</v>
      </c>
      <c r="P39" s="4">
        <f t="shared" si="2"/>
        <v>653.363098</v>
      </c>
      <c r="Q39" s="4">
        <f t="shared" si="3"/>
        <v>513.8958565</v>
      </c>
      <c r="V39" s="4">
        <f t="shared" si="4"/>
        <v>797.4604069</v>
      </c>
      <c r="W39" s="4">
        <f t="shared" si="5"/>
        <v>652.363098</v>
      </c>
      <c r="X39" s="4">
        <f t="shared" si="6"/>
        <v>512.8958565</v>
      </c>
    </row>
    <row r="40">
      <c r="A40" s="3">
        <v>40420.0</v>
      </c>
      <c r="B40" s="2">
        <v>445.0</v>
      </c>
      <c r="C40" s="2">
        <v>1889.0</v>
      </c>
      <c r="D40" s="2">
        <v>1889.0</v>
      </c>
      <c r="E40" s="2">
        <v>8.0</v>
      </c>
      <c r="F40" s="2">
        <v>963.0</v>
      </c>
      <c r="G40" s="2">
        <v>3.0</v>
      </c>
      <c r="H40" s="2">
        <v>110.0</v>
      </c>
      <c r="I40" s="2">
        <v>135.0</v>
      </c>
      <c r="J40" s="2">
        <v>652.0</v>
      </c>
      <c r="K40" s="2">
        <v>375.0</v>
      </c>
      <c r="L40" s="4">
        <f t="shared" si="7"/>
        <v>361</v>
      </c>
      <c r="M40" s="4">
        <f t="shared" si="8"/>
        <v>1528</v>
      </c>
      <c r="N40" s="4">
        <f t="shared" si="9"/>
        <v>1528</v>
      </c>
      <c r="O40" s="4">
        <f t="shared" si="1"/>
        <v>718.7143662</v>
      </c>
      <c r="P40" s="4">
        <f t="shared" si="2"/>
        <v>457.6541686</v>
      </c>
      <c r="Q40" s="4">
        <f t="shared" si="3"/>
        <v>257.4479282</v>
      </c>
      <c r="V40" s="4">
        <f t="shared" si="4"/>
        <v>1170.285634</v>
      </c>
      <c r="W40" s="4">
        <f t="shared" si="5"/>
        <v>1431.345831</v>
      </c>
      <c r="X40" s="4">
        <f t="shared" si="6"/>
        <v>1631.552072</v>
      </c>
    </row>
    <row r="41">
      <c r="A41" s="3">
        <v>40427.0</v>
      </c>
      <c r="B41" s="2">
        <v>299.0</v>
      </c>
      <c r="C41" s="2">
        <v>1313.0</v>
      </c>
      <c r="D41" s="2">
        <v>1313.0</v>
      </c>
      <c r="E41" s="2">
        <v>6.0</v>
      </c>
      <c r="F41" s="2">
        <v>387.0</v>
      </c>
      <c r="G41" s="2">
        <v>6.0</v>
      </c>
      <c r="H41" s="2">
        <v>68.0</v>
      </c>
      <c r="I41" s="2">
        <v>270.0</v>
      </c>
      <c r="J41" s="2">
        <v>617.0</v>
      </c>
      <c r="K41" s="2">
        <v>483.0</v>
      </c>
      <c r="L41" s="4">
        <f t="shared" si="7"/>
        <v>693</v>
      </c>
      <c r="M41" s="4">
        <f t="shared" si="8"/>
        <v>620</v>
      </c>
      <c r="N41" s="4">
        <f t="shared" si="9"/>
        <v>620</v>
      </c>
      <c r="O41" s="4">
        <f t="shared" si="1"/>
        <v>835.7429296</v>
      </c>
      <c r="P41" s="4">
        <f t="shared" si="2"/>
        <v>887.057918</v>
      </c>
      <c r="Q41" s="4">
        <f t="shared" si="3"/>
        <v>1073.223964</v>
      </c>
      <c r="V41" s="4">
        <f t="shared" si="4"/>
        <v>477.2570704</v>
      </c>
      <c r="W41" s="4">
        <f t="shared" si="5"/>
        <v>425.942082</v>
      </c>
      <c r="X41" s="4">
        <f t="shared" si="6"/>
        <v>239.7760359</v>
      </c>
    </row>
    <row r="42">
      <c r="A42" s="3">
        <v>40434.0</v>
      </c>
      <c r="B42" s="2">
        <v>370.0</v>
      </c>
      <c r="C42" s="2">
        <v>1118.0</v>
      </c>
      <c r="D42" s="2">
        <v>1118.0</v>
      </c>
      <c r="E42" s="2">
        <v>0.0</v>
      </c>
      <c r="F42" s="2">
        <v>619.0</v>
      </c>
      <c r="G42" s="2">
        <v>344.0</v>
      </c>
      <c r="H42" s="2">
        <v>38.0</v>
      </c>
      <c r="I42" s="2">
        <v>534.0</v>
      </c>
      <c r="J42" s="2">
        <v>305.0</v>
      </c>
      <c r="K42" s="2">
        <v>304.0</v>
      </c>
      <c r="L42" s="4">
        <f t="shared" si="7"/>
        <v>1067.666667</v>
      </c>
      <c r="M42" s="4">
        <f t="shared" si="8"/>
        <v>50.33333333</v>
      </c>
      <c r="N42" s="4">
        <f t="shared" si="9"/>
        <v>50.33333333</v>
      </c>
      <c r="O42" s="4">
        <f t="shared" si="1"/>
        <v>883.4686366</v>
      </c>
      <c r="P42" s="4">
        <f t="shared" si="2"/>
        <v>1014.840543</v>
      </c>
      <c r="Q42" s="4">
        <f t="shared" si="3"/>
        <v>1193.111982</v>
      </c>
      <c r="V42" s="4">
        <f t="shared" si="4"/>
        <v>234.5313634</v>
      </c>
      <c r="W42" s="4">
        <f t="shared" si="5"/>
        <v>103.1594574</v>
      </c>
      <c r="X42" s="4">
        <f t="shared" si="6"/>
        <v>75.11198206</v>
      </c>
    </row>
    <row r="43">
      <c r="A43" s="3">
        <v>40441.0</v>
      </c>
      <c r="B43" s="2">
        <v>624.0</v>
      </c>
      <c r="C43" s="2">
        <v>1381.0</v>
      </c>
      <c r="D43" s="2">
        <v>1381.0</v>
      </c>
      <c r="E43" s="2">
        <v>99.0</v>
      </c>
      <c r="F43" s="2">
        <v>1792.0</v>
      </c>
      <c r="G43" s="2">
        <v>425.0</v>
      </c>
      <c r="H43" s="2">
        <v>180.0</v>
      </c>
      <c r="I43" s="2">
        <v>1709.0</v>
      </c>
      <c r="J43" s="2">
        <v>352.0</v>
      </c>
      <c r="K43" s="2">
        <v>605.0</v>
      </c>
      <c r="L43" s="4">
        <f t="shared" si="7"/>
        <v>1440</v>
      </c>
      <c r="M43" s="4">
        <f t="shared" si="8"/>
        <v>-59</v>
      </c>
      <c r="N43" s="4">
        <f t="shared" si="9"/>
        <v>59</v>
      </c>
      <c r="O43" s="4">
        <f t="shared" si="1"/>
        <v>906.921773</v>
      </c>
      <c r="P43" s="4">
        <f t="shared" si="2"/>
        <v>1045.78838</v>
      </c>
      <c r="Q43" s="4">
        <f t="shared" si="3"/>
        <v>1155.555991</v>
      </c>
      <c r="V43" s="4">
        <f t="shared" si="4"/>
        <v>474.078227</v>
      </c>
      <c r="W43" s="4">
        <f t="shared" si="5"/>
        <v>335.2116202</v>
      </c>
      <c r="X43" s="4">
        <f t="shared" si="6"/>
        <v>225.444009</v>
      </c>
    </row>
    <row r="44">
      <c r="A44" s="3">
        <v>40448.0</v>
      </c>
      <c r="B44" s="2">
        <v>385.0</v>
      </c>
      <c r="C44" s="2">
        <v>1597.0</v>
      </c>
      <c r="D44" s="2">
        <v>1597.0</v>
      </c>
      <c r="E44" s="2">
        <v>916.0</v>
      </c>
      <c r="F44" s="2">
        <v>773.0</v>
      </c>
      <c r="G44" s="2">
        <v>495.0</v>
      </c>
      <c r="H44" s="2">
        <v>239.0</v>
      </c>
      <c r="I44" s="2">
        <v>284.0</v>
      </c>
      <c r="J44" s="2">
        <v>518.0</v>
      </c>
      <c r="K44" s="2">
        <v>358.0</v>
      </c>
      <c r="L44" s="4">
        <f t="shared" si="7"/>
        <v>1270.666667</v>
      </c>
      <c r="M44" s="4">
        <f t="shared" si="8"/>
        <v>326.3333333</v>
      </c>
      <c r="N44" s="4">
        <f t="shared" si="9"/>
        <v>326.3333333</v>
      </c>
      <c r="O44" s="4">
        <f t="shared" si="1"/>
        <v>954.3295957</v>
      </c>
      <c r="P44" s="4">
        <f t="shared" si="2"/>
        <v>1146.351866</v>
      </c>
      <c r="Q44" s="4">
        <f t="shared" si="3"/>
        <v>1268.277996</v>
      </c>
      <c r="V44" s="4">
        <f t="shared" si="4"/>
        <v>642.6704043</v>
      </c>
      <c r="W44" s="4">
        <f t="shared" si="5"/>
        <v>450.6481341</v>
      </c>
      <c r="X44" s="4">
        <f t="shared" si="6"/>
        <v>328.7220045</v>
      </c>
    </row>
    <row r="45">
      <c r="A45" s="3">
        <v>40455.0</v>
      </c>
      <c r="B45" s="2">
        <v>507.0</v>
      </c>
      <c r="C45" s="2">
        <v>956.0</v>
      </c>
      <c r="D45" s="2">
        <v>956.0</v>
      </c>
      <c r="E45" s="2">
        <v>262.0</v>
      </c>
      <c r="F45" s="2">
        <v>753.0</v>
      </c>
      <c r="G45" s="2">
        <v>1516.0</v>
      </c>
      <c r="H45" s="2">
        <v>542.0</v>
      </c>
      <c r="I45" s="2">
        <v>919.0</v>
      </c>
      <c r="J45" s="2">
        <v>258.0</v>
      </c>
      <c r="K45" s="2">
        <v>250.0</v>
      </c>
      <c r="L45" s="4">
        <f t="shared" si="7"/>
        <v>1365.333333</v>
      </c>
      <c r="M45" s="4">
        <f t="shared" si="8"/>
        <v>-409.3333333</v>
      </c>
      <c r="N45" s="4">
        <f t="shared" si="9"/>
        <v>409.3333333</v>
      </c>
      <c r="O45" s="4">
        <f t="shared" si="1"/>
        <v>1018.596636</v>
      </c>
      <c r="P45" s="4">
        <f t="shared" si="2"/>
        <v>1281.546306</v>
      </c>
      <c r="Q45" s="4">
        <f t="shared" si="3"/>
        <v>1432.638998</v>
      </c>
      <c r="V45" s="4">
        <f t="shared" si="4"/>
        <v>62.5966361</v>
      </c>
      <c r="W45" s="4">
        <f t="shared" si="5"/>
        <v>325.5463061</v>
      </c>
      <c r="X45" s="4">
        <f t="shared" si="6"/>
        <v>476.6389978</v>
      </c>
    </row>
    <row r="46">
      <c r="A46" s="3">
        <v>40462.0</v>
      </c>
      <c r="B46" s="2">
        <v>322.0</v>
      </c>
      <c r="C46" s="2">
        <v>1857.0</v>
      </c>
      <c r="D46" s="2">
        <v>1857.0</v>
      </c>
      <c r="E46" s="2">
        <v>333.0</v>
      </c>
      <c r="F46" s="2">
        <v>2277.0</v>
      </c>
      <c r="G46" s="2">
        <v>530.0</v>
      </c>
      <c r="H46" s="2">
        <v>152.0</v>
      </c>
      <c r="I46" s="2">
        <v>345.0</v>
      </c>
      <c r="J46" s="2">
        <v>917.0</v>
      </c>
      <c r="K46" s="2">
        <v>524.0</v>
      </c>
      <c r="L46" s="4">
        <f t="shared" si="7"/>
        <v>1311.333333</v>
      </c>
      <c r="M46" s="4">
        <f t="shared" si="8"/>
        <v>545.6666667</v>
      </c>
      <c r="N46" s="4">
        <f t="shared" si="9"/>
        <v>545.6666667</v>
      </c>
      <c r="O46" s="4">
        <f t="shared" si="1"/>
        <v>1012.336972</v>
      </c>
      <c r="P46" s="4">
        <f t="shared" si="2"/>
        <v>1183.882414</v>
      </c>
      <c r="Q46" s="4">
        <f t="shared" si="3"/>
        <v>1194.319499</v>
      </c>
      <c r="V46" s="4">
        <f t="shared" si="4"/>
        <v>844.6630275</v>
      </c>
      <c r="W46" s="4">
        <f t="shared" si="5"/>
        <v>673.1175857</v>
      </c>
      <c r="X46" s="4">
        <f t="shared" si="6"/>
        <v>662.6805011</v>
      </c>
    </row>
    <row r="47">
      <c r="A47" s="3">
        <v>40469.0</v>
      </c>
      <c r="B47" s="2">
        <v>386.0</v>
      </c>
      <c r="C47" s="2">
        <v>783.0</v>
      </c>
      <c r="D47" s="2">
        <v>783.0</v>
      </c>
      <c r="E47" s="2">
        <v>167.0</v>
      </c>
      <c r="F47" s="2">
        <v>1736.0</v>
      </c>
      <c r="G47" s="2">
        <v>406.0</v>
      </c>
      <c r="H47" s="2">
        <v>228.0</v>
      </c>
      <c r="I47" s="2">
        <v>1239.0</v>
      </c>
      <c r="J47" s="2">
        <v>144.0</v>
      </c>
      <c r="K47" s="2">
        <v>141.0</v>
      </c>
      <c r="L47" s="4">
        <f t="shared" si="7"/>
        <v>1470</v>
      </c>
      <c r="M47" s="4">
        <f t="shared" si="8"/>
        <v>-687</v>
      </c>
      <c r="N47" s="4">
        <f t="shared" si="9"/>
        <v>687</v>
      </c>
      <c r="O47" s="4">
        <f t="shared" si="1"/>
        <v>1096.803275</v>
      </c>
      <c r="P47" s="4">
        <f t="shared" si="2"/>
        <v>1385.81769</v>
      </c>
      <c r="Q47" s="4">
        <f t="shared" si="3"/>
        <v>1525.659749</v>
      </c>
      <c r="V47" s="4">
        <f t="shared" si="4"/>
        <v>313.8032752</v>
      </c>
      <c r="W47" s="4">
        <f t="shared" si="5"/>
        <v>602.81769</v>
      </c>
      <c r="X47" s="4">
        <f t="shared" si="6"/>
        <v>742.6597494</v>
      </c>
    </row>
    <row r="48">
      <c r="A48" s="3">
        <v>40476.0</v>
      </c>
      <c r="B48" s="2">
        <v>638.0</v>
      </c>
      <c r="C48" s="2">
        <v>515.0</v>
      </c>
      <c r="D48" s="2">
        <v>515.0</v>
      </c>
      <c r="E48" s="2">
        <v>155.0</v>
      </c>
      <c r="F48" s="2">
        <v>1039.0</v>
      </c>
      <c r="G48" s="2">
        <v>469.0</v>
      </c>
      <c r="H48" s="2">
        <v>175.0</v>
      </c>
      <c r="I48" s="2">
        <v>2582.0</v>
      </c>
      <c r="J48" s="2">
        <v>137.0</v>
      </c>
      <c r="K48" s="2">
        <v>276.0</v>
      </c>
      <c r="L48" s="4">
        <f t="shared" si="7"/>
        <v>1198.666667</v>
      </c>
      <c r="M48" s="4">
        <f t="shared" si="8"/>
        <v>-683.6666667</v>
      </c>
      <c r="N48" s="4">
        <f t="shared" si="9"/>
        <v>683.6666667</v>
      </c>
      <c r="O48" s="4">
        <f t="shared" si="1"/>
        <v>1065.422948</v>
      </c>
      <c r="P48" s="4">
        <f t="shared" si="2"/>
        <v>1204.972383</v>
      </c>
      <c r="Q48" s="4">
        <f t="shared" si="3"/>
        <v>1154.329875</v>
      </c>
      <c r="V48" s="4">
        <f t="shared" si="4"/>
        <v>550.4229477</v>
      </c>
      <c r="W48" s="4">
        <f t="shared" si="5"/>
        <v>689.972383</v>
      </c>
      <c r="X48" s="4">
        <f t="shared" si="6"/>
        <v>639.3298747</v>
      </c>
    </row>
    <row r="49">
      <c r="A49" s="3">
        <v>40483.0</v>
      </c>
      <c r="B49" s="2">
        <v>227.0</v>
      </c>
      <c r="C49" s="2">
        <v>793.0</v>
      </c>
      <c r="D49" s="2">
        <v>793.0</v>
      </c>
      <c r="E49" s="2">
        <v>58.0</v>
      </c>
      <c r="F49" s="2">
        <v>992.0</v>
      </c>
      <c r="G49" s="2">
        <v>1549.0</v>
      </c>
      <c r="H49" s="2">
        <v>123.0</v>
      </c>
      <c r="I49" s="2">
        <v>926.0</v>
      </c>
      <c r="J49" s="2">
        <v>347.0</v>
      </c>
      <c r="K49" s="2">
        <v>530.0</v>
      </c>
      <c r="L49" s="4">
        <f t="shared" si="7"/>
        <v>1051.666667</v>
      </c>
      <c r="M49" s="4">
        <f t="shared" si="8"/>
        <v>-258.6666667</v>
      </c>
      <c r="N49" s="4">
        <f t="shared" si="9"/>
        <v>258.6666667</v>
      </c>
      <c r="O49" s="4">
        <f t="shared" si="1"/>
        <v>1010.380653</v>
      </c>
      <c r="P49" s="4">
        <f t="shared" si="2"/>
        <v>997.9806681</v>
      </c>
      <c r="Q49" s="4">
        <f t="shared" si="3"/>
        <v>834.6649374</v>
      </c>
      <c r="V49" s="4">
        <f t="shared" si="4"/>
        <v>217.3806529</v>
      </c>
      <c r="W49" s="4">
        <f t="shared" si="5"/>
        <v>204.9806681</v>
      </c>
      <c r="X49" s="4">
        <f t="shared" si="6"/>
        <v>41.66493736</v>
      </c>
    </row>
    <row r="50">
      <c r="A50" s="3">
        <v>40490.0</v>
      </c>
      <c r="B50" s="2">
        <v>570.0</v>
      </c>
      <c r="C50" s="2">
        <v>2127.0</v>
      </c>
      <c r="D50" s="2">
        <v>2127.0</v>
      </c>
      <c r="E50" s="2">
        <v>98.0</v>
      </c>
      <c r="F50" s="2">
        <v>5584.0</v>
      </c>
      <c r="G50" s="2">
        <v>1675.0</v>
      </c>
      <c r="H50" s="2">
        <v>517.0</v>
      </c>
      <c r="I50" s="2">
        <v>4115.0</v>
      </c>
      <c r="J50" s="2">
        <v>659.0</v>
      </c>
      <c r="K50" s="2">
        <v>264.0</v>
      </c>
      <c r="L50" s="4">
        <f t="shared" si="7"/>
        <v>697</v>
      </c>
      <c r="M50" s="4">
        <f t="shared" si="8"/>
        <v>1430</v>
      </c>
      <c r="N50" s="4">
        <f t="shared" si="9"/>
        <v>1430</v>
      </c>
      <c r="O50" s="4">
        <f t="shared" si="1"/>
        <v>988.6425876</v>
      </c>
      <c r="P50" s="4">
        <f t="shared" si="2"/>
        <v>936.4864677</v>
      </c>
      <c r="Q50" s="4">
        <f t="shared" si="3"/>
        <v>813.8324687</v>
      </c>
      <c r="V50" s="4">
        <f t="shared" si="4"/>
        <v>1138.357412</v>
      </c>
      <c r="W50" s="4">
        <f t="shared" si="5"/>
        <v>1190.513532</v>
      </c>
      <c r="X50" s="4">
        <f t="shared" si="6"/>
        <v>1313.167531</v>
      </c>
    </row>
    <row r="51">
      <c r="A51" s="3">
        <v>40497.0</v>
      </c>
      <c r="B51" s="2">
        <v>461.0</v>
      </c>
      <c r="C51" s="2">
        <v>1215.0</v>
      </c>
      <c r="D51" s="2">
        <v>1215.0</v>
      </c>
      <c r="E51" s="2">
        <v>286.0</v>
      </c>
      <c r="F51" s="2">
        <v>1263.0</v>
      </c>
      <c r="G51" s="2">
        <v>1791.0</v>
      </c>
      <c r="H51" s="2">
        <v>304.0</v>
      </c>
      <c r="I51" s="2">
        <v>1746.0</v>
      </c>
      <c r="J51" s="2">
        <v>699.0</v>
      </c>
      <c r="K51" s="2">
        <v>669.0</v>
      </c>
      <c r="L51" s="4">
        <f t="shared" si="7"/>
        <v>1145</v>
      </c>
      <c r="M51" s="4">
        <f t="shared" si="8"/>
        <v>70</v>
      </c>
      <c r="N51" s="4">
        <f t="shared" si="9"/>
        <v>70</v>
      </c>
      <c r="O51" s="4">
        <f t="shared" si="1"/>
        <v>1102.478329</v>
      </c>
      <c r="P51" s="4">
        <f t="shared" si="2"/>
        <v>1293.640527</v>
      </c>
      <c r="Q51" s="4">
        <f t="shared" si="3"/>
        <v>1470.416234</v>
      </c>
      <c r="V51" s="4">
        <f t="shared" si="4"/>
        <v>112.5216711</v>
      </c>
      <c r="W51" s="4">
        <f t="shared" si="5"/>
        <v>78.64052737</v>
      </c>
      <c r="X51" s="4">
        <f t="shared" si="6"/>
        <v>255.4162343</v>
      </c>
    </row>
    <row r="52">
      <c r="A52" s="3">
        <v>40504.0</v>
      </c>
      <c r="B52" s="2">
        <v>493.0</v>
      </c>
      <c r="C52" s="2">
        <v>1223.0</v>
      </c>
      <c r="D52" s="2">
        <v>1223.0</v>
      </c>
      <c r="E52" s="2">
        <v>67.0</v>
      </c>
      <c r="F52" s="2">
        <v>787.0</v>
      </c>
      <c r="G52" s="2">
        <v>1716.0</v>
      </c>
      <c r="H52" s="2">
        <v>343.0</v>
      </c>
      <c r="I52" s="2">
        <v>2207.0</v>
      </c>
      <c r="J52" s="2">
        <v>273.0</v>
      </c>
      <c r="K52" s="2">
        <v>327.0</v>
      </c>
      <c r="L52" s="4">
        <f t="shared" si="7"/>
        <v>1378.333333</v>
      </c>
      <c r="M52" s="4">
        <f t="shared" si="8"/>
        <v>-155.3333333</v>
      </c>
      <c r="N52" s="4">
        <f t="shared" si="9"/>
        <v>155.3333333</v>
      </c>
      <c r="O52" s="4">
        <f t="shared" si="1"/>
        <v>1113.730496</v>
      </c>
      <c r="P52" s="4">
        <f t="shared" si="2"/>
        <v>1270.048369</v>
      </c>
      <c r="Q52" s="4">
        <f t="shared" si="3"/>
        <v>1342.708117</v>
      </c>
      <c r="V52" s="4">
        <f t="shared" si="4"/>
        <v>109.269504</v>
      </c>
      <c r="W52" s="4">
        <f t="shared" si="5"/>
        <v>47.04836916</v>
      </c>
      <c r="X52" s="4">
        <f t="shared" si="6"/>
        <v>119.7081172</v>
      </c>
    </row>
    <row r="53">
      <c r="A53" s="3">
        <v>40511.0</v>
      </c>
      <c r="B53" s="2">
        <v>928.0</v>
      </c>
      <c r="C53" s="2">
        <v>1767.0</v>
      </c>
      <c r="D53" s="2">
        <v>1767.0</v>
      </c>
      <c r="E53" s="2">
        <v>69.0</v>
      </c>
      <c r="F53" s="2">
        <v>1192.0</v>
      </c>
      <c r="G53" s="2">
        <v>1149.0</v>
      </c>
      <c r="H53" s="2">
        <v>848.0</v>
      </c>
      <c r="I53" s="2">
        <v>683.0</v>
      </c>
      <c r="J53" s="2">
        <v>262.0</v>
      </c>
      <c r="K53" s="2">
        <v>293.0</v>
      </c>
      <c r="L53" s="4">
        <f t="shared" si="7"/>
        <v>1521.666667</v>
      </c>
      <c r="M53" s="4">
        <f t="shared" si="8"/>
        <v>245.3333333</v>
      </c>
      <c r="N53" s="4">
        <f t="shared" si="9"/>
        <v>245.3333333</v>
      </c>
      <c r="O53" s="4">
        <f t="shared" si="1"/>
        <v>1124.657446</v>
      </c>
      <c r="P53" s="4">
        <f t="shared" si="2"/>
        <v>1255.933858</v>
      </c>
      <c r="Q53" s="4">
        <f t="shared" si="3"/>
        <v>1282.854059</v>
      </c>
      <c r="V53" s="4">
        <f t="shared" si="4"/>
        <v>642.3425536</v>
      </c>
      <c r="W53" s="4">
        <f t="shared" si="5"/>
        <v>511.0661416</v>
      </c>
      <c r="X53" s="4">
        <f t="shared" si="6"/>
        <v>484.1459414</v>
      </c>
    </row>
    <row r="54">
      <c r="A54" s="3">
        <v>40518.0</v>
      </c>
      <c r="B54" s="2">
        <v>850.0</v>
      </c>
      <c r="C54" s="2">
        <v>852.0</v>
      </c>
      <c r="D54" s="2">
        <v>852.0</v>
      </c>
      <c r="E54" s="2">
        <v>165.0</v>
      </c>
      <c r="F54" s="2">
        <v>789.0</v>
      </c>
      <c r="G54" s="2">
        <v>1054.0</v>
      </c>
      <c r="H54" s="2">
        <v>337.0</v>
      </c>
      <c r="I54" s="2">
        <v>1012.0</v>
      </c>
      <c r="J54" s="2">
        <v>270.0</v>
      </c>
      <c r="K54" s="2">
        <v>283.0</v>
      </c>
      <c r="L54" s="4">
        <f t="shared" si="7"/>
        <v>1401.666667</v>
      </c>
      <c r="M54" s="4">
        <f t="shared" si="8"/>
        <v>-549.6666667</v>
      </c>
      <c r="N54" s="4">
        <f t="shared" si="9"/>
        <v>549.6666667</v>
      </c>
      <c r="O54" s="4">
        <f t="shared" si="1"/>
        <v>1188.891702</v>
      </c>
      <c r="P54" s="4">
        <f t="shared" si="2"/>
        <v>1409.253701</v>
      </c>
      <c r="Q54" s="4">
        <f t="shared" si="3"/>
        <v>1524.927029</v>
      </c>
      <c r="V54" s="4">
        <f t="shared" si="4"/>
        <v>336.8917018</v>
      </c>
      <c r="W54" s="4">
        <f t="shared" si="5"/>
        <v>557.2537009</v>
      </c>
      <c r="X54" s="4">
        <f t="shared" si="6"/>
        <v>672.9270293</v>
      </c>
    </row>
    <row r="55">
      <c r="A55" s="3">
        <v>40525.0</v>
      </c>
      <c r="B55" s="2">
        <v>434.0</v>
      </c>
      <c r="C55" s="2">
        <v>417.0</v>
      </c>
      <c r="D55" s="2">
        <v>417.0</v>
      </c>
      <c r="E55" s="2">
        <v>29.0</v>
      </c>
      <c r="F55" s="2">
        <v>638.0</v>
      </c>
      <c r="G55" s="2">
        <v>597.0</v>
      </c>
      <c r="H55" s="2">
        <v>589.0</v>
      </c>
      <c r="I55" s="2">
        <v>981.0</v>
      </c>
      <c r="J55" s="2">
        <v>107.0</v>
      </c>
      <c r="K55" s="2">
        <v>187.0</v>
      </c>
      <c r="L55" s="4">
        <f t="shared" si="7"/>
        <v>1280.666667</v>
      </c>
      <c r="M55" s="4">
        <f t="shared" si="8"/>
        <v>-863.6666667</v>
      </c>
      <c r="N55" s="4">
        <f t="shared" si="9"/>
        <v>863.6666667</v>
      </c>
      <c r="O55" s="4">
        <f t="shared" si="1"/>
        <v>1155.202532</v>
      </c>
      <c r="P55" s="4">
        <f t="shared" si="2"/>
        <v>1242.077591</v>
      </c>
      <c r="Q55" s="4">
        <f t="shared" si="3"/>
        <v>1188.463515</v>
      </c>
      <c r="V55" s="4">
        <f t="shared" si="4"/>
        <v>738.2025316</v>
      </c>
      <c r="W55" s="4">
        <f t="shared" si="5"/>
        <v>825.0775906</v>
      </c>
      <c r="X55" s="4">
        <f t="shared" si="6"/>
        <v>771.4635146</v>
      </c>
    </row>
    <row r="56">
      <c r="A56" s="3">
        <v>40532.0</v>
      </c>
      <c r="B56" s="2">
        <v>177.0</v>
      </c>
      <c r="C56" s="2">
        <v>180.0</v>
      </c>
      <c r="D56" s="2">
        <v>180.0</v>
      </c>
      <c r="E56" s="2">
        <v>23.0</v>
      </c>
      <c r="F56" s="2">
        <v>40.0</v>
      </c>
      <c r="G56" s="2">
        <v>125.0</v>
      </c>
      <c r="H56" s="2">
        <v>60.0</v>
      </c>
      <c r="I56" s="2">
        <v>252.0</v>
      </c>
      <c r="J56" s="2">
        <v>9.0</v>
      </c>
      <c r="K56" s="2">
        <v>44.0</v>
      </c>
      <c r="L56" s="4">
        <f t="shared" si="7"/>
        <v>1012</v>
      </c>
      <c r="M56" s="4">
        <f t="shared" si="8"/>
        <v>-832</v>
      </c>
      <c r="N56" s="4">
        <f t="shared" si="9"/>
        <v>832</v>
      </c>
      <c r="O56" s="4">
        <f t="shared" si="1"/>
        <v>1081.382278</v>
      </c>
      <c r="P56" s="4">
        <f t="shared" si="2"/>
        <v>994.5543134</v>
      </c>
      <c r="Q56" s="4">
        <f t="shared" si="3"/>
        <v>802.7317573</v>
      </c>
      <c r="V56" s="4">
        <f t="shared" si="4"/>
        <v>901.3822784</v>
      </c>
      <c r="W56" s="4">
        <f t="shared" si="5"/>
        <v>814.5543134</v>
      </c>
      <c r="X56" s="4">
        <f t="shared" si="6"/>
        <v>622.7317573</v>
      </c>
    </row>
    <row r="57">
      <c r="A57" s="3">
        <v>40539.0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f t="shared" si="7"/>
        <v>483</v>
      </c>
      <c r="M57" s="4">
        <f t="shared" si="8"/>
        <v>-483</v>
      </c>
      <c r="N57" s="4">
        <f t="shared" si="9"/>
        <v>483</v>
      </c>
      <c r="O57" s="4">
        <f t="shared" si="1"/>
        <v>991.2440506</v>
      </c>
      <c r="P57" s="4">
        <f t="shared" si="2"/>
        <v>750.1880194</v>
      </c>
      <c r="Q57" s="4">
        <f t="shared" si="3"/>
        <v>491.3658787</v>
      </c>
      <c r="V57" s="4">
        <f t="shared" si="4"/>
        <v>991.2440506</v>
      </c>
      <c r="W57" s="4">
        <f t="shared" si="5"/>
        <v>750.1880194</v>
      </c>
      <c r="X57" s="4">
        <f t="shared" si="6"/>
        <v>491.3658787</v>
      </c>
    </row>
    <row r="58">
      <c r="A58" s="3">
        <v>40546.0</v>
      </c>
      <c r="B58" s="2">
        <v>251.0</v>
      </c>
      <c r="C58" s="2">
        <v>1274.0</v>
      </c>
      <c r="D58" s="2">
        <v>1274.0</v>
      </c>
      <c r="E58" s="2">
        <v>145.0</v>
      </c>
      <c r="F58" s="2">
        <v>480.0</v>
      </c>
      <c r="G58" s="2">
        <v>16.0</v>
      </c>
      <c r="H58" s="2">
        <v>861.0</v>
      </c>
      <c r="I58" s="2">
        <v>797.0</v>
      </c>
      <c r="J58" s="2">
        <v>523.0</v>
      </c>
      <c r="K58" s="2">
        <v>362.0</v>
      </c>
      <c r="L58" s="4">
        <f t="shared" si="7"/>
        <v>199</v>
      </c>
      <c r="M58" s="4">
        <f t="shared" si="8"/>
        <v>1075</v>
      </c>
      <c r="N58" s="4">
        <f t="shared" si="9"/>
        <v>1075</v>
      </c>
      <c r="O58" s="4">
        <f t="shared" si="1"/>
        <v>892.1196455</v>
      </c>
      <c r="P58" s="4">
        <f t="shared" si="2"/>
        <v>525.1316136</v>
      </c>
      <c r="Q58" s="4">
        <f t="shared" si="3"/>
        <v>245.6829393</v>
      </c>
      <c r="V58" s="4">
        <f t="shared" si="4"/>
        <v>381.8803545</v>
      </c>
      <c r="W58" s="4">
        <f t="shared" si="5"/>
        <v>748.8683864</v>
      </c>
      <c r="X58" s="4">
        <f t="shared" si="6"/>
        <v>1028.317061</v>
      </c>
    </row>
    <row r="59">
      <c r="A59" s="3">
        <v>40553.0</v>
      </c>
      <c r="B59" s="2">
        <v>404.0</v>
      </c>
      <c r="C59" s="2">
        <v>225.0</v>
      </c>
      <c r="D59" s="2">
        <v>225.0</v>
      </c>
      <c r="E59" s="2">
        <v>85.0</v>
      </c>
      <c r="F59" s="2">
        <v>442.0</v>
      </c>
      <c r="G59" s="2">
        <v>6.0</v>
      </c>
      <c r="H59" s="2">
        <v>175.0</v>
      </c>
      <c r="I59" s="2">
        <v>344.0</v>
      </c>
      <c r="J59" s="2">
        <v>323.0</v>
      </c>
      <c r="K59" s="2">
        <v>642.0</v>
      </c>
      <c r="L59" s="4">
        <f t="shared" si="7"/>
        <v>484.6666667</v>
      </c>
      <c r="M59" s="4">
        <f t="shared" si="8"/>
        <v>-259.6666667</v>
      </c>
      <c r="N59" s="4">
        <f t="shared" si="9"/>
        <v>259.6666667</v>
      </c>
      <c r="O59" s="4">
        <f t="shared" si="1"/>
        <v>930.307681</v>
      </c>
      <c r="P59" s="4">
        <f t="shared" si="2"/>
        <v>749.7921295</v>
      </c>
      <c r="Q59" s="4">
        <f t="shared" si="3"/>
        <v>759.8414697</v>
      </c>
      <c r="V59" s="4">
        <f t="shared" si="4"/>
        <v>705.307681</v>
      </c>
      <c r="W59" s="4">
        <f t="shared" si="5"/>
        <v>524.7921295</v>
      </c>
      <c r="X59" s="4">
        <f t="shared" si="6"/>
        <v>534.8414697</v>
      </c>
    </row>
    <row r="60">
      <c r="A60" s="3">
        <v>40560.0</v>
      </c>
      <c r="B60" s="2">
        <v>138.0</v>
      </c>
      <c r="C60" s="2">
        <v>594.0</v>
      </c>
      <c r="D60" s="2">
        <v>594.0</v>
      </c>
      <c r="E60" s="2">
        <v>69.0</v>
      </c>
      <c r="F60" s="2">
        <v>139.0</v>
      </c>
      <c r="G60" s="2">
        <v>2.0</v>
      </c>
      <c r="H60" s="2">
        <v>165.0</v>
      </c>
      <c r="I60" s="2">
        <v>261.0</v>
      </c>
      <c r="J60" s="2">
        <v>73.0</v>
      </c>
      <c r="K60" s="2">
        <v>128.0</v>
      </c>
      <c r="L60" s="4">
        <f t="shared" si="7"/>
        <v>499.6666667</v>
      </c>
      <c r="M60" s="4">
        <f t="shared" si="8"/>
        <v>94.33333333</v>
      </c>
      <c r="N60" s="4">
        <f t="shared" si="9"/>
        <v>94.33333333</v>
      </c>
      <c r="O60" s="4">
        <f t="shared" si="1"/>
        <v>859.7769129</v>
      </c>
      <c r="P60" s="4">
        <f t="shared" si="2"/>
        <v>592.3544907</v>
      </c>
      <c r="Q60" s="4">
        <f t="shared" si="3"/>
        <v>492.4207348</v>
      </c>
      <c r="V60" s="4">
        <f t="shared" si="4"/>
        <v>265.7769129</v>
      </c>
      <c r="W60" s="4">
        <f t="shared" si="5"/>
        <v>1.645509344</v>
      </c>
      <c r="X60" s="4">
        <f t="shared" si="6"/>
        <v>101.5792652</v>
      </c>
    </row>
    <row r="61">
      <c r="A61" s="3">
        <v>40567.0</v>
      </c>
      <c r="B61" s="2">
        <v>228.0</v>
      </c>
      <c r="C61" s="2">
        <v>502.0</v>
      </c>
      <c r="D61" s="2">
        <v>502.0</v>
      </c>
      <c r="E61" s="2">
        <v>171.0</v>
      </c>
      <c r="F61" s="2">
        <v>344.0</v>
      </c>
      <c r="G61" s="2">
        <v>0.0</v>
      </c>
      <c r="H61" s="2">
        <v>105.0</v>
      </c>
      <c r="I61" s="2">
        <v>351.0</v>
      </c>
      <c r="J61" s="2">
        <v>199.0</v>
      </c>
      <c r="K61" s="2">
        <v>171.0</v>
      </c>
      <c r="L61" s="4">
        <f t="shared" si="7"/>
        <v>697.6666667</v>
      </c>
      <c r="M61" s="4">
        <f t="shared" si="8"/>
        <v>-195.6666667</v>
      </c>
      <c r="N61" s="4">
        <f t="shared" si="9"/>
        <v>195.6666667</v>
      </c>
      <c r="O61" s="4">
        <f t="shared" si="1"/>
        <v>833.1992216</v>
      </c>
      <c r="P61" s="4">
        <f t="shared" si="2"/>
        <v>592.8481435</v>
      </c>
      <c r="Q61" s="4">
        <f t="shared" si="3"/>
        <v>543.2103674</v>
      </c>
      <c r="V61" s="4">
        <f t="shared" si="4"/>
        <v>331.1992216</v>
      </c>
      <c r="W61" s="4">
        <f t="shared" si="5"/>
        <v>90.84814346</v>
      </c>
      <c r="X61" s="4">
        <f t="shared" si="6"/>
        <v>41.21036742</v>
      </c>
    </row>
    <row r="62">
      <c r="A62" s="3">
        <v>40574.0</v>
      </c>
      <c r="B62" s="2">
        <v>149.0</v>
      </c>
      <c r="C62" s="2">
        <v>965.0</v>
      </c>
      <c r="D62" s="2">
        <v>965.0</v>
      </c>
      <c r="E62" s="2">
        <v>232.0</v>
      </c>
      <c r="F62" s="2">
        <v>937.0</v>
      </c>
      <c r="G62" s="2">
        <v>0.0</v>
      </c>
      <c r="H62" s="2">
        <v>99.0</v>
      </c>
      <c r="I62" s="2">
        <v>107.0</v>
      </c>
      <c r="J62" s="2">
        <v>225.0</v>
      </c>
      <c r="K62" s="2">
        <v>417.0</v>
      </c>
      <c r="L62" s="4">
        <f t="shared" si="7"/>
        <v>440.3333333</v>
      </c>
      <c r="M62" s="4">
        <f t="shared" si="8"/>
        <v>524.6666667</v>
      </c>
      <c r="N62" s="4">
        <f t="shared" si="9"/>
        <v>524.6666667</v>
      </c>
      <c r="O62" s="4">
        <f t="shared" si="1"/>
        <v>800.0792994</v>
      </c>
      <c r="P62" s="4">
        <f t="shared" si="2"/>
        <v>565.5937004</v>
      </c>
      <c r="Q62" s="4">
        <f t="shared" si="3"/>
        <v>522.6051837</v>
      </c>
      <c r="V62" s="4">
        <f t="shared" si="4"/>
        <v>164.9207006</v>
      </c>
      <c r="W62" s="4">
        <f t="shared" si="5"/>
        <v>399.4062996</v>
      </c>
      <c r="X62" s="4">
        <f t="shared" si="6"/>
        <v>442.3948163</v>
      </c>
    </row>
    <row r="63">
      <c r="A63" s="3">
        <v>40581.0</v>
      </c>
      <c r="B63" s="2">
        <v>137.0</v>
      </c>
      <c r="C63" s="2">
        <v>288.0</v>
      </c>
      <c r="D63" s="2">
        <v>288.0</v>
      </c>
      <c r="E63" s="2">
        <v>291.0</v>
      </c>
      <c r="F63" s="2">
        <v>160.0</v>
      </c>
      <c r="G63" s="2">
        <v>0.0</v>
      </c>
      <c r="H63" s="2">
        <v>192.0</v>
      </c>
      <c r="I63" s="2">
        <v>239.0</v>
      </c>
      <c r="J63" s="2">
        <v>95.0</v>
      </c>
      <c r="K63" s="2">
        <v>255.0</v>
      </c>
      <c r="L63" s="4">
        <f t="shared" si="7"/>
        <v>687</v>
      </c>
      <c r="M63" s="4">
        <f t="shared" si="8"/>
        <v>-399</v>
      </c>
      <c r="N63" s="4">
        <f t="shared" si="9"/>
        <v>399</v>
      </c>
      <c r="O63" s="4">
        <f t="shared" si="1"/>
        <v>816.5713695</v>
      </c>
      <c r="P63" s="4">
        <f t="shared" si="2"/>
        <v>685.4155903</v>
      </c>
      <c r="Q63" s="4">
        <f t="shared" si="3"/>
        <v>743.8025919</v>
      </c>
      <c r="V63" s="4">
        <f t="shared" si="4"/>
        <v>528.5713695</v>
      </c>
      <c r="W63" s="4">
        <f t="shared" si="5"/>
        <v>397.4155903</v>
      </c>
      <c r="X63" s="4">
        <f t="shared" si="6"/>
        <v>455.8025919</v>
      </c>
    </row>
    <row r="64">
      <c r="A64" s="3">
        <v>40588.0</v>
      </c>
      <c r="B64" s="2">
        <v>399.0</v>
      </c>
      <c r="C64" s="2">
        <v>985.0</v>
      </c>
      <c r="D64" s="2">
        <v>985.0</v>
      </c>
      <c r="E64" s="2">
        <v>189.0</v>
      </c>
      <c r="F64" s="2">
        <v>588.0</v>
      </c>
      <c r="G64" s="2">
        <v>2.0</v>
      </c>
      <c r="H64" s="2">
        <v>305.0</v>
      </c>
      <c r="I64" s="2">
        <v>1040.0</v>
      </c>
      <c r="J64" s="2">
        <v>409.0</v>
      </c>
      <c r="K64" s="2">
        <v>291.0</v>
      </c>
      <c r="L64" s="4">
        <f t="shared" si="7"/>
        <v>585</v>
      </c>
      <c r="M64" s="4">
        <f t="shared" si="8"/>
        <v>400</v>
      </c>
      <c r="N64" s="4">
        <f t="shared" si="9"/>
        <v>400</v>
      </c>
      <c r="O64" s="4">
        <f t="shared" si="1"/>
        <v>763.7142325</v>
      </c>
      <c r="P64" s="4">
        <f t="shared" si="2"/>
        <v>566.1909132</v>
      </c>
      <c r="Q64" s="4">
        <f t="shared" si="3"/>
        <v>515.9012959</v>
      </c>
      <c r="V64" s="4">
        <f t="shared" si="4"/>
        <v>221.2857675</v>
      </c>
      <c r="W64" s="4">
        <f t="shared" si="5"/>
        <v>418.8090868</v>
      </c>
      <c r="X64" s="4">
        <f t="shared" si="6"/>
        <v>469.0987041</v>
      </c>
    </row>
    <row r="65">
      <c r="A65" s="3">
        <v>40595.0</v>
      </c>
      <c r="B65" s="2">
        <v>203.0</v>
      </c>
      <c r="C65" s="2">
        <v>810.0</v>
      </c>
      <c r="D65" s="2">
        <v>810.0</v>
      </c>
      <c r="E65" s="2">
        <v>157.0</v>
      </c>
      <c r="F65" s="2">
        <v>328.0</v>
      </c>
      <c r="G65" s="2">
        <v>2.0</v>
      </c>
      <c r="H65" s="2">
        <v>75.0</v>
      </c>
      <c r="I65" s="2">
        <v>1312.0</v>
      </c>
      <c r="J65" s="2">
        <v>260.0</v>
      </c>
      <c r="K65" s="2">
        <v>369.0</v>
      </c>
      <c r="L65" s="4">
        <f t="shared" si="7"/>
        <v>746</v>
      </c>
      <c r="M65" s="4">
        <f t="shared" si="8"/>
        <v>64</v>
      </c>
      <c r="N65" s="4">
        <f t="shared" si="9"/>
        <v>64</v>
      </c>
      <c r="O65" s="4">
        <f t="shared" si="1"/>
        <v>785.8428093</v>
      </c>
      <c r="P65" s="4">
        <f t="shared" si="2"/>
        <v>691.8336392</v>
      </c>
      <c r="Q65" s="4">
        <f t="shared" si="3"/>
        <v>750.450648</v>
      </c>
      <c r="V65" s="4">
        <f t="shared" si="4"/>
        <v>24.15719072</v>
      </c>
      <c r="W65" s="4">
        <f t="shared" si="5"/>
        <v>118.1663608</v>
      </c>
      <c r="X65" s="4">
        <f t="shared" si="6"/>
        <v>59.54935204</v>
      </c>
    </row>
    <row r="66">
      <c r="A66" s="3">
        <v>40602.0</v>
      </c>
      <c r="B66" s="2">
        <v>348.0</v>
      </c>
      <c r="C66" s="2">
        <v>624.0</v>
      </c>
      <c r="D66" s="2">
        <v>624.0</v>
      </c>
      <c r="E66" s="2">
        <v>255.0</v>
      </c>
      <c r="F66" s="2">
        <v>213.0</v>
      </c>
      <c r="G66" s="2">
        <v>45.0</v>
      </c>
      <c r="H66" s="2">
        <v>39.0</v>
      </c>
      <c r="I66" s="2">
        <v>370.0</v>
      </c>
      <c r="J66" s="2">
        <v>174.0</v>
      </c>
      <c r="K66" s="2">
        <v>175.0</v>
      </c>
      <c r="L66" s="4">
        <f t="shared" si="7"/>
        <v>694.3333333</v>
      </c>
      <c r="M66" s="4">
        <f t="shared" si="8"/>
        <v>-70.33333333</v>
      </c>
      <c r="N66" s="4">
        <f t="shared" si="9"/>
        <v>70.33333333</v>
      </c>
      <c r="O66" s="4">
        <f t="shared" si="1"/>
        <v>788.2585284</v>
      </c>
      <c r="P66" s="4">
        <f t="shared" si="2"/>
        <v>727.2835475</v>
      </c>
      <c r="Q66" s="4">
        <f t="shared" si="3"/>
        <v>780.225324</v>
      </c>
      <c r="V66" s="4">
        <f t="shared" si="4"/>
        <v>164.2585284</v>
      </c>
      <c r="W66" s="4">
        <f t="shared" si="5"/>
        <v>103.2835475</v>
      </c>
      <c r="X66" s="4">
        <f t="shared" si="6"/>
        <v>156.225324</v>
      </c>
    </row>
    <row r="67">
      <c r="A67" s="3">
        <v>40609.0</v>
      </c>
      <c r="B67" s="2">
        <v>190.0</v>
      </c>
      <c r="C67" s="2">
        <v>738.0</v>
      </c>
      <c r="D67" s="2">
        <v>738.0</v>
      </c>
      <c r="E67" s="2">
        <v>205.0</v>
      </c>
      <c r="F67" s="2">
        <v>642.0</v>
      </c>
      <c r="G67" s="2">
        <v>1.0</v>
      </c>
      <c r="H67" s="2">
        <v>270.0</v>
      </c>
      <c r="I67" s="2">
        <v>779.0</v>
      </c>
      <c r="J67" s="2">
        <v>374.0</v>
      </c>
      <c r="K67" s="2">
        <v>148.0</v>
      </c>
      <c r="L67" s="4">
        <f t="shared" si="7"/>
        <v>806.3333333</v>
      </c>
      <c r="M67" s="4">
        <f t="shared" si="8"/>
        <v>-68.33333333</v>
      </c>
      <c r="N67" s="4">
        <f t="shared" si="9"/>
        <v>68.33333333</v>
      </c>
      <c r="O67" s="4">
        <f t="shared" si="1"/>
        <v>771.8326755</v>
      </c>
      <c r="P67" s="4">
        <f t="shared" si="2"/>
        <v>696.2984832</v>
      </c>
      <c r="Q67" s="4">
        <f t="shared" si="3"/>
        <v>702.112662</v>
      </c>
      <c r="V67" s="4">
        <f t="shared" si="4"/>
        <v>33.83267552</v>
      </c>
      <c r="W67" s="4">
        <f t="shared" si="5"/>
        <v>41.70151677</v>
      </c>
      <c r="X67" s="4">
        <f t="shared" si="6"/>
        <v>35.88733801</v>
      </c>
    </row>
    <row r="68">
      <c r="A68" s="3">
        <v>40616.0</v>
      </c>
      <c r="B68" s="2">
        <v>308.0</v>
      </c>
      <c r="C68" s="2">
        <v>1546.0</v>
      </c>
      <c r="D68" s="2">
        <v>1546.0</v>
      </c>
      <c r="E68" s="2">
        <v>606.0</v>
      </c>
      <c r="F68" s="2">
        <v>963.0</v>
      </c>
      <c r="G68" s="2">
        <v>0.0</v>
      </c>
      <c r="H68" s="2">
        <v>108.0</v>
      </c>
      <c r="I68" s="2">
        <v>583.0</v>
      </c>
      <c r="J68" s="2">
        <v>1083.0</v>
      </c>
      <c r="K68" s="2">
        <v>278.0</v>
      </c>
      <c r="L68" s="4">
        <f t="shared" si="7"/>
        <v>724</v>
      </c>
      <c r="M68" s="4">
        <f t="shared" si="8"/>
        <v>822</v>
      </c>
      <c r="N68" s="4">
        <f t="shared" si="9"/>
        <v>822</v>
      </c>
      <c r="O68" s="4">
        <f t="shared" si="1"/>
        <v>768.449408</v>
      </c>
      <c r="P68" s="4">
        <f t="shared" si="2"/>
        <v>708.8089383</v>
      </c>
      <c r="Q68" s="4">
        <f t="shared" si="3"/>
        <v>720.056331</v>
      </c>
      <c r="V68" s="4">
        <f t="shared" si="4"/>
        <v>777.550592</v>
      </c>
      <c r="W68" s="4">
        <f t="shared" si="5"/>
        <v>837.1910617</v>
      </c>
      <c r="X68" s="4">
        <f t="shared" si="6"/>
        <v>825.943669</v>
      </c>
    </row>
    <row r="69">
      <c r="A69" s="3">
        <v>40623.0</v>
      </c>
      <c r="B69" s="2">
        <v>327.0</v>
      </c>
      <c r="C69" s="2">
        <v>1379.0</v>
      </c>
      <c r="D69" s="2">
        <v>1379.0</v>
      </c>
      <c r="E69" s="2">
        <v>325.0</v>
      </c>
      <c r="F69" s="2">
        <v>391.0</v>
      </c>
      <c r="G69" s="2">
        <v>42.0</v>
      </c>
      <c r="H69" s="2">
        <v>22.0</v>
      </c>
      <c r="I69" s="2">
        <v>237.0</v>
      </c>
      <c r="J69" s="2">
        <v>586.0</v>
      </c>
      <c r="K69" s="2">
        <v>379.0</v>
      </c>
      <c r="L69" s="4">
        <f t="shared" si="7"/>
        <v>969.3333333</v>
      </c>
      <c r="M69" s="4">
        <f t="shared" si="8"/>
        <v>409.6666667</v>
      </c>
      <c r="N69" s="4">
        <f t="shared" si="9"/>
        <v>409.6666667</v>
      </c>
      <c r="O69" s="4">
        <f t="shared" si="1"/>
        <v>846.2044672</v>
      </c>
      <c r="P69" s="4">
        <f t="shared" si="2"/>
        <v>959.9662568</v>
      </c>
      <c r="Q69" s="4">
        <f t="shared" si="3"/>
        <v>1133.028165</v>
      </c>
      <c r="V69" s="4">
        <f t="shared" si="4"/>
        <v>532.7955328</v>
      </c>
      <c r="W69" s="4">
        <f t="shared" si="5"/>
        <v>419.0337432</v>
      </c>
      <c r="X69" s="4">
        <f t="shared" si="6"/>
        <v>245.9718345</v>
      </c>
    </row>
    <row r="70">
      <c r="A70" s="3">
        <v>40630.0</v>
      </c>
      <c r="B70" s="2">
        <v>282.0</v>
      </c>
      <c r="C70" s="2">
        <v>1103.0</v>
      </c>
      <c r="D70" s="2">
        <v>1103.0</v>
      </c>
      <c r="E70" s="2">
        <v>368.0</v>
      </c>
      <c r="F70" s="2">
        <v>585.0</v>
      </c>
      <c r="G70" s="2">
        <v>3.0</v>
      </c>
      <c r="H70" s="2">
        <v>85.0</v>
      </c>
      <c r="I70" s="2">
        <v>1030.0</v>
      </c>
      <c r="J70" s="2">
        <v>665.0</v>
      </c>
      <c r="K70" s="2">
        <v>587.0</v>
      </c>
      <c r="L70" s="4">
        <f t="shared" si="7"/>
        <v>1221</v>
      </c>
      <c r="M70" s="4">
        <f t="shared" si="8"/>
        <v>-118</v>
      </c>
      <c r="N70" s="4">
        <f t="shared" si="9"/>
        <v>118</v>
      </c>
      <c r="O70" s="4">
        <f t="shared" si="1"/>
        <v>899.4840205</v>
      </c>
      <c r="P70" s="4">
        <f t="shared" si="2"/>
        <v>1085.67638</v>
      </c>
      <c r="Q70" s="4">
        <f t="shared" si="3"/>
        <v>1256.014083</v>
      </c>
      <c r="V70" s="4">
        <f t="shared" si="4"/>
        <v>203.5159795</v>
      </c>
      <c r="W70" s="4">
        <f t="shared" si="5"/>
        <v>17.32362025</v>
      </c>
      <c r="X70" s="4">
        <f t="shared" si="6"/>
        <v>153.0140827</v>
      </c>
    </row>
    <row r="71">
      <c r="A71" s="3">
        <v>40637.0</v>
      </c>
      <c r="B71" s="2">
        <v>274.0</v>
      </c>
      <c r="C71" s="2">
        <v>975.0</v>
      </c>
      <c r="D71" s="2">
        <v>975.0</v>
      </c>
      <c r="E71" s="2">
        <v>460.0</v>
      </c>
      <c r="F71" s="2">
        <v>753.0</v>
      </c>
      <c r="G71" s="2">
        <v>9.0</v>
      </c>
      <c r="H71" s="2">
        <v>14.0</v>
      </c>
      <c r="I71" s="2">
        <v>564.0</v>
      </c>
      <c r="J71" s="2">
        <v>125.0</v>
      </c>
      <c r="K71" s="2">
        <v>247.0</v>
      </c>
      <c r="L71" s="4">
        <f t="shared" si="7"/>
        <v>1342.666667</v>
      </c>
      <c r="M71" s="4">
        <f t="shared" si="8"/>
        <v>-367.6666667</v>
      </c>
      <c r="N71" s="4">
        <f t="shared" si="9"/>
        <v>367.6666667</v>
      </c>
      <c r="O71" s="4">
        <f t="shared" si="1"/>
        <v>919.8356184</v>
      </c>
      <c r="P71" s="4">
        <f t="shared" si="2"/>
        <v>1090.873466</v>
      </c>
      <c r="Q71" s="4">
        <f t="shared" si="3"/>
        <v>1179.507041</v>
      </c>
      <c r="V71" s="4">
        <f t="shared" si="4"/>
        <v>55.16438159</v>
      </c>
      <c r="W71" s="4">
        <f t="shared" si="5"/>
        <v>115.8734658</v>
      </c>
      <c r="X71" s="4">
        <f t="shared" si="6"/>
        <v>204.5070414</v>
      </c>
    </row>
    <row r="72">
      <c r="A72" s="3">
        <v>40644.0</v>
      </c>
      <c r="B72" s="2">
        <v>362.0</v>
      </c>
      <c r="C72" s="2">
        <v>616.0</v>
      </c>
      <c r="D72" s="2">
        <v>616.0</v>
      </c>
      <c r="E72" s="2">
        <v>542.0</v>
      </c>
      <c r="F72" s="2">
        <v>815.0</v>
      </c>
      <c r="G72" s="2">
        <v>0.0</v>
      </c>
      <c r="H72" s="2">
        <v>5.0</v>
      </c>
      <c r="I72" s="2">
        <v>784.0</v>
      </c>
      <c r="J72" s="2">
        <v>119.0</v>
      </c>
      <c r="K72" s="2">
        <v>305.0</v>
      </c>
      <c r="L72" s="4">
        <f t="shared" si="7"/>
        <v>1152.333333</v>
      </c>
      <c r="M72" s="4">
        <f t="shared" si="8"/>
        <v>-536.3333333</v>
      </c>
      <c r="N72" s="4">
        <f t="shared" si="9"/>
        <v>536.3333333</v>
      </c>
      <c r="O72" s="4">
        <f t="shared" si="1"/>
        <v>925.3520566</v>
      </c>
      <c r="P72" s="4">
        <f t="shared" si="2"/>
        <v>1056.111426</v>
      </c>
      <c r="Q72" s="4">
        <f t="shared" si="3"/>
        <v>1077.253521</v>
      </c>
      <c r="V72" s="4">
        <f t="shared" si="4"/>
        <v>309.3520566</v>
      </c>
      <c r="W72" s="4">
        <f t="shared" si="5"/>
        <v>440.1114261</v>
      </c>
      <c r="X72" s="4">
        <f t="shared" si="6"/>
        <v>461.2535207</v>
      </c>
    </row>
    <row r="73">
      <c r="A73" s="3">
        <v>40651.0</v>
      </c>
      <c r="B73" s="2">
        <v>186.0</v>
      </c>
      <c r="C73" s="2">
        <v>549.0</v>
      </c>
      <c r="D73" s="2">
        <v>549.0</v>
      </c>
      <c r="E73" s="2">
        <v>548.0</v>
      </c>
      <c r="F73" s="2">
        <v>612.0</v>
      </c>
      <c r="G73" s="2">
        <v>1.0</v>
      </c>
      <c r="H73" s="2">
        <v>4.0</v>
      </c>
      <c r="I73" s="2">
        <v>232.0</v>
      </c>
      <c r="J73" s="2">
        <v>155.0</v>
      </c>
      <c r="K73" s="2">
        <v>368.0</v>
      </c>
      <c r="L73" s="4">
        <f t="shared" si="7"/>
        <v>898</v>
      </c>
      <c r="M73" s="4">
        <f t="shared" si="8"/>
        <v>-349</v>
      </c>
      <c r="N73" s="4">
        <f t="shared" si="9"/>
        <v>349</v>
      </c>
      <c r="O73" s="4">
        <f t="shared" si="1"/>
        <v>894.4168509</v>
      </c>
      <c r="P73" s="4">
        <f t="shared" si="2"/>
        <v>924.0779983</v>
      </c>
      <c r="Q73" s="4">
        <f t="shared" si="3"/>
        <v>846.6267603</v>
      </c>
      <c r="V73" s="4">
        <f t="shared" si="4"/>
        <v>345.4168509</v>
      </c>
      <c r="W73" s="4">
        <f t="shared" si="5"/>
        <v>375.0779983</v>
      </c>
      <c r="X73" s="4">
        <f t="shared" si="6"/>
        <v>297.6267603</v>
      </c>
    </row>
    <row r="74">
      <c r="A74" s="3">
        <v>40658.0</v>
      </c>
      <c r="B74" s="2">
        <v>175.0</v>
      </c>
      <c r="C74" s="2">
        <v>385.0</v>
      </c>
      <c r="D74" s="2">
        <v>385.0</v>
      </c>
      <c r="E74" s="2">
        <v>276.0</v>
      </c>
      <c r="F74" s="2">
        <v>264.0</v>
      </c>
      <c r="G74" s="2">
        <v>0.0</v>
      </c>
      <c r="H74" s="2">
        <v>5.0</v>
      </c>
      <c r="I74" s="2">
        <v>310.0</v>
      </c>
      <c r="J74" s="2">
        <v>282.0</v>
      </c>
      <c r="K74" s="2">
        <v>164.0</v>
      </c>
      <c r="L74" s="4">
        <f t="shared" si="7"/>
        <v>713.3333333</v>
      </c>
      <c r="M74" s="4">
        <f t="shared" si="8"/>
        <v>-328.3333333</v>
      </c>
      <c r="N74" s="4">
        <f t="shared" si="9"/>
        <v>328.3333333</v>
      </c>
      <c r="O74" s="4">
        <f t="shared" si="1"/>
        <v>859.8751658</v>
      </c>
      <c r="P74" s="4">
        <f t="shared" si="2"/>
        <v>811.5545988</v>
      </c>
      <c r="Q74" s="4">
        <f t="shared" si="3"/>
        <v>697.8133802</v>
      </c>
      <c r="V74" s="4">
        <f t="shared" si="4"/>
        <v>474.8751658</v>
      </c>
      <c r="W74" s="4">
        <f t="shared" si="5"/>
        <v>426.5545988</v>
      </c>
      <c r="X74" s="4">
        <f t="shared" si="6"/>
        <v>312.8133802</v>
      </c>
    </row>
    <row r="75">
      <c r="A75" s="3">
        <v>40665.0</v>
      </c>
      <c r="B75" s="2">
        <v>171.0</v>
      </c>
      <c r="C75" s="2">
        <v>380.0</v>
      </c>
      <c r="D75" s="2">
        <v>380.0</v>
      </c>
      <c r="E75" s="2">
        <v>984.0</v>
      </c>
      <c r="F75" s="2">
        <v>594.0</v>
      </c>
      <c r="G75" s="2">
        <v>4.0</v>
      </c>
      <c r="H75" s="2">
        <v>109.0</v>
      </c>
      <c r="I75" s="2">
        <v>372.0</v>
      </c>
      <c r="J75" s="2">
        <v>154.0</v>
      </c>
      <c r="K75" s="2">
        <v>289.0</v>
      </c>
      <c r="L75" s="4">
        <f t="shared" si="7"/>
        <v>516.6666667</v>
      </c>
      <c r="M75" s="4">
        <f t="shared" si="8"/>
        <v>-136.6666667</v>
      </c>
      <c r="N75" s="4">
        <f t="shared" si="9"/>
        <v>136.6666667</v>
      </c>
      <c r="O75" s="4">
        <f t="shared" si="1"/>
        <v>812.3876492</v>
      </c>
      <c r="P75" s="4">
        <f t="shared" si="2"/>
        <v>683.5882191</v>
      </c>
      <c r="Q75" s="4">
        <f t="shared" si="3"/>
        <v>541.4066901</v>
      </c>
      <c r="V75" s="4">
        <f t="shared" si="4"/>
        <v>432.3876492</v>
      </c>
      <c r="W75" s="4">
        <f t="shared" si="5"/>
        <v>303.5882191</v>
      </c>
      <c r="X75" s="4">
        <f t="shared" si="6"/>
        <v>161.4066901</v>
      </c>
    </row>
    <row r="76">
      <c r="A76" s="3">
        <v>40672.0</v>
      </c>
      <c r="B76" s="2">
        <v>366.0</v>
      </c>
      <c r="C76" s="2">
        <v>1206.0</v>
      </c>
      <c r="D76" s="2">
        <v>1206.0</v>
      </c>
      <c r="E76" s="2">
        <v>752.0</v>
      </c>
      <c r="F76" s="2">
        <v>1201.0</v>
      </c>
      <c r="G76" s="2">
        <v>13.0</v>
      </c>
      <c r="H76" s="2">
        <v>187.0</v>
      </c>
      <c r="I76" s="2">
        <v>381.0</v>
      </c>
      <c r="J76" s="2">
        <v>401.0</v>
      </c>
      <c r="K76" s="2">
        <v>885.0</v>
      </c>
      <c r="L76" s="4">
        <f t="shared" si="7"/>
        <v>438</v>
      </c>
      <c r="M76" s="4">
        <f t="shared" si="8"/>
        <v>768</v>
      </c>
      <c r="N76" s="4">
        <f t="shared" si="9"/>
        <v>768</v>
      </c>
      <c r="O76" s="4">
        <f t="shared" si="1"/>
        <v>769.1488843</v>
      </c>
      <c r="P76" s="4">
        <f t="shared" si="2"/>
        <v>592.5117534</v>
      </c>
      <c r="Q76" s="4">
        <f t="shared" si="3"/>
        <v>460.703345</v>
      </c>
      <c r="V76" s="4">
        <f t="shared" si="4"/>
        <v>436.8511157</v>
      </c>
      <c r="W76" s="4">
        <f t="shared" si="5"/>
        <v>613.4882466</v>
      </c>
      <c r="X76" s="4">
        <f t="shared" si="6"/>
        <v>745.296655</v>
      </c>
    </row>
    <row r="77">
      <c r="A77" s="3">
        <v>40679.0</v>
      </c>
      <c r="B77" s="2">
        <v>305.0</v>
      </c>
      <c r="C77" s="2">
        <v>978.0</v>
      </c>
      <c r="D77" s="2">
        <v>978.0</v>
      </c>
      <c r="E77" s="2">
        <v>754.0</v>
      </c>
      <c r="F77" s="2">
        <v>595.0</v>
      </c>
      <c r="G77" s="2">
        <v>0.0</v>
      </c>
      <c r="H77" s="2">
        <v>44.0</v>
      </c>
      <c r="I77" s="2">
        <v>1300.0</v>
      </c>
      <c r="J77" s="2">
        <v>169.0</v>
      </c>
      <c r="K77" s="2">
        <v>445.0</v>
      </c>
      <c r="L77" s="4">
        <f t="shared" si="7"/>
        <v>657</v>
      </c>
      <c r="M77" s="4">
        <f t="shared" si="8"/>
        <v>321</v>
      </c>
      <c r="N77" s="4">
        <f t="shared" si="9"/>
        <v>321</v>
      </c>
      <c r="O77" s="4">
        <f t="shared" si="1"/>
        <v>812.8339959</v>
      </c>
      <c r="P77" s="4">
        <f t="shared" si="2"/>
        <v>776.5582274</v>
      </c>
      <c r="Q77" s="4">
        <f t="shared" si="3"/>
        <v>833.3516725</v>
      </c>
      <c r="V77" s="4">
        <f t="shared" si="4"/>
        <v>165.1660041</v>
      </c>
      <c r="W77" s="4">
        <f t="shared" si="5"/>
        <v>201.4417726</v>
      </c>
      <c r="X77" s="4">
        <f t="shared" si="6"/>
        <v>144.6483275</v>
      </c>
    </row>
    <row r="78">
      <c r="A78" s="3">
        <v>40686.0</v>
      </c>
      <c r="B78" s="2">
        <v>169.0</v>
      </c>
      <c r="C78" s="2">
        <v>933.0</v>
      </c>
      <c r="D78" s="2">
        <v>933.0</v>
      </c>
      <c r="E78" s="2">
        <v>839.0</v>
      </c>
      <c r="F78" s="2">
        <v>565.0</v>
      </c>
      <c r="G78" s="2">
        <v>0.0</v>
      </c>
      <c r="H78" s="2">
        <v>72.0</v>
      </c>
      <c r="I78" s="2">
        <v>4562.0</v>
      </c>
      <c r="J78" s="2">
        <v>558.0</v>
      </c>
      <c r="K78" s="2">
        <v>684.0</v>
      </c>
      <c r="L78" s="4">
        <f t="shared" si="7"/>
        <v>854.6666667</v>
      </c>
      <c r="M78" s="4">
        <f t="shared" si="8"/>
        <v>78.33333333</v>
      </c>
      <c r="N78" s="4">
        <f t="shared" si="9"/>
        <v>78.33333333</v>
      </c>
      <c r="O78" s="4">
        <f t="shared" si="1"/>
        <v>829.3505963</v>
      </c>
      <c r="P78" s="4">
        <f t="shared" si="2"/>
        <v>836.9907592</v>
      </c>
      <c r="Q78" s="4">
        <f t="shared" si="3"/>
        <v>905.6758363</v>
      </c>
      <c r="V78" s="4">
        <f t="shared" si="4"/>
        <v>103.6494037</v>
      </c>
      <c r="W78" s="4">
        <f t="shared" si="5"/>
        <v>96.00924083</v>
      </c>
      <c r="X78" s="4">
        <f t="shared" si="6"/>
        <v>27.32416374</v>
      </c>
    </row>
    <row r="79">
      <c r="A79" s="3">
        <v>40693.0</v>
      </c>
      <c r="B79" s="2">
        <v>263.0</v>
      </c>
      <c r="C79" s="2">
        <v>273.0</v>
      </c>
      <c r="D79" s="2">
        <v>273.0</v>
      </c>
      <c r="E79" s="2">
        <v>434.0</v>
      </c>
      <c r="F79" s="2">
        <v>384.0</v>
      </c>
      <c r="G79" s="2">
        <v>0.0</v>
      </c>
      <c r="H79" s="2">
        <v>27.0</v>
      </c>
      <c r="I79" s="2">
        <v>533.0</v>
      </c>
      <c r="J79" s="2">
        <v>410.0</v>
      </c>
      <c r="K79" s="2">
        <v>184.0</v>
      </c>
      <c r="L79" s="4">
        <f t="shared" si="7"/>
        <v>1039</v>
      </c>
      <c r="M79" s="4">
        <f t="shared" si="8"/>
        <v>-766</v>
      </c>
      <c r="N79" s="4">
        <f t="shared" si="9"/>
        <v>766</v>
      </c>
      <c r="O79" s="4">
        <f t="shared" si="1"/>
        <v>839.7155367</v>
      </c>
      <c r="P79" s="4">
        <f t="shared" si="2"/>
        <v>865.7935314</v>
      </c>
      <c r="Q79" s="4">
        <f t="shared" si="3"/>
        <v>919.3379181</v>
      </c>
      <c r="V79" s="4">
        <f t="shared" si="4"/>
        <v>566.7155367</v>
      </c>
      <c r="W79" s="4">
        <f t="shared" si="5"/>
        <v>592.7935314</v>
      </c>
      <c r="X79" s="4">
        <f t="shared" si="6"/>
        <v>646.3379181</v>
      </c>
    </row>
    <row r="80">
      <c r="A80" s="3">
        <v>40700.0</v>
      </c>
      <c r="B80" s="2">
        <v>207.0</v>
      </c>
      <c r="C80" s="2">
        <v>883.0</v>
      </c>
      <c r="D80" s="2">
        <v>883.0</v>
      </c>
      <c r="E80" s="2">
        <v>651.0</v>
      </c>
      <c r="F80" s="2">
        <v>292.0</v>
      </c>
      <c r="G80" s="2">
        <v>2.0</v>
      </c>
      <c r="H80" s="2">
        <v>91.0</v>
      </c>
      <c r="I80" s="2">
        <v>410.0</v>
      </c>
      <c r="J80" s="2">
        <v>478.0</v>
      </c>
      <c r="K80" s="2">
        <v>585.0</v>
      </c>
      <c r="L80" s="4">
        <f t="shared" si="7"/>
        <v>728</v>
      </c>
      <c r="M80" s="4">
        <f t="shared" si="8"/>
        <v>155</v>
      </c>
      <c r="N80" s="4">
        <f t="shared" si="9"/>
        <v>155</v>
      </c>
      <c r="O80" s="4">
        <f t="shared" si="1"/>
        <v>783.043983</v>
      </c>
      <c r="P80" s="4">
        <f t="shared" si="2"/>
        <v>687.955472</v>
      </c>
      <c r="Q80" s="4">
        <f t="shared" si="3"/>
        <v>596.1689591</v>
      </c>
      <c r="V80" s="4">
        <f t="shared" si="4"/>
        <v>99.956017</v>
      </c>
      <c r="W80" s="4">
        <f t="shared" si="5"/>
        <v>195.044528</v>
      </c>
      <c r="X80" s="4">
        <f t="shared" si="6"/>
        <v>286.8310409</v>
      </c>
    </row>
    <row r="81">
      <c r="A81" s="3">
        <v>40707.0</v>
      </c>
      <c r="B81" s="2">
        <v>173.0</v>
      </c>
      <c r="C81" s="2">
        <v>959.0</v>
      </c>
      <c r="D81" s="2">
        <v>959.0</v>
      </c>
      <c r="E81" s="2">
        <v>507.0</v>
      </c>
      <c r="F81" s="2">
        <v>446.0</v>
      </c>
      <c r="G81" s="2">
        <v>1.0</v>
      </c>
      <c r="H81" s="2">
        <v>113.0</v>
      </c>
      <c r="I81" s="2">
        <v>437.0</v>
      </c>
      <c r="J81" s="2">
        <v>243.0</v>
      </c>
      <c r="K81" s="2">
        <v>448.0</v>
      </c>
      <c r="L81" s="4">
        <f t="shared" si="7"/>
        <v>696.3333333</v>
      </c>
      <c r="M81" s="4">
        <f t="shared" si="8"/>
        <v>262.6666667</v>
      </c>
      <c r="N81" s="4">
        <f t="shared" si="9"/>
        <v>262.6666667</v>
      </c>
      <c r="O81" s="4">
        <f t="shared" si="1"/>
        <v>793.0395847</v>
      </c>
      <c r="P81" s="4">
        <f t="shared" si="2"/>
        <v>746.4688304</v>
      </c>
      <c r="Q81" s="4">
        <f t="shared" si="3"/>
        <v>739.5844795</v>
      </c>
      <c r="V81" s="4">
        <f t="shared" si="4"/>
        <v>165.9604153</v>
      </c>
      <c r="W81" s="4">
        <f t="shared" si="5"/>
        <v>212.5311696</v>
      </c>
      <c r="X81" s="4">
        <f t="shared" si="6"/>
        <v>219.4155205</v>
      </c>
    </row>
    <row r="82">
      <c r="A82" s="3">
        <v>40714.0</v>
      </c>
      <c r="B82" s="2">
        <v>143.0</v>
      </c>
      <c r="C82" s="2">
        <v>841.0</v>
      </c>
      <c r="D82" s="2">
        <v>841.0</v>
      </c>
      <c r="E82" s="2">
        <v>598.0</v>
      </c>
      <c r="F82" s="2">
        <v>270.0</v>
      </c>
      <c r="G82" s="2">
        <v>6.0</v>
      </c>
      <c r="H82" s="2">
        <v>60.0</v>
      </c>
      <c r="I82" s="2">
        <v>345.0</v>
      </c>
      <c r="J82" s="2">
        <v>611.0</v>
      </c>
      <c r="K82" s="2">
        <v>238.0</v>
      </c>
      <c r="L82" s="4">
        <f t="shared" si="7"/>
        <v>705</v>
      </c>
      <c r="M82" s="4">
        <f t="shared" si="8"/>
        <v>136</v>
      </c>
      <c r="N82" s="4">
        <f t="shared" si="9"/>
        <v>136</v>
      </c>
      <c r="O82" s="4">
        <f t="shared" si="1"/>
        <v>809.6356262</v>
      </c>
      <c r="P82" s="4">
        <f t="shared" si="2"/>
        <v>810.2281813</v>
      </c>
      <c r="Q82" s="4">
        <f t="shared" si="3"/>
        <v>849.2922398</v>
      </c>
      <c r="V82" s="4">
        <f t="shared" si="4"/>
        <v>31.36437377</v>
      </c>
      <c r="W82" s="4">
        <f t="shared" si="5"/>
        <v>30.77181872</v>
      </c>
      <c r="X82" s="4">
        <f t="shared" si="6"/>
        <v>8.292239766</v>
      </c>
    </row>
    <row r="83">
      <c r="A83" s="3">
        <v>40721.0</v>
      </c>
      <c r="B83" s="2">
        <v>79.0</v>
      </c>
      <c r="C83" s="2">
        <v>815.0</v>
      </c>
      <c r="D83" s="2">
        <v>815.0</v>
      </c>
      <c r="E83" s="2">
        <v>276.0</v>
      </c>
      <c r="F83" s="2">
        <v>292.0</v>
      </c>
      <c r="G83" s="2">
        <v>365.0</v>
      </c>
      <c r="H83" s="2">
        <v>113.0</v>
      </c>
      <c r="I83" s="2">
        <v>430.0</v>
      </c>
      <c r="J83" s="2">
        <v>456.0</v>
      </c>
      <c r="K83" s="2">
        <v>303.0</v>
      </c>
      <c r="L83" s="4">
        <f t="shared" si="7"/>
        <v>894.3333333</v>
      </c>
      <c r="M83" s="4">
        <f t="shared" si="8"/>
        <v>-79.33333333</v>
      </c>
      <c r="N83" s="4">
        <f t="shared" si="9"/>
        <v>79.33333333</v>
      </c>
      <c r="O83" s="4">
        <f t="shared" si="1"/>
        <v>812.7720636</v>
      </c>
      <c r="P83" s="4">
        <f t="shared" si="2"/>
        <v>819.4597269</v>
      </c>
      <c r="Q83" s="4">
        <f t="shared" si="3"/>
        <v>845.1461199</v>
      </c>
      <c r="V83" s="4">
        <f t="shared" si="4"/>
        <v>2.227936394</v>
      </c>
      <c r="W83" s="4">
        <f t="shared" si="5"/>
        <v>4.459726893</v>
      </c>
      <c r="X83" s="4">
        <f t="shared" si="6"/>
        <v>30.14611988</v>
      </c>
    </row>
    <row r="84">
      <c r="A84" s="3">
        <v>40728.0</v>
      </c>
      <c r="B84" s="2">
        <v>131.0</v>
      </c>
      <c r="C84" s="2">
        <v>1364.0</v>
      </c>
      <c r="D84" s="2">
        <v>1364.0</v>
      </c>
      <c r="E84" s="2">
        <v>901.0</v>
      </c>
      <c r="F84" s="2">
        <v>460.0</v>
      </c>
      <c r="G84" s="2">
        <v>18.0</v>
      </c>
      <c r="H84" s="2">
        <v>23.0</v>
      </c>
      <c r="I84" s="2">
        <v>636.0</v>
      </c>
      <c r="J84" s="2">
        <v>452.0</v>
      </c>
      <c r="K84" s="2">
        <v>440.0</v>
      </c>
      <c r="L84" s="4">
        <f t="shared" si="7"/>
        <v>871.6666667</v>
      </c>
      <c r="M84" s="4">
        <f t="shared" si="8"/>
        <v>492.3333333</v>
      </c>
      <c r="N84" s="4">
        <f t="shared" si="9"/>
        <v>492.3333333</v>
      </c>
      <c r="O84" s="4">
        <f t="shared" si="1"/>
        <v>812.9948572</v>
      </c>
      <c r="P84" s="4">
        <f t="shared" si="2"/>
        <v>818.1218088</v>
      </c>
      <c r="Q84" s="4">
        <f t="shared" si="3"/>
        <v>830.0730599</v>
      </c>
      <c r="V84" s="4">
        <f t="shared" si="4"/>
        <v>551.0051428</v>
      </c>
      <c r="W84" s="4">
        <f t="shared" si="5"/>
        <v>545.8781912</v>
      </c>
      <c r="X84" s="4">
        <f t="shared" si="6"/>
        <v>533.9269401</v>
      </c>
    </row>
    <row r="85">
      <c r="A85" s="3">
        <v>40735.0</v>
      </c>
      <c r="B85" s="2">
        <v>292.0</v>
      </c>
      <c r="C85" s="2">
        <v>421.0</v>
      </c>
      <c r="D85" s="2">
        <v>421.0</v>
      </c>
      <c r="E85" s="2">
        <v>354.0</v>
      </c>
      <c r="F85" s="2">
        <v>372.0</v>
      </c>
      <c r="G85" s="2">
        <v>10.0</v>
      </c>
      <c r="H85" s="2">
        <v>33.0</v>
      </c>
      <c r="I85" s="2">
        <v>157.0</v>
      </c>
      <c r="J85" s="2">
        <v>315.0</v>
      </c>
      <c r="K85" s="2">
        <v>231.0</v>
      </c>
      <c r="L85" s="4">
        <f t="shared" si="7"/>
        <v>1006.666667</v>
      </c>
      <c r="M85" s="4">
        <f t="shared" si="8"/>
        <v>-585.6666667</v>
      </c>
      <c r="N85" s="4">
        <f t="shared" si="9"/>
        <v>585.6666667</v>
      </c>
      <c r="O85" s="4">
        <f t="shared" si="1"/>
        <v>868.0953715</v>
      </c>
      <c r="P85" s="4">
        <f t="shared" si="2"/>
        <v>981.8852662</v>
      </c>
      <c r="Q85" s="4">
        <f t="shared" si="3"/>
        <v>1097.03653</v>
      </c>
      <c r="V85" s="4">
        <f t="shared" si="4"/>
        <v>447.0953715</v>
      </c>
      <c r="W85" s="4">
        <f t="shared" si="5"/>
        <v>560.8852662</v>
      </c>
      <c r="X85" s="4">
        <f t="shared" si="6"/>
        <v>676.03653</v>
      </c>
    </row>
    <row r="86">
      <c r="A86" s="3">
        <v>40742.0</v>
      </c>
      <c r="B86" s="2">
        <v>340.0</v>
      </c>
      <c r="C86" s="2">
        <v>732.0</v>
      </c>
      <c r="D86" s="2">
        <v>732.0</v>
      </c>
      <c r="E86" s="2">
        <v>927.0</v>
      </c>
      <c r="F86" s="2">
        <v>519.0</v>
      </c>
      <c r="G86" s="2">
        <v>32.0</v>
      </c>
      <c r="H86" s="2">
        <v>133.0</v>
      </c>
      <c r="I86" s="2">
        <v>621.0</v>
      </c>
      <c r="J86" s="2">
        <v>307.0</v>
      </c>
      <c r="K86" s="2">
        <v>495.0</v>
      </c>
      <c r="L86" s="4">
        <f t="shared" si="7"/>
        <v>866.6666667</v>
      </c>
      <c r="M86" s="4">
        <f t="shared" si="8"/>
        <v>-134.6666667</v>
      </c>
      <c r="N86" s="4">
        <f t="shared" si="9"/>
        <v>134.6666667</v>
      </c>
      <c r="O86" s="4">
        <f t="shared" si="1"/>
        <v>823.3858344</v>
      </c>
      <c r="P86" s="4">
        <f t="shared" si="2"/>
        <v>813.6196863</v>
      </c>
      <c r="Q86" s="4">
        <f t="shared" si="3"/>
        <v>759.018265</v>
      </c>
      <c r="V86" s="4">
        <f t="shared" si="4"/>
        <v>91.38583437</v>
      </c>
      <c r="W86" s="4">
        <f t="shared" si="5"/>
        <v>81.61968632</v>
      </c>
      <c r="X86" s="4">
        <f t="shared" si="6"/>
        <v>27.01826499</v>
      </c>
    </row>
    <row r="87">
      <c r="A87" s="3">
        <v>40749.0</v>
      </c>
      <c r="B87" s="2">
        <v>341.0</v>
      </c>
      <c r="C87" s="2">
        <v>440.0</v>
      </c>
      <c r="D87" s="2">
        <v>440.0</v>
      </c>
      <c r="E87" s="2">
        <v>520.0</v>
      </c>
      <c r="F87" s="2">
        <v>478.0</v>
      </c>
      <c r="G87" s="2">
        <v>287.0</v>
      </c>
      <c r="H87" s="2">
        <v>651.0</v>
      </c>
      <c r="I87" s="2">
        <v>436.0</v>
      </c>
      <c r="J87" s="2">
        <v>403.0</v>
      </c>
      <c r="K87" s="2">
        <v>385.0</v>
      </c>
      <c r="L87" s="4">
        <f t="shared" si="7"/>
        <v>839</v>
      </c>
      <c r="M87" s="4">
        <f t="shared" si="8"/>
        <v>-399</v>
      </c>
      <c r="N87" s="4">
        <f t="shared" si="9"/>
        <v>399</v>
      </c>
      <c r="O87" s="4">
        <f t="shared" si="1"/>
        <v>814.2472509</v>
      </c>
      <c r="P87" s="4">
        <f t="shared" si="2"/>
        <v>789.1337804</v>
      </c>
      <c r="Q87" s="4">
        <f t="shared" si="3"/>
        <v>745.5091325</v>
      </c>
      <c r="V87" s="4">
        <f t="shared" si="4"/>
        <v>374.2472509</v>
      </c>
      <c r="W87" s="4">
        <f t="shared" si="5"/>
        <v>349.1337804</v>
      </c>
      <c r="X87" s="4">
        <f t="shared" si="6"/>
        <v>305.5091325</v>
      </c>
    </row>
    <row r="88">
      <c r="A88" s="3">
        <v>40756.0</v>
      </c>
      <c r="B88" s="2">
        <v>148.0</v>
      </c>
      <c r="C88" s="2">
        <v>1040.0</v>
      </c>
      <c r="D88" s="2">
        <v>1040.0</v>
      </c>
      <c r="E88" s="2">
        <v>423.0</v>
      </c>
      <c r="F88" s="2">
        <v>3800.0</v>
      </c>
      <c r="G88" s="2">
        <v>161.0</v>
      </c>
      <c r="H88" s="2">
        <v>87.0</v>
      </c>
      <c r="I88" s="2">
        <v>2178.0</v>
      </c>
      <c r="J88" s="2">
        <v>382.0</v>
      </c>
      <c r="K88" s="2">
        <v>603.0</v>
      </c>
      <c r="L88" s="4">
        <f t="shared" si="7"/>
        <v>531</v>
      </c>
      <c r="M88" s="4">
        <f t="shared" si="8"/>
        <v>509</v>
      </c>
      <c r="N88" s="4">
        <f t="shared" si="9"/>
        <v>509</v>
      </c>
      <c r="O88" s="4">
        <f t="shared" si="1"/>
        <v>776.8225258</v>
      </c>
      <c r="P88" s="4">
        <f t="shared" si="2"/>
        <v>684.3936463</v>
      </c>
      <c r="Q88" s="4">
        <f t="shared" si="3"/>
        <v>592.7545662</v>
      </c>
      <c r="V88" s="4">
        <f t="shared" si="4"/>
        <v>263.1774742</v>
      </c>
      <c r="W88" s="4">
        <f t="shared" si="5"/>
        <v>355.6063537</v>
      </c>
      <c r="X88" s="4">
        <f t="shared" si="6"/>
        <v>447.2454338</v>
      </c>
    </row>
    <row r="89">
      <c r="A89" s="3">
        <v>40763.0</v>
      </c>
      <c r="B89" s="2">
        <v>177.0</v>
      </c>
      <c r="C89" s="2">
        <v>1373.0</v>
      </c>
      <c r="D89" s="2">
        <v>1373.0</v>
      </c>
      <c r="E89" s="2">
        <v>280.0</v>
      </c>
      <c r="F89" s="2">
        <v>1323.0</v>
      </c>
      <c r="G89" s="2">
        <v>22.0</v>
      </c>
      <c r="H89" s="2">
        <v>135.0</v>
      </c>
      <c r="I89" s="2">
        <v>1735.0</v>
      </c>
      <c r="J89" s="2">
        <v>551.0</v>
      </c>
      <c r="K89" s="2">
        <v>725.0</v>
      </c>
      <c r="L89" s="4">
        <f t="shared" si="7"/>
        <v>737.3333333</v>
      </c>
      <c r="M89" s="4">
        <f t="shared" si="8"/>
        <v>635.6666667</v>
      </c>
      <c r="N89" s="4">
        <f t="shared" si="9"/>
        <v>635.6666667</v>
      </c>
      <c r="O89" s="4">
        <f t="shared" si="1"/>
        <v>803.1402733</v>
      </c>
      <c r="P89" s="4">
        <f t="shared" si="2"/>
        <v>791.0755524</v>
      </c>
      <c r="Q89" s="4">
        <f t="shared" si="3"/>
        <v>816.3772831</v>
      </c>
      <c r="V89" s="4">
        <f t="shared" si="4"/>
        <v>569.8597267</v>
      </c>
      <c r="W89" s="4">
        <f t="shared" si="5"/>
        <v>581.9244476</v>
      </c>
      <c r="X89" s="4">
        <f t="shared" si="6"/>
        <v>556.6227169</v>
      </c>
    </row>
    <row r="90">
      <c r="A90" s="3">
        <v>40770.0</v>
      </c>
      <c r="B90" s="2">
        <v>210.0</v>
      </c>
      <c r="C90" s="2">
        <v>1356.0</v>
      </c>
      <c r="D90" s="2">
        <v>1356.0</v>
      </c>
      <c r="E90" s="2">
        <v>402.0</v>
      </c>
      <c r="F90" s="2">
        <v>556.0</v>
      </c>
      <c r="G90" s="2">
        <v>36.0</v>
      </c>
      <c r="H90" s="2">
        <v>62.0</v>
      </c>
      <c r="I90" s="2">
        <v>518.0</v>
      </c>
      <c r="J90" s="2">
        <v>586.0</v>
      </c>
      <c r="K90" s="2">
        <v>423.0</v>
      </c>
      <c r="L90" s="4">
        <f t="shared" si="7"/>
        <v>951</v>
      </c>
      <c r="M90" s="4">
        <f t="shared" si="8"/>
        <v>405</v>
      </c>
      <c r="N90" s="4">
        <f t="shared" si="9"/>
        <v>405</v>
      </c>
      <c r="O90" s="4">
        <f t="shared" si="1"/>
        <v>860.1262459</v>
      </c>
      <c r="P90" s="4">
        <f t="shared" si="2"/>
        <v>965.6528867</v>
      </c>
      <c r="Q90" s="4">
        <f t="shared" si="3"/>
        <v>1094.688642</v>
      </c>
      <c r="V90" s="4">
        <f t="shared" si="4"/>
        <v>495.8737541</v>
      </c>
      <c r="W90" s="4">
        <f t="shared" si="5"/>
        <v>390.3471133</v>
      </c>
      <c r="X90" s="4">
        <f t="shared" si="6"/>
        <v>261.3113584</v>
      </c>
    </row>
    <row r="91">
      <c r="A91" s="3">
        <v>40777.0</v>
      </c>
      <c r="B91" s="2">
        <v>241.0</v>
      </c>
      <c r="C91" s="2">
        <v>1518.0</v>
      </c>
      <c r="D91" s="2">
        <v>1518.0</v>
      </c>
      <c r="E91" s="2">
        <v>470.0</v>
      </c>
      <c r="F91" s="2">
        <v>850.0</v>
      </c>
      <c r="G91" s="2">
        <v>28.0</v>
      </c>
      <c r="H91" s="2">
        <v>110.0</v>
      </c>
      <c r="I91" s="2">
        <v>826.0</v>
      </c>
      <c r="J91" s="2">
        <v>619.0</v>
      </c>
      <c r="K91" s="2">
        <v>340.0</v>
      </c>
      <c r="L91" s="4">
        <f t="shared" si="7"/>
        <v>1256.333333</v>
      </c>
      <c r="M91" s="4">
        <f t="shared" si="8"/>
        <v>261.6666667</v>
      </c>
      <c r="N91" s="4">
        <f t="shared" si="9"/>
        <v>261.6666667</v>
      </c>
      <c r="O91" s="4">
        <f t="shared" si="1"/>
        <v>909.7136213</v>
      </c>
      <c r="P91" s="4">
        <f t="shared" si="2"/>
        <v>1082.757021</v>
      </c>
      <c r="Q91" s="4">
        <f t="shared" si="3"/>
        <v>1225.344321</v>
      </c>
      <c r="V91" s="4">
        <f t="shared" si="4"/>
        <v>608.2863787</v>
      </c>
      <c r="W91" s="4">
        <f t="shared" si="5"/>
        <v>435.2429793</v>
      </c>
      <c r="X91" s="4">
        <f t="shared" si="6"/>
        <v>292.6556792</v>
      </c>
    </row>
    <row r="92">
      <c r="A92" s="3">
        <v>40784.0</v>
      </c>
      <c r="B92" s="2">
        <v>146.0</v>
      </c>
      <c r="C92" s="2">
        <v>717.0</v>
      </c>
      <c r="D92" s="2">
        <v>717.0</v>
      </c>
      <c r="E92" s="2">
        <v>207.0</v>
      </c>
      <c r="F92" s="2">
        <v>216.0</v>
      </c>
      <c r="G92" s="2">
        <v>192.0</v>
      </c>
      <c r="H92" s="2">
        <v>210.0</v>
      </c>
      <c r="I92" s="2">
        <v>956.0</v>
      </c>
      <c r="J92" s="2">
        <v>248.0</v>
      </c>
      <c r="K92" s="2">
        <v>202.0</v>
      </c>
      <c r="L92" s="4">
        <f t="shared" si="7"/>
        <v>1415.666667</v>
      </c>
      <c r="M92" s="4">
        <f t="shared" si="8"/>
        <v>-698.6666667</v>
      </c>
      <c r="N92" s="4">
        <f t="shared" si="9"/>
        <v>698.6666667</v>
      </c>
      <c r="O92" s="4">
        <f t="shared" si="1"/>
        <v>970.5422592</v>
      </c>
      <c r="P92" s="4">
        <f t="shared" si="2"/>
        <v>1213.329914</v>
      </c>
      <c r="Q92" s="4">
        <f t="shared" si="3"/>
        <v>1371.67216</v>
      </c>
      <c r="V92" s="4">
        <f t="shared" si="4"/>
        <v>253.5422592</v>
      </c>
      <c r="W92" s="4">
        <f t="shared" si="5"/>
        <v>496.3299145</v>
      </c>
      <c r="X92" s="4">
        <f t="shared" si="6"/>
        <v>654.6721604</v>
      </c>
    </row>
    <row r="93">
      <c r="A93" s="3">
        <v>40791.0</v>
      </c>
      <c r="B93" s="2">
        <v>149.0</v>
      </c>
      <c r="C93" s="2">
        <v>556.0</v>
      </c>
      <c r="D93" s="2">
        <v>556.0</v>
      </c>
      <c r="E93" s="2">
        <v>300.0</v>
      </c>
      <c r="F93" s="2">
        <v>488.0</v>
      </c>
      <c r="G93" s="2">
        <v>455.0</v>
      </c>
      <c r="H93" s="2">
        <v>70.0</v>
      </c>
      <c r="I93" s="2">
        <v>516.0</v>
      </c>
      <c r="J93" s="2">
        <v>657.0</v>
      </c>
      <c r="K93" s="2">
        <v>424.0</v>
      </c>
      <c r="L93" s="4">
        <f t="shared" si="7"/>
        <v>1197</v>
      </c>
      <c r="M93" s="4">
        <f t="shared" si="8"/>
        <v>-641</v>
      </c>
      <c r="N93" s="4">
        <f t="shared" si="9"/>
        <v>641</v>
      </c>
      <c r="O93" s="4">
        <f t="shared" si="1"/>
        <v>945.1880333</v>
      </c>
      <c r="P93" s="4">
        <f t="shared" si="2"/>
        <v>1064.43094</v>
      </c>
      <c r="Q93" s="4">
        <f t="shared" si="3"/>
        <v>1044.33608</v>
      </c>
      <c r="V93" s="4">
        <f t="shared" si="4"/>
        <v>389.1880333</v>
      </c>
      <c r="W93" s="4">
        <f t="shared" si="5"/>
        <v>508.4309401</v>
      </c>
      <c r="X93" s="4">
        <f t="shared" si="6"/>
        <v>488.3360802</v>
      </c>
    </row>
    <row r="94">
      <c r="A94" s="3">
        <v>40798.0</v>
      </c>
      <c r="B94" s="2">
        <v>218.0</v>
      </c>
      <c r="C94" s="2">
        <v>743.0</v>
      </c>
      <c r="D94" s="2">
        <v>743.0</v>
      </c>
      <c r="E94" s="2">
        <v>334.0</v>
      </c>
      <c r="F94" s="2">
        <v>908.0</v>
      </c>
      <c r="G94" s="2">
        <v>561.0</v>
      </c>
      <c r="H94" s="2">
        <v>262.0</v>
      </c>
      <c r="I94" s="2">
        <v>570.0</v>
      </c>
      <c r="J94" s="2">
        <v>478.0</v>
      </c>
      <c r="K94" s="2">
        <v>329.0</v>
      </c>
      <c r="L94" s="4">
        <f t="shared" si="7"/>
        <v>930.3333333</v>
      </c>
      <c r="M94" s="4">
        <f t="shared" si="8"/>
        <v>-187.3333333</v>
      </c>
      <c r="N94" s="4">
        <f t="shared" si="9"/>
        <v>187.3333333</v>
      </c>
      <c r="O94" s="4">
        <f t="shared" si="1"/>
        <v>906.26923</v>
      </c>
      <c r="P94" s="4">
        <f t="shared" si="2"/>
        <v>911.9016581</v>
      </c>
      <c r="Q94" s="4">
        <f t="shared" si="3"/>
        <v>800.1680401</v>
      </c>
      <c r="V94" s="4">
        <f t="shared" si="4"/>
        <v>163.26923</v>
      </c>
      <c r="W94" s="4">
        <f t="shared" si="5"/>
        <v>168.9016581</v>
      </c>
      <c r="X94" s="4">
        <f t="shared" si="6"/>
        <v>57.1680401</v>
      </c>
    </row>
    <row r="95">
      <c r="A95" s="3">
        <v>40805.0</v>
      </c>
      <c r="B95" s="2">
        <v>147.0</v>
      </c>
      <c r="C95" s="2">
        <v>1667.0</v>
      </c>
      <c r="D95" s="2">
        <v>1667.0</v>
      </c>
      <c r="E95" s="2">
        <v>158.0</v>
      </c>
      <c r="F95" s="2">
        <v>677.0</v>
      </c>
      <c r="G95" s="2">
        <v>602.0</v>
      </c>
      <c r="H95" s="2">
        <v>28.0</v>
      </c>
      <c r="I95" s="2">
        <v>682.0</v>
      </c>
      <c r="J95" s="2">
        <v>809.0</v>
      </c>
      <c r="K95" s="2">
        <v>482.0</v>
      </c>
      <c r="L95" s="4">
        <f t="shared" si="7"/>
        <v>672</v>
      </c>
      <c r="M95" s="4">
        <f t="shared" si="8"/>
        <v>995</v>
      </c>
      <c r="N95" s="4">
        <f t="shared" si="9"/>
        <v>995</v>
      </c>
      <c r="O95" s="4">
        <f t="shared" si="1"/>
        <v>889.942307</v>
      </c>
      <c r="P95" s="4">
        <f t="shared" si="2"/>
        <v>861.2311607</v>
      </c>
      <c r="Q95" s="4">
        <f t="shared" si="3"/>
        <v>771.58402</v>
      </c>
      <c r="V95" s="4">
        <f t="shared" si="4"/>
        <v>777.057693</v>
      </c>
      <c r="W95" s="4">
        <f t="shared" si="5"/>
        <v>805.7688393</v>
      </c>
      <c r="X95" s="4">
        <f t="shared" si="6"/>
        <v>895.41598</v>
      </c>
    </row>
    <row r="96">
      <c r="A96" s="3">
        <v>40812.0</v>
      </c>
      <c r="B96" s="2">
        <v>148.0</v>
      </c>
      <c r="C96" s="2">
        <v>929.0</v>
      </c>
      <c r="D96" s="2">
        <v>929.0</v>
      </c>
      <c r="E96" s="2">
        <v>209.0</v>
      </c>
      <c r="F96" s="2">
        <v>799.0</v>
      </c>
      <c r="G96" s="2">
        <v>359.0</v>
      </c>
      <c r="H96" s="2">
        <v>162.0</v>
      </c>
      <c r="I96" s="2">
        <v>1675.0</v>
      </c>
      <c r="J96" s="2">
        <v>665.0</v>
      </c>
      <c r="K96" s="2">
        <v>318.0</v>
      </c>
      <c r="L96" s="4">
        <f t="shared" si="7"/>
        <v>988.6666667</v>
      </c>
      <c r="M96" s="4">
        <f t="shared" si="8"/>
        <v>-59.66666667</v>
      </c>
      <c r="N96" s="4">
        <f t="shared" si="9"/>
        <v>59.66666667</v>
      </c>
      <c r="O96" s="4">
        <f t="shared" si="1"/>
        <v>967.6480763</v>
      </c>
      <c r="P96" s="4">
        <f t="shared" si="2"/>
        <v>1102.961812</v>
      </c>
      <c r="Q96" s="4">
        <f t="shared" si="3"/>
        <v>1219.29201</v>
      </c>
      <c r="V96" s="4">
        <f t="shared" si="4"/>
        <v>38.64807626</v>
      </c>
      <c r="W96" s="4">
        <f t="shared" si="5"/>
        <v>173.9618125</v>
      </c>
      <c r="X96" s="4">
        <f t="shared" si="6"/>
        <v>290.29201</v>
      </c>
    </row>
    <row r="97">
      <c r="A97" s="3">
        <v>40819.0</v>
      </c>
      <c r="B97" s="2">
        <v>409.0</v>
      </c>
      <c r="C97" s="2">
        <v>2569.0</v>
      </c>
      <c r="D97" s="2">
        <v>2569.0</v>
      </c>
      <c r="E97" s="2">
        <v>183.0</v>
      </c>
      <c r="F97" s="2">
        <v>589.0</v>
      </c>
      <c r="G97" s="2">
        <v>977.0</v>
      </c>
      <c r="H97" s="2">
        <v>51.0</v>
      </c>
      <c r="I97" s="2">
        <v>835.0</v>
      </c>
      <c r="J97" s="2">
        <v>1649.0</v>
      </c>
      <c r="K97" s="2">
        <v>322.0</v>
      </c>
      <c r="L97" s="4">
        <f t="shared" si="7"/>
        <v>1113</v>
      </c>
      <c r="M97" s="4">
        <f t="shared" si="8"/>
        <v>1456</v>
      </c>
      <c r="N97" s="4">
        <f t="shared" si="9"/>
        <v>1456</v>
      </c>
      <c r="O97" s="4">
        <f t="shared" si="1"/>
        <v>963.7832686</v>
      </c>
      <c r="P97" s="4">
        <f t="shared" si="2"/>
        <v>1050.773269</v>
      </c>
      <c r="Q97" s="4">
        <f t="shared" si="3"/>
        <v>1074.146005</v>
      </c>
      <c r="V97" s="4">
        <f t="shared" si="4"/>
        <v>1605.216731</v>
      </c>
      <c r="W97" s="4">
        <f t="shared" si="5"/>
        <v>1518.226731</v>
      </c>
      <c r="X97" s="4">
        <f t="shared" si="6"/>
        <v>1494.853995</v>
      </c>
    </row>
    <row r="98">
      <c r="A98" s="3">
        <v>40826.0</v>
      </c>
      <c r="B98" s="2">
        <v>181.0</v>
      </c>
      <c r="C98" s="2">
        <v>647.0</v>
      </c>
      <c r="D98" s="2">
        <v>647.0</v>
      </c>
      <c r="E98" s="2">
        <v>106.0</v>
      </c>
      <c r="F98" s="2">
        <v>420.0</v>
      </c>
      <c r="G98" s="2">
        <v>739.0</v>
      </c>
      <c r="H98" s="2">
        <v>150.0</v>
      </c>
      <c r="I98" s="2">
        <v>884.0</v>
      </c>
      <c r="J98" s="2">
        <v>237.0</v>
      </c>
      <c r="K98" s="2">
        <v>443.0</v>
      </c>
      <c r="L98" s="4">
        <f t="shared" si="7"/>
        <v>1721.666667</v>
      </c>
      <c r="M98" s="4">
        <f t="shared" si="8"/>
        <v>-1074.666667</v>
      </c>
      <c r="N98" s="4">
        <f t="shared" si="9"/>
        <v>1074.666667</v>
      </c>
      <c r="O98" s="4">
        <f t="shared" si="1"/>
        <v>1124.304942</v>
      </c>
      <c r="P98" s="4">
        <f t="shared" si="2"/>
        <v>1506.241288</v>
      </c>
      <c r="Q98" s="4">
        <f t="shared" si="3"/>
        <v>1821.573003</v>
      </c>
      <c r="V98" s="4">
        <f t="shared" si="4"/>
        <v>477.3049418</v>
      </c>
      <c r="W98" s="4">
        <f t="shared" si="5"/>
        <v>859.2412881</v>
      </c>
      <c r="X98" s="4">
        <f t="shared" si="6"/>
        <v>1174.573003</v>
      </c>
    </row>
    <row r="99">
      <c r="A99" s="3">
        <v>40833.0</v>
      </c>
      <c r="B99" s="2">
        <v>268.0</v>
      </c>
      <c r="C99" s="2">
        <v>1045.0</v>
      </c>
      <c r="D99" s="2">
        <v>1045.0</v>
      </c>
      <c r="E99" s="2">
        <v>211.0</v>
      </c>
      <c r="F99" s="2">
        <v>829.0</v>
      </c>
      <c r="G99" s="2">
        <v>756.0</v>
      </c>
      <c r="H99" s="2">
        <v>109.0</v>
      </c>
      <c r="I99" s="2">
        <v>1164.0</v>
      </c>
      <c r="J99" s="2">
        <v>334.0</v>
      </c>
      <c r="K99" s="2">
        <v>276.0</v>
      </c>
      <c r="L99" s="4">
        <f t="shared" si="7"/>
        <v>1381.666667</v>
      </c>
      <c r="M99" s="4">
        <f t="shared" si="8"/>
        <v>-336.6666667</v>
      </c>
      <c r="N99" s="4">
        <f t="shared" si="9"/>
        <v>336.6666667</v>
      </c>
      <c r="O99" s="4">
        <f t="shared" si="1"/>
        <v>1076.574448</v>
      </c>
      <c r="P99" s="4">
        <f t="shared" si="2"/>
        <v>1248.468902</v>
      </c>
      <c r="Q99" s="4">
        <f t="shared" si="3"/>
        <v>1234.286501</v>
      </c>
      <c r="V99" s="4">
        <f t="shared" si="4"/>
        <v>31.5744476</v>
      </c>
      <c r="W99" s="4">
        <f t="shared" si="5"/>
        <v>203.4689017</v>
      </c>
      <c r="X99" s="4">
        <f t="shared" si="6"/>
        <v>189.2865013</v>
      </c>
    </row>
    <row r="100">
      <c r="A100" s="3">
        <v>40840.0</v>
      </c>
      <c r="B100" s="2">
        <v>135.0</v>
      </c>
      <c r="C100" s="2">
        <v>500.0</v>
      </c>
      <c r="D100" s="2">
        <v>500.0</v>
      </c>
      <c r="E100" s="2">
        <v>78.0</v>
      </c>
      <c r="F100" s="2">
        <v>778.0</v>
      </c>
      <c r="G100" s="2">
        <v>644.0</v>
      </c>
      <c r="H100" s="2">
        <v>431.0</v>
      </c>
      <c r="I100" s="2">
        <v>2775.0</v>
      </c>
      <c r="J100" s="2">
        <v>643.0</v>
      </c>
      <c r="K100" s="2">
        <v>314.0</v>
      </c>
      <c r="L100" s="4">
        <f t="shared" si="7"/>
        <v>1420.333333</v>
      </c>
      <c r="M100" s="4">
        <f t="shared" si="8"/>
        <v>-920.3333333</v>
      </c>
      <c r="N100" s="4">
        <f t="shared" si="9"/>
        <v>920.3333333</v>
      </c>
      <c r="O100" s="4">
        <f t="shared" si="1"/>
        <v>1073.417003</v>
      </c>
      <c r="P100" s="4">
        <f t="shared" si="2"/>
        <v>1187.428231</v>
      </c>
      <c r="Q100" s="4">
        <f t="shared" si="3"/>
        <v>1139.643251</v>
      </c>
      <c r="V100" s="4">
        <f t="shared" si="4"/>
        <v>573.4170028</v>
      </c>
      <c r="W100" s="4">
        <f t="shared" si="5"/>
        <v>687.4282312</v>
      </c>
      <c r="X100" s="4">
        <f t="shared" si="6"/>
        <v>639.6432506</v>
      </c>
    </row>
    <row r="101">
      <c r="A101" s="3">
        <v>40847.0</v>
      </c>
      <c r="B101" s="2">
        <v>279.0</v>
      </c>
      <c r="C101" s="2">
        <v>1063.0</v>
      </c>
      <c r="D101" s="2">
        <v>1063.0</v>
      </c>
      <c r="E101" s="2">
        <v>102.0</v>
      </c>
      <c r="F101" s="2">
        <v>968.0</v>
      </c>
      <c r="G101" s="2">
        <v>1745.0</v>
      </c>
      <c r="H101" s="2">
        <v>166.0</v>
      </c>
      <c r="I101" s="2">
        <v>1156.0</v>
      </c>
      <c r="J101" s="2">
        <v>313.0</v>
      </c>
      <c r="K101" s="2">
        <v>223.0</v>
      </c>
      <c r="L101" s="4">
        <f t="shared" si="7"/>
        <v>730.6666667</v>
      </c>
      <c r="M101" s="4">
        <f t="shared" si="8"/>
        <v>332.3333333</v>
      </c>
      <c r="N101" s="4">
        <f t="shared" si="9"/>
        <v>332.3333333</v>
      </c>
      <c r="O101" s="4">
        <f t="shared" si="1"/>
        <v>1016.075303</v>
      </c>
      <c r="P101" s="4">
        <f t="shared" si="2"/>
        <v>981.1997618</v>
      </c>
      <c r="Q101" s="4">
        <f t="shared" si="3"/>
        <v>819.8216253</v>
      </c>
      <c r="V101" s="4">
        <f t="shared" si="4"/>
        <v>46.92469745</v>
      </c>
      <c r="W101" s="4">
        <f t="shared" si="5"/>
        <v>81.80023818</v>
      </c>
      <c r="X101" s="4">
        <f t="shared" si="6"/>
        <v>243.1783747</v>
      </c>
    </row>
    <row r="102">
      <c r="A102" s="3">
        <v>40854.0</v>
      </c>
      <c r="B102" s="2">
        <v>167.0</v>
      </c>
      <c r="C102" s="2">
        <v>2100.0</v>
      </c>
      <c r="D102" s="2">
        <v>2100.0</v>
      </c>
      <c r="E102" s="2">
        <v>135.0</v>
      </c>
      <c r="F102" s="2">
        <v>1748.0</v>
      </c>
      <c r="G102" s="2">
        <v>1436.0</v>
      </c>
      <c r="H102" s="2">
        <v>482.0</v>
      </c>
      <c r="I102" s="2">
        <v>3900.0</v>
      </c>
      <c r="J102" s="2">
        <v>416.0</v>
      </c>
      <c r="K102" s="2">
        <v>556.0</v>
      </c>
      <c r="L102" s="4">
        <f t="shared" si="7"/>
        <v>869.3333333</v>
      </c>
      <c r="M102" s="4">
        <f t="shared" si="8"/>
        <v>1230.666667</v>
      </c>
      <c r="N102" s="4">
        <f t="shared" si="9"/>
        <v>1230.666667</v>
      </c>
      <c r="O102" s="4">
        <f t="shared" si="1"/>
        <v>1020.767772</v>
      </c>
      <c r="P102" s="4">
        <f t="shared" si="2"/>
        <v>1005.739833</v>
      </c>
      <c r="Q102" s="4">
        <f t="shared" si="3"/>
        <v>941.4108127</v>
      </c>
      <c r="V102" s="4">
        <f t="shared" si="4"/>
        <v>1079.232228</v>
      </c>
      <c r="W102" s="4">
        <f t="shared" si="5"/>
        <v>1094.260167</v>
      </c>
      <c r="X102" s="4">
        <f t="shared" si="6"/>
        <v>1158.589187</v>
      </c>
    </row>
    <row r="103">
      <c r="A103" s="3">
        <v>40861.0</v>
      </c>
      <c r="B103" s="2">
        <v>235.0</v>
      </c>
      <c r="C103" s="2">
        <v>1602.0</v>
      </c>
      <c r="D103" s="2">
        <v>1602.0</v>
      </c>
      <c r="E103" s="2">
        <v>218.0</v>
      </c>
      <c r="F103" s="2">
        <v>1326.0</v>
      </c>
      <c r="G103" s="2">
        <v>2161.0</v>
      </c>
      <c r="H103" s="2">
        <v>389.0</v>
      </c>
      <c r="I103" s="2">
        <v>3145.0</v>
      </c>
      <c r="J103" s="2">
        <v>522.0</v>
      </c>
      <c r="K103" s="2">
        <v>650.0</v>
      </c>
      <c r="L103" s="4">
        <f t="shared" si="7"/>
        <v>1221</v>
      </c>
      <c r="M103" s="4">
        <f t="shared" si="8"/>
        <v>381</v>
      </c>
      <c r="N103" s="4">
        <f t="shared" si="9"/>
        <v>381</v>
      </c>
      <c r="O103" s="4">
        <f t="shared" si="1"/>
        <v>1128.690995</v>
      </c>
      <c r="P103" s="4">
        <f t="shared" si="2"/>
        <v>1334.017883</v>
      </c>
      <c r="Q103" s="4">
        <f t="shared" si="3"/>
        <v>1520.705406</v>
      </c>
      <c r="V103" s="4">
        <f t="shared" si="4"/>
        <v>473.3090049</v>
      </c>
      <c r="W103" s="4">
        <f t="shared" si="5"/>
        <v>267.9821167</v>
      </c>
      <c r="X103" s="4">
        <f t="shared" si="6"/>
        <v>81.29459367</v>
      </c>
    </row>
    <row r="104">
      <c r="A104" s="3">
        <v>40868.0</v>
      </c>
      <c r="B104" s="2">
        <v>249.0</v>
      </c>
      <c r="C104" s="2">
        <v>753.0</v>
      </c>
      <c r="D104" s="2">
        <v>753.0</v>
      </c>
      <c r="E104" s="2">
        <v>455.0</v>
      </c>
      <c r="F104" s="2">
        <v>1037.0</v>
      </c>
      <c r="G104" s="2">
        <v>1692.0</v>
      </c>
      <c r="H104" s="2">
        <v>959.0</v>
      </c>
      <c r="I104" s="2">
        <v>2755.0</v>
      </c>
      <c r="J104" s="2">
        <v>253.0</v>
      </c>
      <c r="K104" s="2">
        <v>276.0</v>
      </c>
      <c r="L104" s="4">
        <f t="shared" si="7"/>
        <v>1588.333333</v>
      </c>
      <c r="M104" s="4">
        <f t="shared" si="8"/>
        <v>-835.3333333</v>
      </c>
      <c r="N104" s="4">
        <f t="shared" si="9"/>
        <v>835.3333333</v>
      </c>
      <c r="O104" s="4">
        <f t="shared" si="1"/>
        <v>1176.021896</v>
      </c>
      <c r="P104" s="4">
        <f t="shared" si="2"/>
        <v>1414.412518</v>
      </c>
      <c r="Q104" s="4">
        <f t="shared" si="3"/>
        <v>1561.352703</v>
      </c>
      <c r="V104" s="4">
        <f t="shared" si="4"/>
        <v>423.0218956</v>
      </c>
      <c r="W104" s="4">
        <f t="shared" si="5"/>
        <v>661.4125183</v>
      </c>
      <c r="X104" s="4">
        <f t="shared" si="6"/>
        <v>808.3527032</v>
      </c>
    </row>
    <row r="105">
      <c r="A105" s="3">
        <v>40875.0</v>
      </c>
      <c r="B105" s="2">
        <v>226.0</v>
      </c>
      <c r="C105" s="2">
        <v>1040.0</v>
      </c>
      <c r="D105" s="2">
        <v>1040.0</v>
      </c>
      <c r="E105" s="2">
        <v>105.0</v>
      </c>
      <c r="F105" s="2">
        <v>953.0</v>
      </c>
      <c r="G105" s="2">
        <v>1564.0</v>
      </c>
      <c r="H105" s="2">
        <v>314.0</v>
      </c>
      <c r="I105" s="2">
        <v>3275.0</v>
      </c>
      <c r="J105" s="2">
        <v>436.0</v>
      </c>
      <c r="K105" s="2">
        <v>331.0</v>
      </c>
      <c r="L105" s="4">
        <f t="shared" si="7"/>
        <v>1485</v>
      </c>
      <c r="M105" s="4">
        <f t="shared" si="8"/>
        <v>-445</v>
      </c>
      <c r="N105" s="4">
        <f t="shared" si="9"/>
        <v>445</v>
      </c>
      <c r="O105" s="4">
        <f t="shared" si="1"/>
        <v>1133.719706</v>
      </c>
      <c r="P105" s="4">
        <f t="shared" si="2"/>
        <v>1215.988763</v>
      </c>
      <c r="Q105" s="4">
        <f t="shared" si="3"/>
        <v>1157.176352</v>
      </c>
      <c r="V105" s="4">
        <f t="shared" si="4"/>
        <v>93.719706</v>
      </c>
      <c r="W105" s="4">
        <f t="shared" si="5"/>
        <v>175.9887628</v>
      </c>
      <c r="X105" s="4">
        <f t="shared" si="6"/>
        <v>117.1763516</v>
      </c>
    </row>
    <row r="106">
      <c r="T106" s="1" t="s">
        <v>21</v>
      </c>
      <c r="U106" s="5">
        <f>AVERAGE(N94:N105)</f>
        <v>687.8333333</v>
      </c>
    </row>
    <row r="107">
      <c r="T107" s="1" t="s">
        <v>22</v>
      </c>
      <c r="U107" s="5">
        <f>AVERAGE(V94:V105)</f>
        <v>481.8913045</v>
      </c>
    </row>
    <row r="108">
      <c r="T108" s="1" t="s">
        <v>23</v>
      </c>
      <c r="U108" s="5">
        <f>AVERAGE(W94:W105)</f>
        <v>558.2034387</v>
      </c>
    </row>
    <row r="109">
      <c r="T109" s="1" t="s">
        <v>24</v>
      </c>
      <c r="U109" s="5">
        <f>AVERAGE(X94:X105)</f>
        <v>595.8186658</v>
      </c>
    </row>
    <row r="111">
      <c r="V111" s="1" t="s">
        <v>25</v>
      </c>
      <c r="W111" s="1" t="s">
        <v>26</v>
      </c>
    </row>
    <row r="112">
      <c r="V112" s="4">
        <f>AVERAGE(C2:C105)</f>
        <v>907.4423077</v>
      </c>
      <c r="W112" s="4">
        <f>STDEV(C2:C105)</f>
        <v>473.9574318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38"/>
    <col customWidth="1" min="7" max="7" width="17.75"/>
    <col customWidth="1" min="8" max="8" width="17.38"/>
    <col customWidth="1" min="10" max="10" width="14.63"/>
    <col customWidth="1" min="11" max="11" width="28.5"/>
    <col customWidth="1" min="12" max="12" width="13.88"/>
    <col customWidth="1" min="13" max="13" width="15.0"/>
    <col customWidth="1" min="17" max="17" width="18.75"/>
    <col customWidth="1" min="18" max="18" width="16.0"/>
    <col customWidth="1" min="19" max="19" width="14.25"/>
    <col customWidth="1" min="20" max="20" width="16.25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K1" s="1" t="s">
        <v>36</v>
      </c>
      <c r="L1" s="4">
        <f>COUNTIF(I2:I4871,"A")</f>
        <v>1052</v>
      </c>
    </row>
    <row r="2">
      <c r="A2" s="2">
        <v>1.0</v>
      </c>
      <c r="B2" s="2">
        <v>22423.0</v>
      </c>
      <c r="C2" s="2" t="s">
        <v>37</v>
      </c>
      <c r="D2" s="2">
        <v>12.75</v>
      </c>
      <c r="E2" s="2">
        <v>12894.0</v>
      </c>
      <c r="F2" s="2">
        <v>161353.68</v>
      </c>
      <c r="G2" s="4">
        <f>F2</f>
        <v>161353.68</v>
      </c>
      <c r="H2" s="4">
        <f t="shared" ref="H2:H4871" si="1">G2/$G$4871</f>
        <v>0.01690555462</v>
      </c>
      <c r="I2" s="4" t="str">
        <f t="shared" ref="I2:I4871" si="2">IF(H2&lt;=0.8,"A",IF(H2&lt;=0.95,"B","C"))</f>
        <v>A</v>
      </c>
      <c r="K2" s="1" t="s">
        <v>38</v>
      </c>
      <c r="L2" s="4">
        <f>COUNTIF(I2:I4871,"B")</f>
        <v>1275</v>
      </c>
    </row>
    <row r="3">
      <c r="A3" s="2">
        <v>2.0</v>
      </c>
      <c r="B3" s="2" t="s">
        <v>39</v>
      </c>
      <c r="C3" s="2" t="s">
        <v>40</v>
      </c>
      <c r="D3" s="2">
        <v>2.95</v>
      </c>
      <c r="E3" s="2">
        <v>45480.0</v>
      </c>
      <c r="F3" s="2">
        <v>124710.66</v>
      </c>
      <c r="G3" s="4">
        <f t="shared" ref="G3:G4871" si="3">F3+G2</f>
        <v>286064.34</v>
      </c>
      <c r="H3" s="4">
        <f t="shared" si="1"/>
        <v>0.02997189977</v>
      </c>
      <c r="I3" s="4" t="str">
        <f t="shared" si="2"/>
        <v>A</v>
      </c>
      <c r="K3" s="1" t="s">
        <v>41</v>
      </c>
      <c r="L3" s="4">
        <f>COUNTIF(I2:I4871,"C")</f>
        <v>2543</v>
      </c>
    </row>
    <row r="4">
      <c r="A4" s="2">
        <v>3.0</v>
      </c>
      <c r="B4" s="2" t="s">
        <v>42</v>
      </c>
      <c r="C4" s="2" t="s">
        <v>43</v>
      </c>
      <c r="D4" s="2">
        <v>1.95</v>
      </c>
      <c r="E4" s="2">
        <v>48012.0</v>
      </c>
      <c r="F4" s="2">
        <v>89638.4</v>
      </c>
      <c r="G4" s="4">
        <f t="shared" si="3"/>
        <v>375702.74</v>
      </c>
      <c r="H4" s="4">
        <f t="shared" si="1"/>
        <v>0.03936360914</v>
      </c>
      <c r="I4" s="4" t="str">
        <f t="shared" si="2"/>
        <v>A</v>
      </c>
    </row>
    <row r="5">
      <c r="A5" s="2">
        <v>4.0</v>
      </c>
      <c r="B5" s="2">
        <v>47566.0</v>
      </c>
      <c r="C5" s="2" t="s">
        <v>44</v>
      </c>
      <c r="D5" s="2">
        <v>4.95</v>
      </c>
      <c r="E5" s="2">
        <v>14008.0</v>
      </c>
      <c r="F5" s="2">
        <v>73766.52</v>
      </c>
      <c r="G5" s="4">
        <f t="shared" si="3"/>
        <v>449469.26</v>
      </c>
      <c r="H5" s="4">
        <f t="shared" si="1"/>
        <v>0.04709236954</v>
      </c>
      <c r="I5" s="4" t="str">
        <f t="shared" si="2"/>
        <v>A</v>
      </c>
    </row>
    <row r="6">
      <c r="A6" s="2">
        <v>5.0</v>
      </c>
      <c r="B6" s="2">
        <v>84879.0</v>
      </c>
      <c r="C6" s="2" t="s">
        <v>45</v>
      </c>
      <c r="D6" s="2">
        <v>1.69</v>
      </c>
      <c r="E6" s="2">
        <v>39922.0</v>
      </c>
      <c r="F6" s="2">
        <v>64505.05</v>
      </c>
      <c r="G6" s="4">
        <f t="shared" si="3"/>
        <v>513974.31</v>
      </c>
      <c r="H6" s="4">
        <f t="shared" si="1"/>
        <v>0.05385077534</v>
      </c>
      <c r="I6" s="4" t="str">
        <f t="shared" si="2"/>
        <v>A</v>
      </c>
      <c r="K6" s="1" t="s">
        <v>46</v>
      </c>
      <c r="L6" s="1" t="s">
        <v>47</v>
      </c>
    </row>
    <row r="7">
      <c r="A7" s="2">
        <v>6.0</v>
      </c>
      <c r="B7" s="2">
        <v>22086.0</v>
      </c>
      <c r="C7" s="2" t="s">
        <v>48</v>
      </c>
      <c r="D7" s="2">
        <v>2.95</v>
      </c>
      <c r="E7" s="2">
        <v>17330.0</v>
      </c>
      <c r="F7" s="2">
        <v>58344.22</v>
      </c>
      <c r="G7" s="4">
        <f t="shared" si="3"/>
        <v>572318.53</v>
      </c>
      <c r="H7" s="4">
        <f t="shared" si="1"/>
        <v>0.05996369076</v>
      </c>
      <c r="I7" s="4" t="str">
        <f t="shared" si="2"/>
        <v>A</v>
      </c>
      <c r="K7" s="2">
        <v>50.0</v>
      </c>
      <c r="L7" s="2">
        <v>0.2</v>
      </c>
    </row>
    <row r="8">
      <c r="A8" s="2">
        <v>7.0</v>
      </c>
      <c r="B8" s="2">
        <v>79321.0</v>
      </c>
      <c r="C8" s="2" t="s">
        <v>49</v>
      </c>
      <c r="D8" s="2">
        <v>4.95</v>
      </c>
      <c r="E8" s="2">
        <v>7906.0</v>
      </c>
      <c r="F8" s="2">
        <v>40205.86</v>
      </c>
      <c r="G8" s="4">
        <f t="shared" si="3"/>
        <v>612524.39</v>
      </c>
      <c r="H8" s="4">
        <f t="shared" si="1"/>
        <v>0.06417619067</v>
      </c>
      <c r="I8" s="4" t="str">
        <f t="shared" si="2"/>
        <v>A</v>
      </c>
    </row>
    <row r="9">
      <c r="A9" s="2">
        <v>8.0</v>
      </c>
      <c r="B9" s="2">
        <v>22197.0</v>
      </c>
      <c r="C9" s="2" t="s">
        <v>50</v>
      </c>
      <c r="D9" s="2">
        <v>0.85</v>
      </c>
      <c r="E9" s="2">
        <v>44152.0</v>
      </c>
      <c r="F9" s="2">
        <v>39689.8</v>
      </c>
      <c r="G9" s="4">
        <f t="shared" si="3"/>
        <v>652214.19</v>
      </c>
      <c r="H9" s="4">
        <f t="shared" si="1"/>
        <v>0.06833462127</v>
      </c>
      <c r="I9" s="4" t="str">
        <f t="shared" si="2"/>
        <v>A</v>
      </c>
      <c r="K9" s="1" t="s">
        <v>51</v>
      </c>
      <c r="L9" s="1" t="s">
        <v>52</v>
      </c>
      <c r="M9" s="1" t="s">
        <v>53</v>
      </c>
      <c r="N9" s="1" t="s">
        <v>54</v>
      </c>
      <c r="O9" s="1" t="s">
        <v>55</v>
      </c>
      <c r="Q9" s="1" t="s">
        <v>56</v>
      </c>
      <c r="R9" s="1" t="s">
        <v>57</v>
      </c>
      <c r="S9" s="1" t="s">
        <v>58</v>
      </c>
      <c r="T9" s="1" t="s">
        <v>59</v>
      </c>
    </row>
    <row r="10">
      <c r="A10" s="2">
        <v>9.0</v>
      </c>
      <c r="B10" s="2">
        <v>22386.0</v>
      </c>
      <c r="C10" s="2" t="s">
        <v>60</v>
      </c>
      <c r="D10" s="2">
        <v>1.95</v>
      </c>
      <c r="E10" s="2">
        <v>19506.0</v>
      </c>
      <c r="F10" s="2">
        <v>37784.09</v>
      </c>
      <c r="G10" s="4">
        <f t="shared" si="3"/>
        <v>689998.28</v>
      </c>
      <c r="H10" s="4">
        <f t="shared" si="1"/>
        <v>0.07229338439</v>
      </c>
      <c r="I10" s="4" t="str">
        <f t="shared" si="2"/>
        <v>A</v>
      </c>
      <c r="K10" s="4" t="str">
        <f t="shared" ref="K10:M10" si="4">C2</f>
        <v>REGENCY CAKESTAND 3 TIER</v>
      </c>
      <c r="L10" s="4">
        <f t="shared" si="4"/>
        <v>12.75</v>
      </c>
      <c r="M10" s="4">
        <f t="shared" si="4"/>
        <v>12894</v>
      </c>
      <c r="N10" s="4">
        <f t="shared" ref="N10:N19" si="6">L10*$L$7</f>
        <v>2.55</v>
      </c>
      <c r="O10" s="4">
        <f t="shared" ref="O10:O19" si="7">SQRT(2*M10*$K$7/N10)</f>
        <v>711.0886434</v>
      </c>
      <c r="Q10" s="2">
        <v>244.3557692</v>
      </c>
      <c r="R10" s="2">
        <v>178.3368645</v>
      </c>
      <c r="S10" s="4">
        <f t="shared" ref="S10:S19" si="8">$L$22*R10*SQRT($K$22)</f>
        <v>416.1405805</v>
      </c>
      <c r="T10" s="4">
        <f t="shared" ref="T10:T19" si="9">S10+Q10*$K$22</f>
        <v>904.8521189</v>
      </c>
    </row>
    <row r="11">
      <c r="A11" s="2">
        <v>10.0</v>
      </c>
      <c r="B11" s="2">
        <v>20725.0</v>
      </c>
      <c r="C11" s="2" t="s">
        <v>61</v>
      </c>
      <c r="D11" s="2">
        <v>1.65</v>
      </c>
      <c r="E11" s="2">
        <v>19968.0</v>
      </c>
      <c r="F11" s="2">
        <v>35278.0</v>
      </c>
      <c r="G11" s="4">
        <f t="shared" si="3"/>
        <v>725276.28</v>
      </c>
      <c r="H11" s="4">
        <f t="shared" si="1"/>
        <v>0.07598957624</v>
      </c>
      <c r="I11" s="4" t="str">
        <f t="shared" si="2"/>
        <v>A</v>
      </c>
      <c r="K11" s="4" t="str">
        <f t="shared" ref="K11:M11" si="5">C3</f>
        <v>WHITE HANGING HEART T-LIGHT HOLDER</v>
      </c>
      <c r="L11" s="4">
        <f t="shared" si="5"/>
        <v>2.95</v>
      </c>
      <c r="M11" s="4">
        <f t="shared" si="5"/>
        <v>45480</v>
      </c>
      <c r="N11" s="4">
        <f t="shared" si="6"/>
        <v>0.59</v>
      </c>
      <c r="O11" s="4">
        <f t="shared" si="7"/>
        <v>2776.413978</v>
      </c>
      <c r="Q11" s="2">
        <v>850.5673077</v>
      </c>
      <c r="R11" s="2">
        <v>496.452322</v>
      </c>
      <c r="S11" s="4">
        <f t="shared" si="8"/>
        <v>1158.447851</v>
      </c>
      <c r="T11" s="4">
        <f t="shared" si="9"/>
        <v>2859.582467</v>
      </c>
    </row>
    <row r="12">
      <c r="A12" s="2">
        <v>11.0</v>
      </c>
      <c r="B12" s="2" t="s">
        <v>62</v>
      </c>
      <c r="C12" s="2" t="s">
        <v>63</v>
      </c>
      <c r="D12" s="2">
        <v>1.95</v>
      </c>
      <c r="E12" s="2">
        <v>18340.0</v>
      </c>
      <c r="F12" s="2">
        <v>33838.79</v>
      </c>
      <c r="G12" s="4">
        <f t="shared" si="3"/>
        <v>759115.07</v>
      </c>
      <c r="H12" s="4">
        <f t="shared" si="1"/>
        <v>0.07953497732</v>
      </c>
      <c r="I12" s="4" t="str">
        <f t="shared" si="2"/>
        <v>A</v>
      </c>
      <c r="K12" s="4" t="str">
        <f t="shared" ref="K12:M12" si="10">C4</f>
        <v>JUMBO BAG RED RETROSPOT</v>
      </c>
      <c r="L12" s="4">
        <f t="shared" si="10"/>
        <v>1.95</v>
      </c>
      <c r="M12" s="4">
        <f t="shared" si="10"/>
        <v>48012</v>
      </c>
      <c r="N12" s="4">
        <f t="shared" si="6"/>
        <v>0.39</v>
      </c>
      <c r="O12" s="4">
        <f t="shared" si="7"/>
        <v>3508.670579</v>
      </c>
      <c r="Q12" s="2">
        <v>907.4423077</v>
      </c>
      <c r="R12" s="2">
        <v>473.9574318</v>
      </c>
      <c r="S12" s="4">
        <f t="shared" si="8"/>
        <v>1105.957096</v>
      </c>
      <c r="T12" s="4">
        <f t="shared" si="9"/>
        <v>2920.841712</v>
      </c>
    </row>
    <row r="13">
      <c r="A13" s="2">
        <v>12.0</v>
      </c>
      <c r="B13" s="2">
        <v>48138.0</v>
      </c>
      <c r="C13" s="2" t="s">
        <v>64</v>
      </c>
      <c r="D13" s="2">
        <v>7.49</v>
      </c>
      <c r="E13" s="2">
        <v>5036.0</v>
      </c>
      <c r="F13" s="2">
        <v>33483.12</v>
      </c>
      <c r="G13" s="4">
        <f t="shared" si="3"/>
        <v>792598.19</v>
      </c>
      <c r="H13" s="4">
        <f t="shared" si="1"/>
        <v>0.0830431137</v>
      </c>
      <c r="I13" s="4" t="str">
        <f t="shared" si="2"/>
        <v>A</v>
      </c>
      <c r="K13" s="4" t="str">
        <f t="shared" ref="K13:M13" si="11">C5</f>
        <v>PARTY BUNTING</v>
      </c>
      <c r="L13" s="4">
        <f t="shared" si="11"/>
        <v>4.95</v>
      </c>
      <c r="M13" s="4">
        <f t="shared" si="11"/>
        <v>14008</v>
      </c>
      <c r="N13" s="4">
        <f t="shared" si="6"/>
        <v>0.99</v>
      </c>
      <c r="O13" s="4">
        <f t="shared" si="7"/>
        <v>1189.516496</v>
      </c>
      <c r="Q13" s="2">
        <v>268.2884615</v>
      </c>
      <c r="R13" s="2">
        <v>240.7891021</v>
      </c>
      <c r="S13" s="4">
        <f t="shared" si="8"/>
        <v>561.8699029</v>
      </c>
      <c r="T13" s="4">
        <f t="shared" si="9"/>
        <v>1098.446826</v>
      </c>
    </row>
    <row r="14">
      <c r="A14" s="2">
        <v>13.0</v>
      </c>
      <c r="B14" s="2">
        <v>23084.0</v>
      </c>
      <c r="C14" s="2" t="s">
        <v>65</v>
      </c>
      <c r="D14" s="2">
        <v>2.08</v>
      </c>
      <c r="E14" s="2">
        <v>15379.0</v>
      </c>
      <c r="F14" s="2">
        <v>33451.3</v>
      </c>
      <c r="G14" s="4">
        <f t="shared" si="3"/>
        <v>826049.49</v>
      </c>
      <c r="H14" s="4">
        <f t="shared" si="1"/>
        <v>0.08654791619</v>
      </c>
      <c r="I14" s="4" t="str">
        <f t="shared" si="2"/>
        <v>A</v>
      </c>
      <c r="K14" s="4" t="str">
        <f t="shared" ref="K14:M14" si="12">C6</f>
        <v>ASSORTED COLOUR BIRD ORNAMENT</v>
      </c>
      <c r="L14" s="4">
        <f t="shared" si="12"/>
        <v>1.69</v>
      </c>
      <c r="M14" s="4">
        <f t="shared" si="12"/>
        <v>39922</v>
      </c>
      <c r="N14" s="4">
        <f t="shared" si="6"/>
        <v>0.338</v>
      </c>
      <c r="O14" s="4">
        <f t="shared" si="7"/>
        <v>3436.748842</v>
      </c>
      <c r="Q14" s="2">
        <v>741.8076923</v>
      </c>
      <c r="R14" s="2">
        <v>694.7721157</v>
      </c>
      <c r="S14" s="4">
        <f t="shared" si="8"/>
        <v>1621.217645</v>
      </c>
      <c r="T14" s="4">
        <f t="shared" si="9"/>
        <v>3104.83303</v>
      </c>
    </row>
    <row r="15">
      <c r="A15" s="2">
        <v>14.0</v>
      </c>
      <c r="B15" s="2">
        <v>20685.0</v>
      </c>
      <c r="C15" s="2" t="s">
        <v>66</v>
      </c>
      <c r="D15" s="2">
        <v>7.95</v>
      </c>
      <c r="E15" s="2">
        <v>4850.0</v>
      </c>
      <c r="F15" s="2">
        <v>32924.29</v>
      </c>
      <c r="G15" s="4">
        <f t="shared" si="3"/>
        <v>858973.78</v>
      </c>
      <c r="H15" s="4">
        <f t="shared" si="1"/>
        <v>0.08999750211</v>
      </c>
      <c r="I15" s="4" t="str">
        <f t="shared" si="2"/>
        <v>A</v>
      </c>
      <c r="K15" s="4" t="str">
        <f t="shared" ref="K15:M15" si="13">C7</f>
        <v>PAPER CHAIN KIT 50'S CHRISTMAS</v>
      </c>
      <c r="L15" s="4">
        <f t="shared" si="13"/>
        <v>2.95</v>
      </c>
      <c r="M15" s="4">
        <f t="shared" si="13"/>
        <v>17330</v>
      </c>
      <c r="N15" s="4">
        <f t="shared" si="6"/>
        <v>0.59</v>
      </c>
      <c r="O15" s="4">
        <f t="shared" si="7"/>
        <v>1713.851842</v>
      </c>
      <c r="Q15" s="2">
        <v>299.125</v>
      </c>
      <c r="R15" s="2">
        <v>522.8001286</v>
      </c>
      <c r="S15" s="4">
        <f t="shared" si="8"/>
        <v>1219.929203</v>
      </c>
      <c r="T15" s="4">
        <f t="shared" si="9"/>
        <v>1818.179203</v>
      </c>
    </row>
    <row r="16">
      <c r="A16" s="2">
        <v>15.0</v>
      </c>
      <c r="B16" s="2">
        <v>21137.0</v>
      </c>
      <c r="C16" s="2" t="s">
        <v>67</v>
      </c>
      <c r="D16" s="2">
        <v>3.75</v>
      </c>
      <c r="E16" s="2">
        <v>9368.0</v>
      </c>
      <c r="F16" s="2">
        <v>32589.02</v>
      </c>
      <c r="G16" s="4">
        <f t="shared" si="3"/>
        <v>891562.8</v>
      </c>
      <c r="H16" s="4">
        <f t="shared" si="1"/>
        <v>0.09341196069</v>
      </c>
      <c r="I16" s="4" t="str">
        <f t="shared" si="2"/>
        <v>A</v>
      </c>
      <c r="K16" s="4" t="str">
        <f t="shared" ref="K16:M16" si="14">C8</f>
        <v>CHILLI LIGHTS</v>
      </c>
      <c r="L16" s="4">
        <f t="shared" si="14"/>
        <v>4.95</v>
      </c>
      <c r="M16" s="4">
        <f t="shared" si="14"/>
        <v>7906</v>
      </c>
      <c r="N16" s="4">
        <f t="shared" si="6"/>
        <v>0.99</v>
      </c>
      <c r="O16" s="4">
        <f t="shared" si="7"/>
        <v>893.6363123</v>
      </c>
      <c r="Q16" s="2">
        <v>148.25</v>
      </c>
      <c r="R16" s="2">
        <v>190.5851363</v>
      </c>
      <c r="S16" s="4">
        <f t="shared" si="8"/>
        <v>444.7213395</v>
      </c>
      <c r="T16" s="4">
        <f t="shared" si="9"/>
        <v>741.2213395</v>
      </c>
    </row>
    <row r="17">
      <c r="A17" s="2">
        <v>16.0</v>
      </c>
      <c r="B17" s="2">
        <v>21843.0</v>
      </c>
      <c r="C17" s="2" t="s">
        <v>68</v>
      </c>
      <c r="D17" s="2">
        <v>10.95</v>
      </c>
      <c r="E17" s="2">
        <v>2914.0</v>
      </c>
      <c r="F17" s="2">
        <v>31316.82</v>
      </c>
      <c r="G17" s="4">
        <f t="shared" si="3"/>
        <v>922879.62</v>
      </c>
      <c r="H17" s="4">
        <f t="shared" si="1"/>
        <v>0.09669312671</v>
      </c>
      <c r="I17" s="4" t="str">
        <f t="shared" si="2"/>
        <v>A</v>
      </c>
      <c r="K17" s="4" t="str">
        <f t="shared" ref="K17:M17" si="15">C9</f>
        <v>SMALL POPCORN HOLDER</v>
      </c>
      <c r="L17" s="4">
        <f t="shared" si="15"/>
        <v>0.85</v>
      </c>
      <c r="M17" s="4">
        <f t="shared" si="15"/>
        <v>44152</v>
      </c>
      <c r="N17" s="4">
        <f t="shared" si="6"/>
        <v>0.17</v>
      </c>
      <c r="O17" s="4">
        <f t="shared" si="7"/>
        <v>5096.250063</v>
      </c>
      <c r="Q17" s="2">
        <v>799.7115385</v>
      </c>
      <c r="R17" s="2">
        <v>903.032267</v>
      </c>
      <c r="S17" s="4">
        <f t="shared" si="8"/>
        <v>2107.182791</v>
      </c>
      <c r="T17" s="4">
        <f t="shared" si="9"/>
        <v>3706.605868</v>
      </c>
    </row>
    <row r="18">
      <c r="A18" s="2">
        <v>17.0</v>
      </c>
      <c r="B18" s="2">
        <v>21931.0</v>
      </c>
      <c r="C18" s="2" t="s">
        <v>69</v>
      </c>
      <c r="D18" s="2">
        <v>1.95</v>
      </c>
      <c r="E18" s="2">
        <v>14425.0</v>
      </c>
      <c r="F18" s="2">
        <v>30470.99</v>
      </c>
      <c r="G18" s="4">
        <f t="shared" si="3"/>
        <v>953350.61</v>
      </c>
      <c r="H18" s="4">
        <f t="shared" si="1"/>
        <v>0.09988567234</v>
      </c>
      <c r="I18" s="4" t="str">
        <f t="shared" si="2"/>
        <v>A</v>
      </c>
      <c r="K18" s="4" t="str">
        <f t="shared" ref="K18:M18" si="16">C10</f>
        <v>JUMBO BAG PINK POLKADOT</v>
      </c>
      <c r="L18" s="4">
        <f t="shared" si="16"/>
        <v>1.95</v>
      </c>
      <c r="M18" s="4">
        <f t="shared" si="16"/>
        <v>19506</v>
      </c>
      <c r="N18" s="4">
        <f t="shared" si="6"/>
        <v>0.39</v>
      </c>
      <c r="O18" s="4">
        <f t="shared" si="7"/>
        <v>2236.411961</v>
      </c>
      <c r="Q18" s="2">
        <v>374.125</v>
      </c>
      <c r="R18" s="2">
        <v>254.299521</v>
      </c>
      <c r="S18" s="4">
        <f t="shared" si="8"/>
        <v>593.395822</v>
      </c>
      <c r="T18" s="4">
        <f t="shared" si="9"/>
        <v>1341.645822</v>
      </c>
    </row>
    <row r="19">
      <c r="A19" s="2">
        <v>18.0</v>
      </c>
      <c r="B19" s="2">
        <v>21621.0</v>
      </c>
      <c r="C19" s="2" t="s">
        <v>70</v>
      </c>
      <c r="D19" s="2">
        <v>8.5</v>
      </c>
      <c r="E19" s="2">
        <v>3436.0</v>
      </c>
      <c r="F19" s="2">
        <v>30024.02</v>
      </c>
      <c r="G19" s="4">
        <f t="shared" si="3"/>
        <v>983374.63</v>
      </c>
      <c r="H19" s="4">
        <f t="shared" si="1"/>
        <v>0.1030313875</v>
      </c>
      <c r="I19" s="4" t="str">
        <f t="shared" si="2"/>
        <v>A</v>
      </c>
      <c r="K19" s="4" t="str">
        <f t="shared" ref="K19:M19" si="17">C11</f>
        <v>LUNCH BAG RED RETROSPOT</v>
      </c>
      <c r="L19" s="4">
        <f t="shared" si="17"/>
        <v>1.65</v>
      </c>
      <c r="M19" s="4">
        <f t="shared" si="17"/>
        <v>19968</v>
      </c>
      <c r="N19" s="4">
        <f t="shared" si="6"/>
        <v>0.33</v>
      </c>
      <c r="O19" s="4">
        <f t="shared" si="7"/>
        <v>2459.859567</v>
      </c>
      <c r="Q19" s="2">
        <v>378.5096154</v>
      </c>
      <c r="R19" s="2">
        <v>175.8470206</v>
      </c>
      <c r="S19" s="4">
        <f t="shared" si="8"/>
        <v>410.3306484</v>
      </c>
      <c r="T19" s="4">
        <f t="shared" si="9"/>
        <v>1167.349879</v>
      </c>
    </row>
    <row r="20">
      <c r="A20" s="2">
        <v>19.0</v>
      </c>
      <c r="B20" s="2">
        <v>22114.0</v>
      </c>
      <c r="C20" s="2" t="s">
        <v>71</v>
      </c>
      <c r="D20" s="2">
        <v>3.95</v>
      </c>
      <c r="E20" s="2">
        <v>5778.0</v>
      </c>
      <c r="F20" s="2">
        <v>29382.75</v>
      </c>
      <c r="G20" s="4">
        <f t="shared" si="3"/>
        <v>1012757.38</v>
      </c>
      <c r="H20" s="4">
        <f t="shared" si="1"/>
        <v>0.1061099146</v>
      </c>
      <c r="I20" s="4" t="str">
        <f t="shared" si="2"/>
        <v>A</v>
      </c>
    </row>
    <row r="21">
      <c r="A21" s="2">
        <v>20.0</v>
      </c>
      <c r="B21" s="2" t="s">
        <v>72</v>
      </c>
      <c r="C21" s="2" t="s">
        <v>73</v>
      </c>
      <c r="D21" s="2">
        <v>1.95</v>
      </c>
      <c r="E21" s="2">
        <v>15218.0</v>
      </c>
      <c r="F21" s="2">
        <v>29347.92</v>
      </c>
      <c r="G21" s="4">
        <f t="shared" si="3"/>
        <v>1042105.3</v>
      </c>
      <c r="H21" s="4">
        <f t="shared" si="1"/>
        <v>0.1091847925</v>
      </c>
      <c r="I21" s="4" t="str">
        <f t="shared" si="2"/>
        <v>A</v>
      </c>
      <c r="K21" s="1" t="s">
        <v>74</v>
      </c>
      <c r="L21" s="1" t="s">
        <v>75</v>
      </c>
    </row>
    <row r="22">
      <c r="A22" s="2">
        <v>21.0</v>
      </c>
      <c r="B22" s="2">
        <v>22112.0</v>
      </c>
      <c r="C22" s="2" t="s">
        <v>76</v>
      </c>
      <c r="D22" s="2">
        <v>4.95</v>
      </c>
      <c r="E22" s="2">
        <v>5528.0</v>
      </c>
      <c r="F22" s="2">
        <v>28979.57</v>
      </c>
      <c r="G22" s="4">
        <f t="shared" si="3"/>
        <v>1071084.87</v>
      </c>
      <c r="H22" s="4">
        <f t="shared" si="1"/>
        <v>0.1122210772</v>
      </c>
      <c r="I22" s="4" t="str">
        <f t="shared" si="2"/>
        <v>A</v>
      </c>
      <c r="K22" s="2">
        <v>2.0</v>
      </c>
      <c r="L22" s="2">
        <v>1.65</v>
      </c>
    </row>
    <row r="23">
      <c r="A23" s="2">
        <v>22.0</v>
      </c>
      <c r="B23" s="2" t="s">
        <v>77</v>
      </c>
      <c r="C23" s="2" t="s">
        <v>78</v>
      </c>
      <c r="D23" s="2">
        <v>5.95</v>
      </c>
      <c r="E23" s="2">
        <v>5626.0</v>
      </c>
      <c r="F23" s="2">
        <v>28883.6</v>
      </c>
      <c r="G23" s="4">
        <f t="shared" si="3"/>
        <v>1099968.47</v>
      </c>
      <c r="H23" s="4">
        <f t="shared" si="1"/>
        <v>0.1152473067</v>
      </c>
      <c r="I23" s="4" t="str">
        <f t="shared" si="2"/>
        <v>A</v>
      </c>
    </row>
    <row r="24">
      <c r="A24" s="2">
        <v>23.0</v>
      </c>
      <c r="B24" s="2">
        <v>22910.0</v>
      </c>
      <c r="C24" s="2" t="s">
        <v>79</v>
      </c>
      <c r="D24" s="2">
        <v>2.95</v>
      </c>
      <c r="E24" s="2">
        <v>9124.0</v>
      </c>
      <c r="F24" s="2">
        <v>28822.48</v>
      </c>
      <c r="G24" s="4">
        <f t="shared" si="3"/>
        <v>1128790.95</v>
      </c>
      <c r="H24" s="4">
        <f t="shared" si="1"/>
        <v>0.1182671326</v>
      </c>
      <c r="I24" s="4" t="str">
        <f t="shared" si="2"/>
        <v>A</v>
      </c>
    </row>
    <row r="25">
      <c r="A25" s="2">
        <v>24.0</v>
      </c>
      <c r="B25" s="2">
        <v>22411.0</v>
      </c>
      <c r="C25" s="2" t="s">
        <v>80</v>
      </c>
      <c r="D25" s="2">
        <v>1.95</v>
      </c>
      <c r="E25" s="2">
        <v>13462.0</v>
      </c>
      <c r="F25" s="2">
        <v>28344.94</v>
      </c>
      <c r="G25" s="4">
        <f t="shared" si="3"/>
        <v>1157135.89</v>
      </c>
      <c r="H25" s="4">
        <f t="shared" si="1"/>
        <v>0.121236925</v>
      </c>
      <c r="I25" s="4" t="str">
        <f t="shared" si="2"/>
        <v>A</v>
      </c>
    </row>
    <row r="26">
      <c r="A26" s="2">
        <v>25.0</v>
      </c>
      <c r="B26" s="2">
        <v>82484.0</v>
      </c>
      <c r="C26" s="2" t="s">
        <v>81</v>
      </c>
      <c r="D26" s="2">
        <v>6.75</v>
      </c>
      <c r="E26" s="2">
        <v>4908.0</v>
      </c>
      <c r="F26" s="2">
        <v>28334.24</v>
      </c>
      <c r="G26" s="4">
        <f t="shared" si="3"/>
        <v>1185470.13</v>
      </c>
      <c r="H26" s="4">
        <f t="shared" si="1"/>
        <v>0.1242055963</v>
      </c>
      <c r="I26" s="4" t="str">
        <f t="shared" si="2"/>
        <v>A</v>
      </c>
    </row>
    <row r="27">
      <c r="A27" s="2">
        <v>26.0</v>
      </c>
      <c r="B27" s="2">
        <v>84347.0</v>
      </c>
      <c r="C27" s="2" t="s">
        <v>82</v>
      </c>
      <c r="D27" s="2">
        <v>2.55</v>
      </c>
      <c r="E27" s="2">
        <v>11034.0</v>
      </c>
      <c r="F27" s="2">
        <v>27763.95</v>
      </c>
      <c r="G27" s="4">
        <f t="shared" si="3"/>
        <v>1213234.08</v>
      </c>
      <c r="H27" s="4">
        <f t="shared" si="1"/>
        <v>0.1271145164</v>
      </c>
      <c r="I27" s="4" t="str">
        <f t="shared" si="2"/>
        <v>A</v>
      </c>
    </row>
    <row r="28">
      <c r="A28" s="2">
        <v>27.0</v>
      </c>
      <c r="B28" s="2">
        <v>22470.0</v>
      </c>
      <c r="C28" s="2" t="s">
        <v>83</v>
      </c>
      <c r="D28" s="2">
        <v>2.95</v>
      </c>
      <c r="E28" s="2">
        <v>8743.0</v>
      </c>
      <c r="F28" s="2">
        <v>26393.74</v>
      </c>
      <c r="G28" s="4">
        <f t="shared" si="3"/>
        <v>1239627.82</v>
      </c>
      <c r="H28" s="4">
        <f t="shared" si="1"/>
        <v>0.1298798752</v>
      </c>
      <c r="I28" s="4" t="str">
        <f t="shared" si="2"/>
        <v>A</v>
      </c>
    </row>
    <row r="29">
      <c r="A29" s="2">
        <v>28.0</v>
      </c>
      <c r="B29" s="2">
        <v>20914.0</v>
      </c>
      <c r="C29" s="2" t="s">
        <v>84</v>
      </c>
      <c r="D29" s="2">
        <v>2.95</v>
      </c>
      <c r="E29" s="2">
        <v>9221.0</v>
      </c>
      <c r="F29" s="2">
        <v>25962.78</v>
      </c>
      <c r="G29" s="4">
        <f t="shared" si="3"/>
        <v>1265590.6</v>
      </c>
      <c r="H29" s="4">
        <f t="shared" si="1"/>
        <v>0.1326000809</v>
      </c>
      <c r="I29" s="4" t="str">
        <f t="shared" si="2"/>
        <v>A</v>
      </c>
    </row>
    <row r="30">
      <c r="A30" s="2">
        <v>29.0</v>
      </c>
      <c r="B30" s="2">
        <v>22178.0</v>
      </c>
      <c r="C30" s="2" t="s">
        <v>85</v>
      </c>
      <c r="D30" s="2">
        <v>1.25</v>
      </c>
      <c r="E30" s="2">
        <v>19798.0</v>
      </c>
      <c r="F30" s="2">
        <v>25923.64</v>
      </c>
      <c r="G30" s="4">
        <f t="shared" si="3"/>
        <v>1291514.24</v>
      </c>
      <c r="H30" s="4">
        <f t="shared" si="1"/>
        <v>0.1353161857</v>
      </c>
      <c r="I30" s="4" t="str">
        <f t="shared" si="2"/>
        <v>A</v>
      </c>
    </row>
    <row r="31">
      <c r="A31" s="2">
        <v>30.0</v>
      </c>
      <c r="B31" s="2">
        <v>21212.0</v>
      </c>
      <c r="C31" s="2" t="s">
        <v>86</v>
      </c>
      <c r="D31" s="2">
        <v>0.55</v>
      </c>
      <c r="E31" s="2">
        <v>47098.0</v>
      </c>
      <c r="F31" s="2">
        <v>25731.18</v>
      </c>
      <c r="G31" s="4">
        <f t="shared" si="3"/>
        <v>1317245.42</v>
      </c>
      <c r="H31" s="4">
        <f t="shared" si="1"/>
        <v>0.1380121259</v>
      </c>
      <c r="I31" s="4" t="str">
        <f t="shared" si="2"/>
        <v>A</v>
      </c>
    </row>
    <row r="32">
      <c r="A32" s="2">
        <v>31.0</v>
      </c>
      <c r="B32" s="2">
        <v>22139.0</v>
      </c>
      <c r="C32" s="2" t="s">
        <v>87</v>
      </c>
      <c r="D32" s="2">
        <v>4.95</v>
      </c>
      <c r="E32" s="2">
        <v>5127.0</v>
      </c>
      <c r="F32" s="2">
        <v>25667.48</v>
      </c>
      <c r="G32" s="4">
        <f t="shared" si="3"/>
        <v>1342912.9</v>
      </c>
      <c r="H32" s="4">
        <f t="shared" si="1"/>
        <v>0.140701392</v>
      </c>
      <c r="I32" s="4" t="str">
        <f t="shared" si="2"/>
        <v>A</v>
      </c>
    </row>
    <row r="33">
      <c r="A33" s="2">
        <v>32.0</v>
      </c>
      <c r="B33" s="2">
        <v>21181.0</v>
      </c>
      <c r="C33" s="2" t="s">
        <v>88</v>
      </c>
      <c r="D33" s="2">
        <v>2.1</v>
      </c>
      <c r="E33" s="2">
        <v>12360.0</v>
      </c>
      <c r="F33" s="2">
        <v>25051.97</v>
      </c>
      <c r="G33" s="4">
        <f t="shared" si="3"/>
        <v>1367964.87</v>
      </c>
      <c r="H33" s="4">
        <f t="shared" si="1"/>
        <v>0.1433261691</v>
      </c>
      <c r="I33" s="4" t="str">
        <f t="shared" si="2"/>
        <v>A</v>
      </c>
    </row>
    <row r="34">
      <c r="A34" s="2">
        <v>33.0</v>
      </c>
      <c r="B34" s="2">
        <v>22111.0</v>
      </c>
      <c r="C34" s="2" t="s">
        <v>89</v>
      </c>
      <c r="D34" s="2">
        <v>4.95</v>
      </c>
      <c r="E34" s="2">
        <v>4868.0</v>
      </c>
      <c r="F34" s="2">
        <v>24807.97</v>
      </c>
      <c r="G34" s="4">
        <f t="shared" si="3"/>
        <v>1392772.84</v>
      </c>
      <c r="H34" s="4">
        <f t="shared" si="1"/>
        <v>0.1459253816</v>
      </c>
      <c r="I34" s="4" t="str">
        <f t="shared" si="2"/>
        <v>A</v>
      </c>
    </row>
    <row r="35">
      <c r="A35" s="2">
        <v>34.0</v>
      </c>
      <c r="B35" s="2">
        <v>21733.0</v>
      </c>
      <c r="C35" s="2" t="s">
        <v>90</v>
      </c>
      <c r="D35" s="2">
        <v>2.95</v>
      </c>
      <c r="E35" s="2">
        <v>8618.0</v>
      </c>
      <c r="F35" s="2">
        <v>24743.62</v>
      </c>
      <c r="G35" s="4">
        <f t="shared" si="3"/>
        <v>1417516.46</v>
      </c>
      <c r="H35" s="4">
        <f t="shared" si="1"/>
        <v>0.1485178518</v>
      </c>
      <c r="I35" s="4" t="str">
        <f t="shared" si="2"/>
        <v>A</v>
      </c>
    </row>
    <row r="36">
      <c r="A36" s="2">
        <v>35.0</v>
      </c>
      <c r="B36" s="2">
        <v>21929.0</v>
      </c>
      <c r="C36" s="2" t="s">
        <v>91</v>
      </c>
      <c r="D36" s="2">
        <v>1.95</v>
      </c>
      <c r="E36" s="2">
        <v>12686.0</v>
      </c>
      <c r="F36" s="2">
        <v>24617.79</v>
      </c>
      <c r="G36" s="4">
        <f t="shared" si="3"/>
        <v>1442134.25</v>
      </c>
      <c r="H36" s="4">
        <f t="shared" si="1"/>
        <v>0.1510971385</v>
      </c>
      <c r="I36" s="4" t="str">
        <f t="shared" si="2"/>
        <v>A</v>
      </c>
    </row>
    <row r="37">
      <c r="A37" s="2">
        <v>36.0</v>
      </c>
      <c r="B37" s="2">
        <v>22090.0</v>
      </c>
      <c r="C37" s="2" t="s">
        <v>92</v>
      </c>
      <c r="D37" s="2">
        <v>2.95</v>
      </c>
      <c r="E37" s="2">
        <v>8114.0</v>
      </c>
      <c r="F37" s="2">
        <v>24609.22</v>
      </c>
      <c r="G37" s="4">
        <f t="shared" si="3"/>
        <v>1466743.47</v>
      </c>
      <c r="H37" s="4">
        <f t="shared" si="1"/>
        <v>0.1536755273</v>
      </c>
      <c r="I37" s="4" t="str">
        <f t="shared" si="2"/>
        <v>A</v>
      </c>
    </row>
    <row r="38">
      <c r="A38" s="2">
        <v>37.0</v>
      </c>
      <c r="B38" s="2">
        <v>22189.0</v>
      </c>
      <c r="C38" s="2" t="s">
        <v>93</v>
      </c>
      <c r="D38" s="2">
        <v>3.95</v>
      </c>
      <c r="E38" s="2">
        <v>8082.0</v>
      </c>
      <c r="F38" s="2">
        <v>24609.0</v>
      </c>
      <c r="G38" s="4">
        <f t="shared" si="3"/>
        <v>1491352.47</v>
      </c>
      <c r="H38" s="4">
        <f t="shared" si="1"/>
        <v>0.1562538929</v>
      </c>
      <c r="I38" s="4" t="str">
        <f t="shared" si="2"/>
        <v>A</v>
      </c>
    </row>
    <row r="39">
      <c r="A39" s="2">
        <v>38.0</v>
      </c>
      <c r="B39" s="2">
        <v>21232.0</v>
      </c>
      <c r="C39" s="2" t="s">
        <v>94</v>
      </c>
      <c r="D39" s="2">
        <v>1.25</v>
      </c>
      <c r="E39" s="2">
        <v>18903.0</v>
      </c>
      <c r="F39" s="2">
        <v>24544.59</v>
      </c>
      <c r="G39" s="4">
        <f t="shared" si="3"/>
        <v>1515897.06</v>
      </c>
      <c r="H39" s="4">
        <f t="shared" si="1"/>
        <v>0.1588255102</v>
      </c>
      <c r="I39" s="4" t="str">
        <f t="shared" si="2"/>
        <v>A</v>
      </c>
    </row>
    <row r="40">
      <c r="A40" s="2">
        <v>39.0</v>
      </c>
      <c r="B40" s="2">
        <v>84946.0</v>
      </c>
      <c r="C40" s="2" t="s">
        <v>95</v>
      </c>
      <c r="D40" s="2">
        <v>1.25</v>
      </c>
      <c r="E40" s="2">
        <v>18258.0</v>
      </c>
      <c r="F40" s="2">
        <v>24520.68</v>
      </c>
      <c r="G40" s="4">
        <f t="shared" si="3"/>
        <v>1540417.74</v>
      </c>
      <c r="H40" s="4">
        <f t="shared" si="1"/>
        <v>0.1613946223</v>
      </c>
      <c r="I40" s="4" t="str">
        <f t="shared" si="2"/>
        <v>A</v>
      </c>
    </row>
    <row r="41">
      <c r="A41" s="2">
        <v>40.0</v>
      </c>
      <c r="B41" s="2">
        <v>22469.0</v>
      </c>
      <c r="C41" s="2" t="s">
        <v>96</v>
      </c>
      <c r="D41" s="2">
        <v>1.65</v>
      </c>
      <c r="E41" s="2">
        <v>13900.0</v>
      </c>
      <c r="F41" s="2">
        <v>24390.46</v>
      </c>
      <c r="G41" s="4">
        <f t="shared" si="3"/>
        <v>1564808.2</v>
      </c>
      <c r="H41" s="4">
        <f t="shared" si="1"/>
        <v>0.1639500909</v>
      </c>
      <c r="I41" s="4" t="str">
        <f t="shared" si="2"/>
        <v>A</v>
      </c>
    </row>
    <row r="42">
      <c r="A42" s="2">
        <v>41.0</v>
      </c>
      <c r="B42" s="2">
        <v>48194.0</v>
      </c>
      <c r="C42" s="2" t="s">
        <v>97</v>
      </c>
      <c r="D42" s="2">
        <v>7.95</v>
      </c>
      <c r="E42" s="2">
        <v>3863.0</v>
      </c>
      <c r="F42" s="2">
        <v>24364.68</v>
      </c>
      <c r="G42" s="4">
        <f t="shared" si="3"/>
        <v>1589172.88</v>
      </c>
      <c r="H42" s="4">
        <f t="shared" si="1"/>
        <v>0.1665028584</v>
      </c>
      <c r="I42" s="4" t="str">
        <f t="shared" si="2"/>
        <v>A</v>
      </c>
    </row>
    <row r="43">
      <c r="A43" s="2">
        <v>42.0</v>
      </c>
      <c r="B43" s="2">
        <v>22457.0</v>
      </c>
      <c r="C43" s="2" t="s">
        <v>98</v>
      </c>
      <c r="D43" s="2">
        <v>2.95</v>
      </c>
      <c r="E43" s="2">
        <v>7700.0</v>
      </c>
      <c r="F43" s="2">
        <v>23685.42</v>
      </c>
      <c r="G43" s="4">
        <f t="shared" si="3"/>
        <v>1612858.3</v>
      </c>
      <c r="H43" s="4">
        <f t="shared" si="1"/>
        <v>0.1689844575</v>
      </c>
      <c r="I43" s="4" t="str">
        <f t="shared" si="2"/>
        <v>A</v>
      </c>
    </row>
    <row r="44">
      <c r="A44" s="2">
        <v>43.0</v>
      </c>
      <c r="B44" s="2">
        <v>21731.0</v>
      </c>
      <c r="C44" s="2" t="s">
        <v>99</v>
      </c>
      <c r="D44" s="2">
        <v>1.65</v>
      </c>
      <c r="E44" s="2">
        <v>14058.0</v>
      </c>
      <c r="F44" s="2">
        <v>23578.7</v>
      </c>
      <c r="G44" s="4">
        <f t="shared" si="3"/>
        <v>1636437</v>
      </c>
      <c r="H44" s="4">
        <f t="shared" si="1"/>
        <v>0.1714548753</v>
      </c>
      <c r="I44" s="4" t="str">
        <f t="shared" si="2"/>
        <v>A</v>
      </c>
    </row>
    <row r="45">
      <c r="A45" s="2">
        <v>44.0</v>
      </c>
      <c r="B45" s="2" t="s">
        <v>100</v>
      </c>
      <c r="C45" s="2" t="s">
        <v>101</v>
      </c>
      <c r="D45" s="2">
        <v>5.95</v>
      </c>
      <c r="E45" s="2">
        <v>4712.0</v>
      </c>
      <c r="F45" s="2">
        <v>23452.75</v>
      </c>
      <c r="G45" s="4">
        <f t="shared" si="3"/>
        <v>1659889.75</v>
      </c>
      <c r="H45" s="4">
        <f t="shared" si="1"/>
        <v>0.1739120969</v>
      </c>
      <c r="I45" s="4" t="str">
        <f t="shared" si="2"/>
        <v>A</v>
      </c>
    </row>
    <row r="46">
      <c r="A46" s="2">
        <v>45.0</v>
      </c>
      <c r="B46" s="2">
        <v>21754.0</v>
      </c>
      <c r="C46" s="2" t="s">
        <v>102</v>
      </c>
      <c r="D46" s="2">
        <v>5.95</v>
      </c>
      <c r="E46" s="2">
        <v>3816.0</v>
      </c>
      <c r="F46" s="2">
        <v>23366.34</v>
      </c>
      <c r="G46" s="4">
        <f t="shared" si="3"/>
        <v>1683256.09</v>
      </c>
      <c r="H46" s="4">
        <f t="shared" si="1"/>
        <v>0.1763602651</v>
      </c>
      <c r="I46" s="4" t="str">
        <f t="shared" si="2"/>
        <v>A</v>
      </c>
    </row>
    <row r="47">
      <c r="A47" s="2">
        <v>46.0</v>
      </c>
      <c r="B47" s="2">
        <v>48187.0</v>
      </c>
      <c r="C47" s="2" t="s">
        <v>103</v>
      </c>
      <c r="D47" s="2">
        <v>7.72</v>
      </c>
      <c r="E47" s="2">
        <v>3668.0</v>
      </c>
      <c r="F47" s="2">
        <v>23286.98</v>
      </c>
      <c r="G47" s="4">
        <f t="shared" si="3"/>
        <v>1706543.07</v>
      </c>
      <c r="H47" s="4">
        <f t="shared" si="1"/>
        <v>0.1788001184</v>
      </c>
      <c r="I47" s="4" t="str">
        <f t="shared" si="2"/>
        <v>A</v>
      </c>
    </row>
    <row r="48">
      <c r="A48" s="2">
        <v>47.0</v>
      </c>
      <c r="B48" s="2">
        <v>21523.0</v>
      </c>
      <c r="C48" s="2" t="s">
        <v>104</v>
      </c>
      <c r="D48" s="2">
        <v>7.95</v>
      </c>
      <c r="E48" s="2">
        <v>3458.0</v>
      </c>
      <c r="F48" s="2">
        <v>23037.65</v>
      </c>
      <c r="G48" s="4">
        <f t="shared" si="3"/>
        <v>1729580.72</v>
      </c>
      <c r="H48" s="4">
        <f t="shared" si="1"/>
        <v>0.1812138486</v>
      </c>
      <c r="I48" s="4" t="str">
        <f t="shared" si="2"/>
        <v>A</v>
      </c>
    </row>
    <row r="49">
      <c r="A49" s="2">
        <v>48.0</v>
      </c>
      <c r="B49" s="2">
        <v>21928.0</v>
      </c>
      <c r="C49" s="2" t="s">
        <v>105</v>
      </c>
      <c r="D49" s="2">
        <v>1.95</v>
      </c>
      <c r="E49" s="2">
        <v>12042.0</v>
      </c>
      <c r="F49" s="2">
        <v>22939.03</v>
      </c>
      <c r="G49" s="4">
        <f t="shared" si="3"/>
        <v>1752519.75</v>
      </c>
      <c r="H49" s="4">
        <f t="shared" si="1"/>
        <v>0.183617246</v>
      </c>
      <c r="I49" s="4" t="str">
        <f t="shared" si="2"/>
        <v>A</v>
      </c>
    </row>
    <row r="50">
      <c r="A50" s="2">
        <v>49.0</v>
      </c>
      <c r="B50" s="2">
        <v>22355.0</v>
      </c>
      <c r="C50" s="2" t="s">
        <v>106</v>
      </c>
      <c r="D50" s="2">
        <v>0.85</v>
      </c>
      <c r="E50" s="2">
        <v>15945.0</v>
      </c>
      <c r="F50" s="2">
        <v>22667.23</v>
      </c>
      <c r="G50" s="4">
        <f t="shared" si="3"/>
        <v>1775186.98</v>
      </c>
      <c r="H50" s="4">
        <f t="shared" si="1"/>
        <v>0.1859921661</v>
      </c>
      <c r="I50" s="4" t="str">
        <f t="shared" si="2"/>
        <v>A</v>
      </c>
    </row>
    <row r="51">
      <c r="A51" s="2">
        <v>50.0</v>
      </c>
      <c r="B51" s="2">
        <v>21623.0</v>
      </c>
      <c r="C51" s="2" t="s">
        <v>107</v>
      </c>
      <c r="D51" s="2">
        <v>9.95</v>
      </c>
      <c r="E51" s="2">
        <v>3062.0</v>
      </c>
      <c r="F51" s="2">
        <v>22521.14</v>
      </c>
      <c r="G51" s="4">
        <f t="shared" si="3"/>
        <v>1797708.12</v>
      </c>
      <c r="H51" s="4">
        <f t="shared" si="1"/>
        <v>0.1883517799</v>
      </c>
      <c r="I51" s="4" t="str">
        <f t="shared" si="2"/>
        <v>A</v>
      </c>
    </row>
    <row r="52">
      <c r="A52" s="2">
        <v>51.0</v>
      </c>
      <c r="B52" s="2">
        <v>22326.0</v>
      </c>
      <c r="C52" s="2" t="s">
        <v>108</v>
      </c>
      <c r="D52" s="2">
        <v>2.95</v>
      </c>
      <c r="E52" s="2">
        <v>7726.0</v>
      </c>
      <c r="F52" s="2">
        <v>22136.25</v>
      </c>
      <c r="G52" s="4">
        <f t="shared" si="3"/>
        <v>1819844.37</v>
      </c>
      <c r="H52" s="4">
        <f t="shared" si="1"/>
        <v>0.1906710674</v>
      </c>
      <c r="I52" s="4" t="str">
        <f t="shared" si="2"/>
        <v>A</v>
      </c>
    </row>
    <row r="53">
      <c r="A53" s="2">
        <v>52.0</v>
      </c>
      <c r="B53" s="2">
        <v>20727.0</v>
      </c>
      <c r="C53" s="2" t="s">
        <v>109</v>
      </c>
      <c r="D53" s="2">
        <v>1.65</v>
      </c>
      <c r="E53" s="2">
        <v>12828.0</v>
      </c>
      <c r="F53" s="2">
        <v>22088.48</v>
      </c>
      <c r="G53" s="4">
        <f t="shared" si="3"/>
        <v>1841932.85</v>
      </c>
      <c r="H53" s="4">
        <f t="shared" si="1"/>
        <v>0.19298535</v>
      </c>
      <c r="I53" s="4" t="str">
        <f t="shared" si="2"/>
        <v>A</v>
      </c>
    </row>
    <row r="54">
      <c r="A54" s="2">
        <v>53.0</v>
      </c>
      <c r="B54" s="2">
        <v>22138.0</v>
      </c>
      <c r="C54" s="2" t="s">
        <v>110</v>
      </c>
      <c r="D54" s="2">
        <v>4.95</v>
      </c>
      <c r="E54" s="2">
        <v>4428.0</v>
      </c>
      <c r="F54" s="2">
        <v>21730.88</v>
      </c>
      <c r="G54" s="4">
        <f t="shared" si="3"/>
        <v>1863663.73</v>
      </c>
      <c r="H54" s="4">
        <f t="shared" si="1"/>
        <v>0.1952621656</v>
      </c>
      <c r="I54" s="4" t="str">
        <f t="shared" si="2"/>
        <v>A</v>
      </c>
    </row>
    <row r="55">
      <c r="A55" s="2">
        <v>54.0</v>
      </c>
      <c r="B55" s="2" t="s">
        <v>111</v>
      </c>
      <c r="C55" s="2" t="s">
        <v>112</v>
      </c>
      <c r="D55" s="2">
        <v>3.75</v>
      </c>
      <c r="E55" s="2">
        <v>5342.0</v>
      </c>
      <c r="F55" s="2">
        <v>21592.02</v>
      </c>
      <c r="G55" s="4">
        <f t="shared" si="3"/>
        <v>1885255.75</v>
      </c>
      <c r="H55" s="4">
        <f t="shared" si="1"/>
        <v>0.1975244324</v>
      </c>
      <c r="I55" s="4" t="str">
        <f t="shared" si="2"/>
        <v>A</v>
      </c>
    </row>
    <row r="56">
      <c r="A56" s="2">
        <v>55.0</v>
      </c>
      <c r="B56" s="2">
        <v>23298.0</v>
      </c>
      <c r="C56" s="2" t="s">
        <v>113</v>
      </c>
      <c r="D56" s="2">
        <v>4.95</v>
      </c>
      <c r="E56" s="2">
        <v>4233.0</v>
      </c>
      <c r="F56" s="2">
        <v>21574.09</v>
      </c>
      <c r="G56" s="4">
        <f t="shared" si="3"/>
        <v>1906829.84</v>
      </c>
      <c r="H56" s="4">
        <f t="shared" si="1"/>
        <v>0.1997848206</v>
      </c>
      <c r="I56" s="4" t="str">
        <f t="shared" si="2"/>
        <v>A</v>
      </c>
    </row>
    <row r="57">
      <c r="A57" s="2">
        <v>56.0</v>
      </c>
      <c r="B57" s="2">
        <v>22383.0</v>
      </c>
      <c r="C57" s="2" t="s">
        <v>114</v>
      </c>
      <c r="D57" s="2">
        <v>1.65</v>
      </c>
      <c r="E57" s="2">
        <v>12484.0</v>
      </c>
      <c r="F57" s="2">
        <v>21562.92</v>
      </c>
      <c r="G57" s="4">
        <f t="shared" si="3"/>
        <v>1928392.76</v>
      </c>
      <c r="H57" s="4">
        <f t="shared" si="1"/>
        <v>0.2020440385</v>
      </c>
      <c r="I57" s="4" t="str">
        <f t="shared" si="2"/>
        <v>A</v>
      </c>
    </row>
    <row r="58">
      <c r="A58" s="2">
        <v>57.0</v>
      </c>
      <c r="B58" s="2" t="s">
        <v>115</v>
      </c>
      <c r="C58" s="2" t="s">
        <v>116</v>
      </c>
      <c r="D58" s="2">
        <v>2.95</v>
      </c>
      <c r="E58" s="2">
        <v>7458.0</v>
      </c>
      <c r="F58" s="2">
        <v>21418.38</v>
      </c>
      <c r="G58" s="4">
        <f t="shared" si="3"/>
        <v>1949811.14</v>
      </c>
      <c r="H58" s="4">
        <f t="shared" si="1"/>
        <v>0.2042881125</v>
      </c>
      <c r="I58" s="4" t="str">
        <f t="shared" si="2"/>
        <v>A</v>
      </c>
    </row>
    <row r="59">
      <c r="A59" s="2">
        <v>58.0</v>
      </c>
      <c r="B59" s="2">
        <v>21915.0</v>
      </c>
      <c r="C59" s="2" t="s">
        <v>117</v>
      </c>
      <c r="D59" s="2">
        <v>1.25</v>
      </c>
      <c r="E59" s="2">
        <v>17756.0</v>
      </c>
      <c r="F59" s="2">
        <v>20903.02</v>
      </c>
      <c r="G59" s="4">
        <f t="shared" si="3"/>
        <v>1970714.16</v>
      </c>
      <c r="H59" s="4">
        <f t="shared" si="1"/>
        <v>0.2064781905</v>
      </c>
      <c r="I59" s="4" t="str">
        <f t="shared" si="2"/>
        <v>A</v>
      </c>
    </row>
    <row r="60">
      <c r="A60" s="2">
        <v>59.0</v>
      </c>
      <c r="B60" s="2">
        <v>23203.0</v>
      </c>
      <c r="C60" s="2" t="s">
        <v>118</v>
      </c>
      <c r="D60" s="2">
        <v>2.08</v>
      </c>
      <c r="E60" s="2">
        <v>10081.0</v>
      </c>
      <c r="F60" s="2">
        <v>20725.65</v>
      </c>
      <c r="G60" s="4">
        <f t="shared" si="3"/>
        <v>1991439.81</v>
      </c>
      <c r="H60" s="4">
        <f t="shared" si="1"/>
        <v>0.2086496849</v>
      </c>
      <c r="I60" s="4" t="str">
        <f t="shared" si="2"/>
        <v>A</v>
      </c>
    </row>
    <row r="61">
      <c r="A61" s="2">
        <v>60.0</v>
      </c>
      <c r="B61" s="2">
        <v>71477.0</v>
      </c>
      <c r="C61" s="2" t="s">
        <v>119</v>
      </c>
      <c r="D61" s="2">
        <v>3.25</v>
      </c>
      <c r="E61" s="2">
        <v>6904.0</v>
      </c>
      <c r="F61" s="2">
        <v>20569.34</v>
      </c>
      <c r="G61" s="4">
        <f t="shared" si="3"/>
        <v>2012009.15</v>
      </c>
      <c r="H61" s="4">
        <f t="shared" si="1"/>
        <v>0.2108048021</v>
      </c>
      <c r="I61" s="4" t="str">
        <f t="shared" si="2"/>
        <v>A</v>
      </c>
    </row>
    <row r="62">
      <c r="A62" s="2">
        <v>61.0</v>
      </c>
      <c r="B62" s="2">
        <v>48185.0</v>
      </c>
      <c r="C62" s="2" t="s">
        <v>120</v>
      </c>
      <c r="D62" s="2">
        <v>7.95</v>
      </c>
      <c r="E62" s="2">
        <v>3070.0</v>
      </c>
      <c r="F62" s="2">
        <v>20563.96</v>
      </c>
      <c r="G62" s="4">
        <f t="shared" si="3"/>
        <v>2032573.11</v>
      </c>
      <c r="H62" s="4">
        <f t="shared" si="1"/>
        <v>0.2129593557</v>
      </c>
      <c r="I62" s="4" t="str">
        <f t="shared" si="2"/>
        <v>A</v>
      </c>
    </row>
    <row r="63">
      <c r="A63" s="2">
        <v>62.0</v>
      </c>
      <c r="B63" s="2">
        <v>20728.0</v>
      </c>
      <c r="C63" s="2" t="s">
        <v>121</v>
      </c>
      <c r="D63" s="2">
        <v>1.65</v>
      </c>
      <c r="E63" s="2">
        <v>11860.0</v>
      </c>
      <c r="F63" s="2">
        <v>20501.28</v>
      </c>
      <c r="G63" s="4">
        <f t="shared" si="3"/>
        <v>2053074.39</v>
      </c>
      <c r="H63" s="4">
        <f t="shared" si="1"/>
        <v>0.2151073421</v>
      </c>
      <c r="I63" s="4" t="str">
        <f t="shared" si="2"/>
        <v>A</v>
      </c>
    </row>
    <row r="64">
      <c r="A64" s="2">
        <v>63.0</v>
      </c>
      <c r="B64" s="2">
        <v>82482.0</v>
      </c>
      <c r="C64" s="2" t="s">
        <v>122</v>
      </c>
      <c r="D64" s="2">
        <v>2.55</v>
      </c>
      <c r="E64" s="2">
        <v>8267.0</v>
      </c>
      <c r="F64" s="2">
        <v>20490.9</v>
      </c>
      <c r="G64" s="4">
        <f t="shared" si="3"/>
        <v>2073565.29</v>
      </c>
      <c r="H64" s="4">
        <f t="shared" si="1"/>
        <v>0.2172542409</v>
      </c>
      <c r="I64" s="4" t="str">
        <f t="shared" si="2"/>
        <v>A</v>
      </c>
    </row>
    <row r="65">
      <c r="A65" s="2">
        <v>64.0</v>
      </c>
      <c r="B65" s="2">
        <v>20713.0</v>
      </c>
      <c r="C65" s="2" t="s">
        <v>123</v>
      </c>
      <c r="D65" s="2">
        <v>1.95</v>
      </c>
      <c r="E65" s="2">
        <v>10298.0</v>
      </c>
      <c r="F65" s="2">
        <v>20150.32</v>
      </c>
      <c r="G65" s="4">
        <f t="shared" si="3"/>
        <v>2093715.61</v>
      </c>
      <c r="H65" s="4">
        <f t="shared" si="1"/>
        <v>0.2193654561</v>
      </c>
      <c r="I65" s="4" t="str">
        <f t="shared" si="2"/>
        <v>A</v>
      </c>
    </row>
    <row r="66">
      <c r="A66" s="2">
        <v>65.0</v>
      </c>
      <c r="B66" s="2">
        <v>21175.0</v>
      </c>
      <c r="C66" s="2" t="s">
        <v>124</v>
      </c>
      <c r="D66" s="2">
        <v>2.1</v>
      </c>
      <c r="E66" s="2">
        <v>9350.0</v>
      </c>
      <c r="F66" s="2">
        <v>20097.64</v>
      </c>
      <c r="G66" s="4">
        <f t="shared" si="3"/>
        <v>2113813.25</v>
      </c>
      <c r="H66" s="4">
        <f t="shared" si="1"/>
        <v>0.2214711518</v>
      </c>
      <c r="I66" s="4" t="str">
        <f t="shared" si="2"/>
        <v>A</v>
      </c>
    </row>
    <row r="67">
      <c r="A67" s="2">
        <v>66.0</v>
      </c>
      <c r="B67" s="2" t="s">
        <v>125</v>
      </c>
      <c r="C67" s="2" t="s">
        <v>126</v>
      </c>
      <c r="D67" s="2">
        <v>3.75</v>
      </c>
      <c r="E67" s="2">
        <v>5316.0</v>
      </c>
      <c r="F67" s="2">
        <v>19898.6</v>
      </c>
      <c r="G67" s="4">
        <f t="shared" si="3"/>
        <v>2133711.85</v>
      </c>
      <c r="H67" s="4">
        <f t="shared" si="1"/>
        <v>0.2235559934</v>
      </c>
      <c r="I67" s="4" t="str">
        <f t="shared" si="2"/>
        <v>A</v>
      </c>
    </row>
    <row r="68">
      <c r="A68" s="2">
        <v>67.0</v>
      </c>
      <c r="B68" s="2" t="s">
        <v>127</v>
      </c>
      <c r="C68" s="2" t="s">
        <v>128</v>
      </c>
      <c r="D68" s="2">
        <v>39.95</v>
      </c>
      <c r="E68" s="2">
        <v>500.0</v>
      </c>
      <c r="F68" s="2">
        <v>19688.16</v>
      </c>
      <c r="G68" s="4">
        <f t="shared" si="3"/>
        <v>2153400.01</v>
      </c>
      <c r="H68" s="4">
        <f t="shared" si="1"/>
        <v>0.2256187866</v>
      </c>
      <c r="I68" s="4" t="str">
        <f t="shared" si="2"/>
        <v>A</v>
      </c>
    </row>
    <row r="69">
      <c r="A69" s="2">
        <v>68.0</v>
      </c>
      <c r="B69" s="2">
        <v>22083.0</v>
      </c>
      <c r="C69" s="2" t="s">
        <v>129</v>
      </c>
      <c r="D69" s="2">
        <v>2.95</v>
      </c>
      <c r="E69" s="2">
        <v>6634.0</v>
      </c>
      <c r="F69" s="2">
        <v>19616.14</v>
      </c>
      <c r="G69" s="4">
        <f t="shared" si="3"/>
        <v>2173016.15</v>
      </c>
      <c r="H69" s="4">
        <f t="shared" si="1"/>
        <v>0.2276740339</v>
      </c>
      <c r="I69" s="4" t="str">
        <f t="shared" si="2"/>
        <v>A</v>
      </c>
    </row>
    <row r="70">
      <c r="A70" s="2">
        <v>69.0</v>
      </c>
      <c r="B70" s="2">
        <v>85066.0</v>
      </c>
      <c r="C70" s="2" t="s">
        <v>130</v>
      </c>
      <c r="D70" s="2">
        <v>12.75</v>
      </c>
      <c r="E70" s="2">
        <v>1530.0</v>
      </c>
      <c r="F70" s="2">
        <v>19110.39</v>
      </c>
      <c r="G70" s="4">
        <f t="shared" si="3"/>
        <v>2192126.54</v>
      </c>
      <c r="H70" s="4">
        <f t="shared" si="1"/>
        <v>0.2296762922</v>
      </c>
      <c r="I70" s="4" t="str">
        <f t="shared" si="2"/>
        <v>A</v>
      </c>
    </row>
    <row r="71">
      <c r="A71" s="2">
        <v>70.0</v>
      </c>
      <c r="B71" s="2">
        <v>22960.0</v>
      </c>
      <c r="C71" s="2" t="s">
        <v>131</v>
      </c>
      <c r="D71" s="2">
        <v>4.25</v>
      </c>
      <c r="E71" s="2">
        <v>4475.0</v>
      </c>
      <c r="F71" s="2">
        <v>19052.43</v>
      </c>
      <c r="G71" s="4">
        <f t="shared" si="3"/>
        <v>2211178.97</v>
      </c>
      <c r="H71" s="4">
        <f t="shared" si="1"/>
        <v>0.2316724778</v>
      </c>
      <c r="I71" s="4" t="str">
        <f t="shared" si="2"/>
        <v>A</v>
      </c>
    </row>
    <row r="72">
      <c r="A72" s="2">
        <v>71.0</v>
      </c>
      <c r="B72" s="2">
        <v>22720.0</v>
      </c>
      <c r="C72" s="2" t="s">
        <v>132</v>
      </c>
      <c r="D72" s="2">
        <v>4.95</v>
      </c>
      <c r="E72" s="2">
        <v>3734.0</v>
      </c>
      <c r="F72" s="2">
        <v>19017.32</v>
      </c>
      <c r="G72" s="4">
        <f t="shared" si="3"/>
        <v>2230196.29</v>
      </c>
      <c r="H72" s="4">
        <f t="shared" si="1"/>
        <v>0.2336649849</v>
      </c>
      <c r="I72" s="4" t="str">
        <f t="shared" si="2"/>
        <v>A</v>
      </c>
    </row>
    <row r="73">
      <c r="A73" s="2">
        <v>72.0</v>
      </c>
      <c r="B73" s="2">
        <v>22629.0</v>
      </c>
      <c r="C73" s="2" t="s">
        <v>133</v>
      </c>
      <c r="D73" s="2">
        <v>1.95</v>
      </c>
      <c r="E73" s="2">
        <v>10412.0</v>
      </c>
      <c r="F73" s="2">
        <v>18995.3</v>
      </c>
      <c r="G73" s="4">
        <f t="shared" si="3"/>
        <v>2249191.59</v>
      </c>
      <c r="H73" s="4">
        <f t="shared" si="1"/>
        <v>0.2356551848</v>
      </c>
      <c r="I73" s="4" t="str">
        <f t="shared" si="2"/>
        <v>A</v>
      </c>
    </row>
    <row r="74">
      <c r="A74" s="2">
        <v>73.0</v>
      </c>
      <c r="B74" s="2">
        <v>82486.0</v>
      </c>
      <c r="C74" s="2" t="s">
        <v>134</v>
      </c>
      <c r="D74" s="2">
        <v>7.95</v>
      </c>
      <c r="E74" s="2">
        <v>2352.0</v>
      </c>
      <c r="F74" s="2">
        <v>18927.66</v>
      </c>
      <c r="G74" s="4">
        <f t="shared" si="3"/>
        <v>2268119.25</v>
      </c>
      <c r="H74" s="4">
        <f t="shared" si="1"/>
        <v>0.2376382979</v>
      </c>
      <c r="I74" s="4" t="str">
        <f t="shared" si="2"/>
        <v>A</v>
      </c>
    </row>
    <row r="75">
      <c r="A75" s="2">
        <v>74.0</v>
      </c>
      <c r="B75" s="2">
        <v>22699.0</v>
      </c>
      <c r="C75" s="2" t="s">
        <v>135</v>
      </c>
      <c r="D75" s="2">
        <v>2.95</v>
      </c>
      <c r="E75" s="2">
        <v>6431.0</v>
      </c>
      <c r="F75" s="2">
        <v>18856.35</v>
      </c>
      <c r="G75" s="4">
        <f t="shared" si="3"/>
        <v>2286975.6</v>
      </c>
      <c r="H75" s="4">
        <f t="shared" si="1"/>
        <v>0.2396139395</v>
      </c>
      <c r="I75" s="4" t="str">
        <f t="shared" si="2"/>
        <v>A</v>
      </c>
    </row>
    <row r="76">
      <c r="A76" s="2">
        <v>75.0</v>
      </c>
      <c r="B76" s="2">
        <v>21166.0</v>
      </c>
      <c r="C76" s="2" t="s">
        <v>136</v>
      </c>
      <c r="D76" s="2">
        <v>1.95</v>
      </c>
      <c r="E76" s="2">
        <v>9734.0</v>
      </c>
      <c r="F76" s="2">
        <v>18681.25</v>
      </c>
      <c r="G76" s="4">
        <f t="shared" si="3"/>
        <v>2305656.85</v>
      </c>
      <c r="H76" s="4">
        <f t="shared" si="1"/>
        <v>0.2415712354</v>
      </c>
      <c r="I76" s="4" t="str">
        <f t="shared" si="2"/>
        <v>A</v>
      </c>
    </row>
    <row r="77">
      <c r="A77" s="2">
        <v>76.0</v>
      </c>
      <c r="B77" s="2">
        <v>21485.0</v>
      </c>
      <c r="C77" s="2" t="s">
        <v>137</v>
      </c>
      <c r="D77" s="2">
        <v>4.95</v>
      </c>
      <c r="E77" s="2">
        <v>3814.0</v>
      </c>
      <c r="F77" s="2">
        <v>18620.04</v>
      </c>
      <c r="G77" s="4">
        <f t="shared" si="3"/>
        <v>2324276.89</v>
      </c>
      <c r="H77" s="4">
        <f t="shared" si="1"/>
        <v>0.2435221181</v>
      </c>
      <c r="I77" s="4" t="str">
        <f t="shared" si="2"/>
        <v>A</v>
      </c>
    </row>
    <row r="78">
      <c r="A78" s="2">
        <v>77.0</v>
      </c>
      <c r="B78" s="2">
        <v>20726.0</v>
      </c>
      <c r="C78" s="2" t="s">
        <v>138</v>
      </c>
      <c r="D78" s="2">
        <v>1.65</v>
      </c>
      <c r="E78" s="2">
        <v>10616.0</v>
      </c>
      <c r="F78" s="2">
        <v>18606.24</v>
      </c>
      <c r="G78" s="4">
        <f t="shared" si="3"/>
        <v>2342883.13</v>
      </c>
      <c r="H78" s="4">
        <f t="shared" si="1"/>
        <v>0.2454715549</v>
      </c>
      <c r="I78" s="4" t="str">
        <f t="shared" si="2"/>
        <v>A</v>
      </c>
    </row>
    <row r="79">
      <c r="A79" s="2">
        <v>78.0</v>
      </c>
      <c r="B79" s="2">
        <v>20712.0</v>
      </c>
      <c r="C79" s="2" t="s">
        <v>139</v>
      </c>
      <c r="D79" s="2">
        <v>2.08</v>
      </c>
      <c r="E79" s="2">
        <v>8750.0</v>
      </c>
      <c r="F79" s="2">
        <v>18564.9</v>
      </c>
      <c r="G79" s="4">
        <f t="shared" si="3"/>
        <v>2361448.03</v>
      </c>
      <c r="H79" s="4">
        <f t="shared" si="1"/>
        <v>0.2474166605</v>
      </c>
      <c r="I79" s="4" t="str">
        <f t="shared" si="2"/>
        <v>A</v>
      </c>
    </row>
    <row r="80">
      <c r="A80" s="2">
        <v>79.0</v>
      </c>
      <c r="B80" s="2">
        <v>23284.0</v>
      </c>
      <c r="C80" s="2" t="s">
        <v>140</v>
      </c>
      <c r="D80" s="2">
        <v>7.95</v>
      </c>
      <c r="E80" s="2">
        <v>2636.0</v>
      </c>
      <c r="F80" s="2">
        <v>18306.92</v>
      </c>
      <c r="G80" s="4">
        <f t="shared" si="3"/>
        <v>2379754.95</v>
      </c>
      <c r="H80" s="4">
        <f t="shared" si="1"/>
        <v>0.2493347365</v>
      </c>
      <c r="I80" s="4" t="str">
        <f t="shared" si="2"/>
        <v>A</v>
      </c>
    </row>
    <row r="81">
      <c r="A81" s="2">
        <v>80.0</v>
      </c>
      <c r="B81" s="2">
        <v>22727.0</v>
      </c>
      <c r="C81" s="2" t="s">
        <v>141</v>
      </c>
      <c r="D81" s="2">
        <v>3.75</v>
      </c>
      <c r="E81" s="2">
        <v>4610.0</v>
      </c>
      <c r="F81" s="2">
        <v>18247.51</v>
      </c>
      <c r="G81" s="4">
        <f t="shared" si="3"/>
        <v>2398002.46</v>
      </c>
      <c r="H81" s="4">
        <f t="shared" si="1"/>
        <v>0.2512465881</v>
      </c>
      <c r="I81" s="4" t="str">
        <f t="shared" si="2"/>
        <v>A</v>
      </c>
    </row>
    <row r="82">
      <c r="A82" s="2">
        <v>81.0</v>
      </c>
      <c r="B82" s="2">
        <v>22328.0</v>
      </c>
      <c r="C82" s="2" t="s">
        <v>142</v>
      </c>
      <c r="D82" s="2">
        <v>2.95</v>
      </c>
      <c r="E82" s="2">
        <v>6473.0</v>
      </c>
      <c r="F82" s="2">
        <v>18065.98</v>
      </c>
      <c r="G82" s="4">
        <f t="shared" si="3"/>
        <v>2416068.44</v>
      </c>
      <c r="H82" s="4">
        <f t="shared" si="1"/>
        <v>0.2531394201</v>
      </c>
      <c r="I82" s="4" t="str">
        <f t="shared" si="2"/>
        <v>A</v>
      </c>
    </row>
    <row r="83">
      <c r="A83" s="2">
        <v>82.0</v>
      </c>
      <c r="B83" s="2">
        <v>21524.0</v>
      </c>
      <c r="C83" s="2" t="s">
        <v>143</v>
      </c>
      <c r="D83" s="2">
        <v>7.95</v>
      </c>
      <c r="E83" s="2">
        <v>2631.0</v>
      </c>
      <c r="F83" s="2">
        <v>18004.32</v>
      </c>
      <c r="G83" s="4">
        <f t="shared" si="3"/>
        <v>2434072.76</v>
      </c>
      <c r="H83" s="4">
        <f t="shared" si="1"/>
        <v>0.2550257918</v>
      </c>
      <c r="I83" s="4" t="str">
        <f t="shared" si="2"/>
        <v>A</v>
      </c>
    </row>
    <row r="84">
      <c r="A84" s="2">
        <v>83.0</v>
      </c>
      <c r="B84" s="2">
        <v>20724.0</v>
      </c>
      <c r="C84" s="2" t="s">
        <v>144</v>
      </c>
      <c r="D84" s="2">
        <v>0.85</v>
      </c>
      <c r="E84" s="2">
        <v>16030.0</v>
      </c>
      <c r="F84" s="2">
        <v>17542.95</v>
      </c>
      <c r="G84" s="4">
        <f t="shared" si="3"/>
        <v>2451615.71</v>
      </c>
      <c r="H84" s="4">
        <f t="shared" si="1"/>
        <v>0.2568638242</v>
      </c>
      <c r="I84" s="4" t="str">
        <f t="shared" si="2"/>
        <v>A</v>
      </c>
    </row>
    <row r="85">
      <c r="A85" s="2">
        <v>84.0</v>
      </c>
      <c r="B85" s="2">
        <v>21755.0</v>
      </c>
      <c r="C85" s="2" t="s">
        <v>145</v>
      </c>
      <c r="D85" s="2">
        <v>5.95</v>
      </c>
      <c r="E85" s="2">
        <v>2831.0</v>
      </c>
      <c r="F85" s="2">
        <v>17474.54</v>
      </c>
      <c r="G85" s="4">
        <f t="shared" si="3"/>
        <v>2469090.25</v>
      </c>
      <c r="H85" s="4">
        <f t="shared" si="1"/>
        <v>0.2586946891</v>
      </c>
      <c r="I85" s="4" t="str">
        <f t="shared" si="2"/>
        <v>A</v>
      </c>
    </row>
    <row r="86">
      <c r="A86" s="2">
        <v>85.0</v>
      </c>
      <c r="B86" s="2">
        <v>22379.0</v>
      </c>
      <c r="C86" s="2" t="s">
        <v>146</v>
      </c>
      <c r="D86" s="2">
        <v>2.1</v>
      </c>
      <c r="E86" s="2">
        <v>7892.0</v>
      </c>
      <c r="F86" s="2">
        <v>17340.37</v>
      </c>
      <c r="G86" s="4">
        <f t="shared" si="3"/>
        <v>2486430.62</v>
      </c>
      <c r="H86" s="4">
        <f t="shared" si="1"/>
        <v>0.2605114966</v>
      </c>
      <c r="I86" s="4" t="str">
        <f t="shared" si="2"/>
        <v>A</v>
      </c>
    </row>
    <row r="87">
      <c r="A87" s="2">
        <v>86.0</v>
      </c>
      <c r="B87" s="2" t="s">
        <v>147</v>
      </c>
      <c r="C87" s="2" t="s">
        <v>148</v>
      </c>
      <c r="D87" s="2">
        <v>3.75</v>
      </c>
      <c r="E87" s="2">
        <v>4584.0</v>
      </c>
      <c r="F87" s="2">
        <v>17088.24</v>
      </c>
      <c r="G87" s="4">
        <f t="shared" si="3"/>
        <v>2503518.86</v>
      </c>
      <c r="H87" s="4">
        <f t="shared" si="1"/>
        <v>0.2623018876</v>
      </c>
      <c r="I87" s="4" t="str">
        <f t="shared" si="2"/>
        <v>A</v>
      </c>
    </row>
    <row r="88">
      <c r="A88" s="2">
        <v>87.0</v>
      </c>
      <c r="B88" s="2">
        <v>22384.0</v>
      </c>
      <c r="C88" s="2" t="s">
        <v>149</v>
      </c>
      <c r="D88" s="2">
        <v>1.65</v>
      </c>
      <c r="E88" s="2">
        <v>10396.0</v>
      </c>
      <c r="F88" s="2">
        <v>17052.64</v>
      </c>
      <c r="G88" s="4">
        <f t="shared" si="3"/>
        <v>2520571.5</v>
      </c>
      <c r="H88" s="4">
        <f t="shared" si="1"/>
        <v>0.2640885487</v>
      </c>
      <c r="I88" s="4" t="str">
        <f t="shared" si="2"/>
        <v>A</v>
      </c>
    </row>
    <row r="89">
      <c r="A89" s="2">
        <v>88.0</v>
      </c>
      <c r="B89" s="2">
        <v>22382.0</v>
      </c>
      <c r="C89" s="2" t="s">
        <v>150</v>
      </c>
      <c r="D89" s="2">
        <v>1.65</v>
      </c>
      <c r="E89" s="2">
        <v>10134.0</v>
      </c>
      <c r="F89" s="2">
        <v>17052.48</v>
      </c>
      <c r="G89" s="4">
        <f t="shared" si="3"/>
        <v>2537623.98</v>
      </c>
      <c r="H89" s="4">
        <f t="shared" si="1"/>
        <v>0.2658751929</v>
      </c>
      <c r="I89" s="4" t="str">
        <f t="shared" si="2"/>
        <v>A</v>
      </c>
    </row>
    <row r="90">
      <c r="A90" s="2">
        <v>89.0</v>
      </c>
      <c r="B90" s="2">
        <v>22666.0</v>
      </c>
      <c r="C90" s="2" t="s">
        <v>151</v>
      </c>
      <c r="D90" s="2">
        <v>2.95</v>
      </c>
      <c r="E90" s="2">
        <v>5306.0</v>
      </c>
      <c r="F90" s="2">
        <v>16717.06</v>
      </c>
      <c r="G90" s="4">
        <f t="shared" si="3"/>
        <v>2554341.04</v>
      </c>
      <c r="H90" s="4">
        <f t="shared" si="1"/>
        <v>0.2676266942</v>
      </c>
      <c r="I90" s="4" t="str">
        <f t="shared" si="2"/>
        <v>A</v>
      </c>
    </row>
    <row r="91">
      <c r="A91" s="2">
        <v>90.0</v>
      </c>
      <c r="B91" s="2">
        <v>22630.0</v>
      </c>
      <c r="C91" s="2" t="s">
        <v>152</v>
      </c>
      <c r="D91" s="2">
        <v>1.95</v>
      </c>
      <c r="E91" s="2">
        <v>8946.0</v>
      </c>
      <c r="F91" s="2">
        <v>16558.34</v>
      </c>
      <c r="G91" s="4">
        <f t="shared" si="3"/>
        <v>2570899.38</v>
      </c>
      <c r="H91" s="4">
        <f t="shared" si="1"/>
        <v>0.2693615658</v>
      </c>
      <c r="I91" s="4" t="str">
        <f t="shared" si="2"/>
        <v>A</v>
      </c>
    </row>
    <row r="92">
      <c r="A92" s="2">
        <v>91.0</v>
      </c>
      <c r="B92" s="2">
        <v>22726.0</v>
      </c>
      <c r="C92" s="2" t="s">
        <v>153</v>
      </c>
      <c r="D92" s="2">
        <v>3.75</v>
      </c>
      <c r="E92" s="2">
        <v>3832.0</v>
      </c>
      <c r="F92" s="2">
        <v>16293.41</v>
      </c>
      <c r="G92" s="4">
        <f t="shared" si="3"/>
        <v>2587192.79</v>
      </c>
      <c r="H92" s="4">
        <f t="shared" si="1"/>
        <v>0.2710686799</v>
      </c>
      <c r="I92" s="4" t="str">
        <f t="shared" si="2"/>
        <v>A</v>
      </c>
    </row>
    <row r="93">
      <c r="A93" s="2">
        <v>92.0</v>
      </c>
      <c r="B93" s="2" t="s">
        <v>154</v>
      </c>
      <c r="C93" s="2" t="s">
        <v>155</v>
      </c>
      <c r="D93" s="2">
        <v>3.75</v>
      </c>
      <c r="E93" s="2">
        <v>4366.0</v>
      </c>
      <c r="F93" s="2">
        <v>16259.59</v>
      </c>
      <c r="G93" s="4">
        <f t="shared" si="3"/>
        <v>2603452.38</v>
      </c>
      <c r="H93" s="4">
        <f t="shared" si="1"/>
        <v>0.2727722505</v>
      </c>
      <c r="I93" s="4" t="str">
        <f t="shared" si="2"/>
        <v>A</v>
      </c>
    </row>
    <row r="94">
      <c r="A94" s="2">
        <v>93.0</v>
      </c>
      <c r="B94" s="2">
        <v>15036.0</v>
      </c>
      <c r="C94" s="2" t="s">
        <v>156</v>
      </c>
      <c r="D94" s="2">
        <v>0.83</v>
      </c>
      <c r="E94" s="2">
        <v>21716.0</v>
      </c>
      <c r="F94" s="2">
        <v>16197.56</v>
      </c>
      <c r="G94" s="4">
        <f t="shared" si="3"/>
        <v>2619649.94</v>
      </c>
      <c r="H94" s="4">
        <f t="shared" si="1"/>
        <v>0.274469322</v>
      </c>
      <c r="I94" s="4" t="str">
        <f t="shared" si="2"/>
        <v>A</v>
      </c>
    </row>
    <row r="95">
      <c r="A95" s="2">
        <v>94.0</v>
      </c>
      <c r="B95" s="2">
        <v>22385.0</v>
      </c>
      <c r="C95" s="2" t="s">
        <v>157</v>
      </c>
      <c r="D95" s="2">
        <v>1.95</v>
      </c>
      <c r="E95" s="2">
        <v>8326.0</v>
      </c>
      <c r="F95" s="2">
        <v>15875.07</v>
      </c>
      <c r="G95" s="4">
        <f t="shared" si="3"/>
        <v>2635525.01</v>
      </c>
      <c r="H95" s="4">
        <f t="shared" si="1"/>
        <v>0.2761326052</v>
      </c>
      <c r="I95" s="4" t="str">
        <f t="shared" si="2"/>
        <v>A</v>
      </c>
    </row>
    <row r="96">
      <c r="A96" s="2">
        <v>95.0</v>
      </c>
      <c r="B96" s="2">
        <v>22077.0</v>
      </c>
      <c r="C96" s="2" t="s">
        <v>158</v>
      </c>
      <c r="D96" s="2">
        <v>1.65</v>
      </c>
      <c r="E96" s="2">
        <v>8600.0</v>
      </c>
      <c r="F96" s="2">
        <v>15726.33</v>
      </c>
      <c r="G96" s="4">
        <f t="shared" si="3"/>
        <v>2651251.34</v>
      </c>
      <c r="H96" s="4">
        <f t="shared" si="1"/>
        <v>0.2777803044</v>
      </c>
      <c r="I96" s="4" t="str">
        <f t="shared" si="2"/>
        <v>A</v>
      </c>
    </row>
    <row r="97">
      <c r="A97" s="2">
        <v>96.0</v>
      </c>
      <c r="B97" s="2">
        <v>85152.0</v>
      </c>
      <c r="C97" s="2" t="s">
        <v>159</v>
      </c>
      <c r="D97" s="2">
        <v>2.1</v>
      </c>
      <c r="E97" s="2">
        <v>8160.0</v>
      </c>
      <c r="F97" s="2">
        <v>15694.99</v>
      </c>
      <c r="G97" s="4">
        <f t="shared" si="3"/>
        <v>2666946.33</v>
      </c>
      <c r="H97" s="4">
        <f t="shared" si="1"/>
        <v>0.27942472</v>
      </c>
      <c r="I97" s="4" t="str">
        <f t="shared" si="2"/>
        <v>A</v>
      </c>
    </row>
    <row r="98">
      <c r="A98" s="2">
        <v>97.0</v>
      </c>
      <c r="B98" s="2">
        <v>22865.0</v>
      </c>
      <c r="C98" s="2" t="s">
        <v>160</v>
      </c>
      <c r="D98" s="2">
        <v>2.1</v>
      </c>
      <c r="E98" s="2">
        <v>7252.0</v>
      </c>
      <c r="F98" s="2">
        <v>15672.32</v>
      </c>
      <c r="G98" s="4">
        <f t="shared" si="3"/>
        <v>2682618.65</v>
      </c>
      <c r="H98" s="4">
        <f t="shared" si="1"/>
        <v>0.2810667604</v>
      </c>
      <c r="I98" s="4" t="str">
        <f t="shared" si="2"/>
        <v>A</v>
      </c>
    </row>
    <row r="99">
      <c r="A99" s="2">
        <v>98.0</v>
      </c>
      <c r="B99" s="2">
        <v>21479.0</v>
      </c>
      <c r="C99" s="2" t="s">
        <v>161</v>
      </c>
      <c r="D99" s="2">
        <v>3.75</v>
      </c>
      <c r="E99" s="2">
        <v>3116.0</v>
      </c>
      <c r="F99" s="2">
        <v>15566.65</v>
      </c>
      <c r="G99" s="4">
        <f t="shared" si="3"/>
        <v>2698185.3</v>
      </c>
      <c r="H99" s="4">
        <f t="shared" si="1"/>
        <v>0.2826977294</v>
      </c>
      <c r="I99" s="4" t="str">
        <f t="shared" si="2"/>
        <v>A</v>
      </c>
    </row>
    <row r="100">
      <c r="A100" s="2">
        <v>99.0</v>
      </c>
      <c r="B100" s="2">
        <v>48184.0</v>
      </c>
      <c r="C100" s="2" t="s">
        <v>162</v>
      </c>
      <c r="D100" s="2">
        <v>7.95</v>
      </c>
      <c r="E100" s="2">
        <v>2356.0</v>
      </c>
      <c r="F100" s="2">
        <v>15554.44</v>
      </c>
      <c r="G100" s="4">
        <f t="shared" si="3"/>
        <v>2713739.74</v>
      </c>
      <c r="H100" s="4">
        <f t="shared" si="1"/>
        <v>0.2843274191</v>
      </c>
      <c r="I100" s="4" t="str">
        <f t="shared" si="2"/>
        <v>A</v>
      </c>
    </row>
    <row r="101">
      <c r="A101" s="2">
        <v>100.0</v>
      </c>
      <c r="B101" s="2">
        <v>23245.0</v>
      </c>
      <c r="C101" s="2" t="s">
        <v>163</v>
      </c>
      <c r="D101" s="2">
        <v>4.95</v>
      </c>
      <c r="E101" s="2">
        <v>3166.0</v>
      </c>
      <c r="F101" s="2">
        <v>15531.03</v>
      </c>
      <c r="G101" s="4">
        <f t="shared" si="3"/>
        <v>2729270.77</v>
      </c>
      <c r="H101" s="4">
        <f t="shared" si="1"/>
        <v>0.2859546561</v>
      </c>
      <c r="I101" s="4" t="str">
        <f t="shared" si="2"/>
        <v>A</v>
      </c>
    </row>
    <row r="102">
      <c r="A102" s="2">
        <v>101.0</v>
      </c>
      <c r="B102" s="2" t="s">
        <v>164</v>
      </c>
      <c r="C102" s="2" t="s">
        <v>165</v>
      </c>
      <c r="D102" s="2">
        <v>5.95</v>
      </c>
      <c r="E102" s="2">
        <v>3076.0</v>
      </c>
      <c r="F102" s="2">
        <v>15376.39</v>
      </c>
      <c r="G102" s="4">
        <f t="shared" si="3"/>
        <v>2744647.16</v>
      </c>
      <c r="H102" s="4">
        <f t="shared" si="1"/>
        <v>0.287565691</v>
      </c>
      <c r="I102" s="4" t="str">
        <f t="shared" si="2"/>
        <v>A</v>
      </c>
    </row>
    <row r="103">
      <c r="A103" s="2">
        <v>102.0</v>
      </c>
      <c r="B103" s="2">
        <v>22697.0</v>
      </c>
      <c r="C103" s="2" t="s">
        <v>166</v>
      </c>
      <c r="D103" s="2">
        <v>2.95</v>
      </c>
      <c r="E103" s="2">
        <v>4874.0</v>
      </c>
      <c r="F103" s="2">
        <v>15151.32</v>
      </c>
      <c r="G103" s="4">
        <f t="shared" si="3"/>
        <v>2759798.48</v>
      </c>
      <c r="H103" s="4">
        <f t="shared" si="1"/>
        <v>0.2891531445</v>
      </c>
      <c r="I103" s="4" t="str">
        <f t="shared" si="2"/>
        <v>A</v>
      </c>
    </row>
    <row r="104">
      <c r="A104" s="2">
        <v>103.0</v>
      </c>
      <c r="B104" s="2">
        <v>22501.0</v>
      </c>
      <c r="C104" s="2" t="s">
        <v>167</v>
      </c>
      <c r="D104" s="2">
        <v>9.95</v>
      </c>
      <c r="E104" s="2">
        <v>1298.0</v>
      </c>
      <c r="F104" s="2">
        <v>15095.06</v>
      </c>
      <c r="G104" s="4">
        <f t="shared" si="3"/>
        <v>2774893.54</v>
      </c>
      <c r="H104" s="4">
        <f t="shared" si="1"/>
        <v>0.2907347035</v>
      </c>
      <c r="I104" s="4" t="str">
        <f t="shared" si="2"/>
        <v>A</v>
      </c>
    </row>
    <row r="105">
      <c r="A105" s="2">
        <v>104.0</v>
      </c>
      <c r="B105" s="2">
        <v>20679.0</v>
      </c>
      <c r="C105" s="2" t="s">
        <v>168</v>
      </c>
      <c r="D105" s="2">
        <v>5.95</v>
      </c>
      <c r="E105" s="2">
        <v>3072.0</v>
      </c>
      <c r="F105" s="2">
        <v>14992.64</v>
      </c>
      <c r="G105" s="4">
        <f t="shared" si="3"/>
        <v>2789886.18</v>
      </c>
      <c r="H105" s="4">
        <f t="shared" si="1"/>
        <v>0.2923055316</v>
      </c>
      <c r="I105" s="4" t="str">
        <f t="shared" si="2"/>
        <v>A</v>
      </c>
    </row>
    <row r="106">
      <c r="A106" s="2">
        <v>105.0</v>
      </c>
      <c r="B106" s="2">
        <v>21217.0</v>
      </c>
      <c r="C106" s="2" t="s">
        <v>169</v>
      </c>
      <c r="D106" s="2">
        <v>9.95</v>
      </c>
      <c r="E106" s="2">
        <v>1439.0</v>
      </c>
      <c r="F106" s="2">
        <v>14761.27</v>
      </c>
      <c r="G106" s="4">
        <f t="shared" si="3"/>
        <v>2804647.45</v>
      </c>
      <c r="H106" s="4">
        <f t="shared" si="1"/>
        <v>0.2938521183</v>
      </c>
      <c r="I106" s="4" t="str">
        <f t="shared" si="2"/>
        <v>A</v>
      </c>
    </row>
    <row r="107">
      <c r="A107" s="2">
        <v>106.0</v>
      </c>
      <c r="B107" s="2" t="s">
        <v>170</v>
      </c>
      <c r="C107" s="2" t="s">
        <v>171</v>
      </c>
      <c r="D107" s="2">
        <v>3.75</v>
      </c>
      <c r="E107" s="2">
        <v>3412.0</v>
      </c>
      <c r="F107" s="2">
        <v>14753.39</v>
      </c>
      <c r="G107" s="4">
        <f t="shared" si="3"/>
        <v>2819400.84</v>
      </c>
      <c r="H107" s="4">
        <f t="shared" si="1"/>
        <v>0.2953978794</v>
      </c>
      <c r="I107" s="4" t="str">
        <f t="shared" si="2"/>
        <v>A</v>
      </c>
    </row>
    <row r="108">
      <c r="A108" s="2">
        <v>107.0</v>
      </c>
      <c r="B108" s="2">
        <v>23199.0</v>
      </c>
      <c r="C108" s="2" t="s">
        <v>172</v>
      </c>
      <c r="D108" s="2">
        <v>2.08</v>
      </c>
      <c r="E108" s="2">
        <v>7149.0</v>
      </c>
      <c r="F108" s="2">
        <v>14680.84</v>
      </c>
      <c r="G108" s="4">
        <f t="shared" si="3"/>
        <v>2834081.68</v>
      </c>
      <c r="H108" s="4">
        <f t="shared" si="1"/>
        <v>0.2969360392</v>
      </c>
      <c r="I108" s="4" t="str">
        <f t="shared" si="2"/>
        <v>A</v>
      </c>
    </row>
    <row r="109">
      <c r="A109" s="2">
        <v>108.0</v>
      </c>
      <c r="B109" s="2">
        <v>22659.0</v>
      </c>
      <c r="C109" s="2" t="s">
        <v>173</v>
      </c>
      <c r="D109" s="2">
        <v>1.95</v>
      </c>
      <c r="E109" s="2">
        <v>7910.0</v>
      </c>
      <c r="F109" s="2">
        <v>14677.96</v>
      </c>
      <c r="G109" s="4">
        <f t="shared" si="3"/>
        <v>2848759.64</v>
      </c>
      <c r="H109" s="4">
        <f t="shared" si="1"/>
        <v>0.2984738972</v>
      </c>
      <c r="I109" s="4" t="str">
        <f t="shared" si="2"/>
        <v>A</v>
      </c>
    </row>
    <row r="110">
      <c r="A110" s="2">
        <v>109.0</v>
      </c>
      <c r="B110" s="2">
        <v>22158.0</v>
      </c>
      <c r="C110" s="2" t="s">
        <v>174</v>
      </c>
      <c r="D110" s="2">
        <v>2.95</v>
      </c>
      <c r="E110" s="2">
        <v>4516.0</v>
      </c>
      <c r="F110" s="2">
        <v>14668.46</v>
      </c>
      <c r="G110" s="4">
        <f t="shared" si="3"/>
        <v>2863428.1</v>
      </c>
      <c r="H110" s="4">
        <f t="shared" si="1"/>
        <v>0.3000107599</v>
      </c>
      <c r="I110" s="4" t="str">
        <f t="shared" si="2"/>
        <v>A</v>
      </c>
    </row>
    <row r="111">
      <c r="A111" s="2">
        <v>110.0</v>
      </c>
      <c r="B111" s="2" t="s">
        <v>175</v>
      </c>
      <c r="C111" s="2" t="s">
        <v>176</v>
      </c>
      <c r="D111" s="2">
        <v>5.45</v>
      </c>
      <c r="E111" s="2">
        <v>2860.0</v>
      </c>
      <c r="F111" s="2">
        <v>14632.88</v>
      </c>
      <c r="G111" s="4">
        <f t="shared" si="3"/>
        <v>2878060.98</v>
      </c>
      <c r="H111" s="4">
        <f t="shared" si="1"/>
        <v>0.3015438948</v>
      </c>
      <c r="I111" s="4" t="str">
        <f t="shared" si="2"/>
        <v>A</v>
      </c>
    </row>
    <row r="112">
      <c r="A112" s="2">
        <v>111.0</v>
      </c>
      <c r="B112" s="2">
        <v>22622.0</v>
      </c>
      <c r="C112" s="2" t="s">
        <v>177</v>
      </c>
      <c r="D112" s="2">
        <v>9.95</v>
      </c>
      <c r="E112" s="2">
        <v>1444.0</v>
      </c>
      <c r="F112" s="2">
        <v>14461.3</v>
      </c>
      <c r="G112" s="4">
        <f t="shared" si="3"/>
        <v>2892522.28</v>
      </c>
      <c r="H112" s="4">
        <f t="shared" si="1"/>
        <v>0.3030590526</v>
      </c>
      <c r="I112" s="4" t="str">
        <f t="shared" si="2"/>
        <v>A</v>
      </c>
    </row>
    <row r="113">
      <c r="A113" s="2">
        <v>112.0</v>
      </c>
      <c r="B113" s="2">
        <v>23355.0</v>
      </c>
      <c r="C113" s="2" t="s">
        <v>178</v>
      </c>
      <c r="D113" s="2">
        <v>4.95</v>
      </c>
      <c r="E113" s="2">
        <v>2902.0</v>
      </c>
      <c r="F113" s="2">
        <v>14341.78</v>
      </c>
      <c r="G113" s="4">
        <f t="shared" si="3"/>
        <v>2906864.06</v>
      </c>
      <c r="H113" s="4">
        <f t="shared" si="1"/>
        <v>0.304561688</v>
      </c>
      <c r="I113" s="4" t="str">
        <f t="shared" si="2"/>
        <v>A</v>
      </c>
    </row>
    <row r="114">
      <c r="A114" s="2">
        <v>113.0</v>
      </c>
      <c r="B114" s="2">
        <v>48188.0</v>
      </c>
      <c r="C114" s="2" t="s">
        <v>179</v>
      </c>
      <c r="D114" s="2">
        <v>7.95</v>
      </c>
      <c r="E114" s="2">
        <v>2433.0</v>
      </c>
      <c r="F114" s="2">
        <v>14296.44</v>
      </c>
      <c r="G114" s="4">
        <f t="shared" si="3"/>
        <v>2921160.5</v>
      </c>
      <c r="H114" s="4">
        <f t="shared" si="1"/>
        <v>0.3060595729</v>
      </c>
      <c r="I114" s="4" t="str">
        <f t="shared" si="2"/>
        <v>A</v>
      </c>
    </row>
    <row r="115">
      <c r="A115" s="2">
        <v>114.0</v>
      </c>
      <c r="B115" s="2">
        <v>82483.0</v>
      </c>
      <c r="C115" s="2" t="s">
        <v>180</v>
      </c>
      <c r="D115" s="2">
        <v>5.95</v>
      </c>
      <c r="E115" s="2">
        <v>2390.0</v>
      </c>
      <c r="F115" s="2">
        <v>14216.11</v>
      </c>
      <c r="G115" s="4">
        <f t="shared" si="3"/>
        <v>2935376.61</v>
      </c>
      <c r="H115" s="4">
        <f t="shared" si="1"/>
        <v>0.3075490414</v>
      </c>
      <c r="I115" s="4" t="str">
        <f t="shared" si="2"/>
        <v>A</v>
      </c>
    </row>
    <row r="116">
      <c r="A116" s="2">
        <v>115.0</v>
      </c>
      <c r="B116" s="2">
        <v>84978.0</v>
      </c>
      <c r="C116" s="2" t="s">
        <v>181</v>
      </c>
      <c r="D116" s="2">
        <v>1.25</v>
      </c>
      <c r="E116" s="2">
        <v>10784.0</v>
      </c>
      <c r="F116" s="2">
        <v>14173.24</v>
      </c>
      <c r="G116" s="4">
        <f t="shared" si="3"/>
        <v>2949549.85</v>
      </c>
      <c r="H116" s="4">
        <f t="shared" si="1"/>
        <v>0.3090340183</v>
      </c>
      <c r="I116" s="4" t="str">
        <f t="shared" si="2"/>
        <v>A</v>
      </c>
    </row>
    <row r="117">
      <c r="A117" s="2">
        <v>116.0</v>
      </c>
      <c r="B117" s="2">
        <v>22866.0</v>
      </c>
      <c r="C117" s="2" t="s">
        <v>182</v>
      </c>
      <c r="D117" s="2">
        <v>2.1</v>
      </c>
      <c r="E117" s="2">
        <v>6350.0</v>
      </c>
      <c r="F117" s="2">
        <v>14064.58</v>
      </c>
      <c r="G117" s="4">
        <f t="shared" si="3"/>
        <v>2963614.43</v>
      </c>
      <c r="H117" s="4">
        <f t="shared" si="1"/>
        <v>0.3105076105</v>
      </c>
      <c r="I117" s="4" t="str">
        <f t="shared" si="2"/>
        <v>A</v>
      </c>
    </row>
    <row r="118">
      <c r="A118" s="2">
        <v>117.0</v>
      </c>
      <c r="B118" s="2">
        <v>22467.0</v>
      </c>
      <c r="C118" s="2" t="s">
        <v>183</v>
      </c>
      <c r="D118" s="2">
        <v>2.55</v>
      </c>
      <c r="E118" s="2">
        <v>5935.0</v>
      </c>
      <c r="F118" s="2">
        <v>14048.49</v>
      </c>
      <c r="G118" s="4">
        <f t="shared" si="3"/>
        <v>2977662.92</v>
      </c>
      <c r="H118" s="4">
        <f t="shared" si="1"/>
        <v>0.3119795169</v>
      </c>
      <c r="I118" s="4" t="str">
        <f t="shared" si="2"/>
        <v>A</v>
      </c>
    </row>
    <row r="119">
      <c r="A119" s="2">
        <v>118.0</v>
      </c>
      <c r="B119" s="2">
        <v>22188.0</v>
      </c>
      <c r="C119" s="2" t="s">
        <v>184</v>
      </c>
      <c r="D119" s="2">
        <v>3.95</v>
      </c>
      <c r="E119" s="2">
        <v>5174.0</v>
      </c>
      <c r="F119" s="2">
        <v>14048.12</v>
      </c>
      <c r="G119" s="4">
        <f t="shared" si="3"/>
        <v>2991711.04</v>
      </c>
      <c r="H119" s="4">
        <f t="shared" si="1"/>
        <v>0.3134513846</v>
      </c>
      <c r="I119" s="4" t="str">
        <f t="shared" si="2"/>
        <v>A</v>
      </c>
    </row>
    <row r="120">
      <c r="A120" s="2">
        <v>119.0</v>
      </c>
      <c r="B120" s="2">
        <v>21977.0</v>
      </c>
      <c r="C120" s="2" t="s">
        <v>185</v>
      </c>
      <c r="D120" s="2">
        <v>0.55</v>
      </c>
      <c r="E120" s="2">
        <v>28029.0</v>
      </c>
      <c r="F120" s="2">
        <v>14032.24</v>
      </c>
      <c r="G120" s="4">
        <f t="shared" si="3"/>
        <v>3005743.28</v>
      </c>
      <c r="H120" s="4">
        <f t="shared" si="1"/>
        <v>0.3149215884</v>
      </c>
      <c r="I120" s="4" t="str">
        <f t="shared" si="2"/>
        <v>A</v>
      </c>
    </row>
    <row r="121">
      <c r="A121" s="2">
        <v>120.0</v>
      </c>
      <c r="B121" s="2">
        <v>82583.0</v>
      </c>
      <c r="C121" s="2" t="s">
        <v>186</v>
      </c>
      <c r="D121" s="2">
        <v>2.1</v>
      </c>
      <c r="E121" s="2">
        <v>6448.0</v>
      </c>
      <c r="F121" s="2">
        <v>14012.0</v>
      </c>
      <c r="G121" s="4">
        <f t="shared" si="3"/>
        <v>3019755.28</v>
      </c>
      <c r="H121" s="4">
        <f t="shared" si="1"/>
        <v>0.3163896716</v>
      </c>
      <c r="I121" s="4" t="str">
        <f t="shared" si="2"/>
        <v>A</v>
      </c>
    </row>
    <row r="122">
      <c r="A122" s="2">
        <v>121.0</v>
      </c>
      <c r="B122" s="2">
        <v>22492.0</v>
      </c>
      <c r="C122" s="2" t="s">
        <v>187</v>
      </c>
      <c r="D122" s="2">
        <v>0.65</v>
      </c>
      <c r="E122" s="2">
        <v>21694.0</v>
      </c>
      <c r="F122" s="2">
        <v>13857.77</v>
      </c>
      <c r="G122" s="4">
        <f t="shared" si="3"/>
        <v>3033613.05</v>
      </c>
      <c r="H122" s="4">
        <f t="shared" si="1"/>
        <v>0.3178415957</v>
      </c>
      <c r="I122" s="4" t="str">
        <f t="shared" si="2"/>
        <v>A</v>
      </c>
    </row>
    <row r="123">
      <c r="A123" s="2">
        <v>122.0</v>
      </c>
      <c r="B123" s="2">
        <v>20719.0</v>
      </c>
      <c r="C123" s="2" t="s">
        <v>188</v>
      </c>
      <c r="D123" s="2">
        <v>0.85</v>
      </c>
      <c r="E123" s="2">
        <v>12214.0</v>
      </c>
      <c r="F123" s="2">
        <v>13779.91</v>
      </c>
      <c r="G123" s="4">
        <f t="shared" si="3"/>
        <v>3047392.96</v>
      </c>
      <c r="H123" s="4">
        <f t="shared" si="1"/>
        <v>0.3192853621</v>
      </c>
      <c r="I123" s="4" t="str">
        <f t="shared" si="2"/>
        <v>A</v>
      </c>
    </row>
    <row r="124">
      <c r="A124" s="2">
        <v>123.0</v>
      </c>
      <c r="B124" s="2">
        <v>22624.0</v>
      </c>
      <c r="C124" s="2" t="s">
        <v>189</v>
      </c>
      <c r="D124" s="2">
        <v>8.5</v>
      </c>
      <c r="E124" s="2">
        <v>1584.0</v>
      </c>
      <c r="F124" s="2">
        <v>13703.42</v>
      </c>
      <c r="G124" s="4">
        <f t="shared" si="3"/>
        <v>3061096.38</v>
      </c>
      <c r="H124" s="4">
        <f t="shared" si="1"/>
        <v>0.3207211144</v>
      </c>
      <c r="I124" s="4" t="str">
        <f t="shared" si="2"/>
        <v>A</v>
      </c>
    </row>
    <row r="125">
      <c r="A125" s="2">
        <v>124.0</v>
      </c>
      <c r="B125" s="2">
        <v>21930.0</v>
      </c>
      <c r="C125" s="2" t="s">
        <v>190</v>
      </c>
      <c r="D125" s="2">
        <v>1.95</v>
      </c>
      <c r="E125" s="2">
        <v>6703.0</v>
      </c>
      <c r="F125" s="2">
        <v>13700.36</v>
      </c>
      <c r="G125" s="4">
        <f t="shared" si="3"/>
        <v>3074796.74</v>
      </c>
      <c r="H125" s="4">
        <f t="shared" si="1"/>
        <v>0.322156546</v>
      </c>
      <c r="I125" s="4" t="str">
        <f t="shared" si="2"/>
        <v>A</v>
      </c>
    </row>
    <row r="126">
      <c r="A126" s="2">
        <v>125.0</v>
      </c>
      <c r="B126" s="2">
        <v>72741.0</v>
      </c>
      <c r="C126" s="2" t="s">
        <v>191</v>
      </c>
      <c r="D126" s="2">
        <v>1.45</v>
      </c>
      <c r="E126" s="2">
        <v>9880.0</v>
      </c>
      <c r="F126" s="2">
        <v>13653.8</v>
      </c>
      <c r="G126" s="4">
        <f t="shared" si="3"/>
        <v>3088450.54</v>
      </c>
      <c r="H126" s="4">
        <f t="shared" si="1"/>
        <v>0.3235870995</v>
      </c>
      <c r="I126" s="4" t="str">
        <f t="shared" si="2"/>
        <v>A</v>
      </c>
    </row>
    <row r="127">
      <c r="A127" s="2">
        <v>126.0</v>
      </c>
      <c r="B127" s="2">
        <v>23201.0</v>
      </c>
      <c r="C127" s="2" t="s">
        <v>192</v>
      </c>
      <c r="D127" s="2">
        <v>2.08</v>
      </c>
      <c r="E127" s="2">
        <v>6468.0</v>
      </c>
      <c r="F127" s="2">
        <v>13544.86</v>
      </c>
      <c r="G127" s="4">
        <f t="shared" si="3"/>
        <v>3101995.4</v>
      </c>
      <c r="H127" s="4">
        <f t="shared" si="1"/>
        <v>0.3250062389</v>
      </c>
      <c r="I127" s="4" t="str">
        <f t="shared" si="2"/>
        <v>A</v>
      </c>
    </row>
    <row r="128">
      <c r="A128" s="2">
        <v>127.0</v>
      </c>
      <c r="B128" s="2">
        <v>84991.0</v>
      </c>
      <c r="C128" s="2" t="s">
        <v>193</v>
      </c>
      <c r="D128" s="2">
        <v>0.55</v>
      </c>
      <c r="E128" s="2">
        <v>26995.0</v>
      </c>
      <c r="F128" s="2">
        <v>13502.36</v>
      </c>
      <c r="G128" s="4">
        <f t="shared" si="3"/>
        <v>3115497.76</v>
      </c>
      <c r="H128" s="4">
        <f t="shared" si="1"/>
        <v>0.3264209255</v>
      </c>
      <c r="I128" s="4" t="str">
        <f t="shared" si="2"/>
        <v>A</v>
      </c>
    </row>
    <row r="129">
      <c r="A129" s="2">
        <v>128.0</v>
      </c>
      <c r="B129" s="2">
        <v>20750.0</v>
      </c>
      <c r="C129" s="2" t="s">
        <v>194</v>
      </c>
      <c r="D129" s="2">
        <v>7.95</v>
      </c>
      <c r="E129" s="2">
        <v>1842.0</v>
      </c>
      <c r="F129" s="2">
        <v>13421.39</v>
      </c>
      <c r="G129" s="4">
        <f t="shared" si="3"/>
        <v>3128919.15</v>
      </c>
      <c r="H129" s="4">
        <f t="shared" si="1"/>
        <v>0.3278271286</v>
      </c>
      <c r="I129" s="4" t="str">
        <f t="shared" si="2"/>
        <v>A</v>
      </c>
    </row>
    <row r="130">
      <c r="A130" s="2">
        <v>129.0</v>
      </c>
      <c r="B130" s="2">
        <v>22734.0</v>
      </c>
      <c r="C130" s="2" t="s">
        <v>195</v>
      </c>
      <c r="D130" s="2">
        <v>2.89</v>
      </c>
      <c r="E130" s="2">
        <v>4875.0</v>
      </c>
      <c r="F130" s="2">
        <v>13349.4</v>
      </c>
      <c r="G130" s="4">
        <f t="shared" si="3"/>
        <v>3142268.55</v>
      </c>
      <c r="H130" s="4">
        <f t="shared" si="1"/>
        <v>0.329225789</v>
      </c>
      <c r="I130" s="4" t="str">
        <f t="shared" si="2"/>
        <v>A</v>
      </c>
    </row>
    <row r="131">
      <c r="A131" s="2">
        <v>130.0</v>
      </c>
      <c r="B131" s="2">
        <v>71459.0</v>
      </c>
      <c r="C131" s="2" t="s">
        <v>196</v>
      </c>
      <c r="D131" s="2">
        <v>0.85</v>
      </c>
      <c r="E131" s="2">
        <v>16458.0</v>
      </c>
      <c r="F131" s="2">
        <v>13345.04</v>
      </c>
      <c r="G131" s="4">
        <f t="shared" si="3"/>
        <v>3155613.59</v>
      </c>
      <c r="H131" s="4">
        <f t="shared" si="1"/>
        <v>0.3306239927</v>
      </c>
      <c r="I131" s="4" t="str">
        <f t="shared" si="2"/>
        <v>A</v>
      </c>
    </row>
    <row r="132">
      <c r="A132" s="2">
        <v>131.0</v>
      </c>
      <c r="B132" s="2">
        <v>22961.0</v>
      </c>
      <c r="C132" s="2" t="s">
        <v>197</v>
      </c>
      <c r="D132" s="2">
        <v>1.45</v>
      </c>
      <c r="E132" s="2">
        <v>8522.0</v>
      </c>
      <c r="F132" s="2">
        <v>13311.89</v>
      </c>
      <c r="G132" s="4">
        <f t="shared" si="3"/>
        <v>3168925.48</v>
      </c>
      <c r="H132" s="4">
        <f t="shared" si="1"/>
        <v>0.3320187231</v>
      </c>
      <c r="I132" s="4" t="str">
        <f t="shared" si="2"/>
        <v>A</v>
      </c>
    </row>
    <row r="133">
      <c r="A133" s="2">
        <v>132.0</v>
      </c>
      <c r="B133" s="2">
        <v>22752.0</v>
      </c>
      <c r="C133" s="2" t="s">
        <v>198</v>
      </c>
      <c r="D133" s="2">
        <v>8.5</v>
      </c>
      <c r="E133" s="2">
        <v>1632.0</v>
      </c>
      <c r="F133" s="2">
        <v>13308.12</v>
      </c>
      <c r="G133" s="4">
        <f t="shared" si="3"/>
        <v>3182233.6</v>
      </c>
      <c r="H133" s="4">
        <f t="shared" si="1"/>
        <v>0.3334130585</v>
      </c>
      <c r="I133" s="4" t="str">
        <f t="shared" si="2"/>
        <v>A</v>
      </c>
    </row>
    <row r="134">
      <c r="A134" s="2">
        <v>133.0</v>
      </c>
      <c r="B134" s="2">
        <v>22867.0</v>
      </c>
      <c r="C134" s="2" t="s">
        <v>199</v>
      </c>
      <c r="D134" s="2">
        <v>2.1</v>
      </c>
      <c r="E134" s="2">
        <v>5930.0</v>
      </c>
      <c r="F134" s="2">
        <v>13045.16</v>
      </c>
      <c r="G134" s="4">
        <f t="shared" si="3"/>
        <v>3195278.76</v>
      </c>
      <c r="H134" s="4">
        <f t="shared" si="1"/>
        <v>0.3347798427</v>
      </c>
      <c r="I134" s="4" t="str">
        <f t="shared" si="2"/>
        <v>A</v>
      </c>
    </row>
    <row r="135">
      <c r="A135" s="2">
        <v>134.0</v>
      </c>
      <c r="B135" s="2">
        <v>48111.0</v>
      </c>
      <c r="C135" s="2" t="s">
        <v>200</v>
      </c>
      <c r="D135" s="2">
        <v>7.49</v>
      </c>
      <c r="E135" s="2">
        <v>2125.0</v>
      </c>
      <c r="F135" s="2">
        <v>12993.76</v>
      </c>
      <c r="G135" s="4">
        <f t="shared" si="3"/>
        <v>3208272.52</v>
      </c>
      <c r="H135" s="4">
        <f t="shared" si="1"/>
        <v>0.3361412416</v>
      </c>
      <c r="I135" s="4" t="str">
        <f t="shared" si="2"/>
        <v>A</v>
      </c>
    </row>
    <row r="136">
      <c r="A136" s="2">
        <v>135.0</v>
      </c>
      <c r="B136" s="2">
        <v>22835.0</v>
      </c>
      <c r="C136" s="2" t="s">
        <v>201</v>
      </c>
      <c r="D136" s="2">
        <v>4.65</v>
      </c>
      <c r="E136" s="2">
        <v>2493.0</v>
      </c>
      <c r="F136" s="2">
        <v>12877.67</v>
      </c>
      <c r="G136" s="4">
        <f t="shared" si="3"/>
        <v>3221150.19</v>
      </c>
      <c r="H136" s="4">
        <f t="shared" si="1"/>
        <v>0.3374904773</v>
      </c>
      <c r="I136" s="4" t="str">
        <f t="shared" si="2"/>
        <v>A</v>
      </c>
    </row>
    <row r="137">
      <c r="A137" s="2">
        <v>136.0</v>
      </c>
      <c r="B137" s="2">
        <v>82600.0</v>
      </c>
      <c r="C137" s="2" t="s">
        <v>202</v>
      </c>
      <c r="D137" s="2">
        <v>2.1</v>
      </c>
      <c r="E137" s="2">
        <v>6336.0</v>
      </c>
      <c r="F137" s="2">
        <v>12864.95</v>
      </c>
      <c r="G137" s="4">
        <f t="shared" si="3"/>
        <v>3234015.14</v>
      </c>
      <c r="H137" s="4">
        <f t="shared" si="1"/>
        <v>0.3388383804</v>
      </c>
      <c r="I137" s="4" t="str">
        <f t="shared" si="2"/>
        <v>A</v>
      </c>
    </row>
    <row r="138">
      <c r="A138" s="2">
        <v>137.0</v>
      </c>
      <c r="B138" s="2">
        <v>20711.0</v>
      </c>
      <c r="C138" s="2" t="s">
        <v>203</v>
      </c>
      <c r="D138" s="2">
        <v>2.08</v>
      </c>
      <c r="E138" s="2">
        <v>6316.0</v>
      </c>
      <c r="F138" s="2">
        <v>12847.86</v>
      </c>
      <c r="G138" s="4">
        <f t="shared" si="3"/>
        <v>3246863</v>
      </c>
      <c r="H138" s="4">
        <f t="shared" si="1"/>
        <v>0.3401844928</v>
      </c>
      <c r="I138" s="4" t="str">
        <f t="shared" si="2"/>
        <v>A</v>
      </c>
    </row>
    <row r="139">
      <c r="A139" s="2">
        <v>138.0</v>
      </c>
      <c r="B139" s="2">
        <v>22551.0</v>
      </c>
      <c r="C139" s="2" t="s">
        <v>204</v>
      </c>
      <c r="D139" s="2">
        <v>1.65</v>
      </c>
      <c r="E139" s="2">
        <v>7607.0</v>
      </c>
      <c r="F139" s="2">
        <v>12788.36</v>
      </c>
      <c r="G139" s="4">
        <f t="shared" si="3"/>
        <v>3259651.36</v>
      </c>
      <c r="H139" s="4">
        <f t="shared" si="1"/>
        <v>0.3415243713</v>
      </c>
      <c r="I139" s="4" t="str">
        <f t="shared" si="2"/>
        <v>A</v>
      </c>
    </row>
    <row r="140">
      <c r="A140" s="2">
        <v>139.0</v>
      </c>
      <c r="B140" s="2">
        <v>22507.0</v>
      </c>
      <c r="C140" s="2" t="s">
        <v>205</v>
      </c>
      <c r="D140" s="2">
        <v>4.95</v>
      </c>
      <c r="E140" s="2">
        <v>2721.0</v>
      </c>
      <c r="F140" s="2">
        <v>12769.56</v>
      </c>
      <c r="G140" s="4">
        <f t="shared" si="3"/>
        <v>3272420.92</v>
      </c>
      <c r="H140" s="4">
        <f t="shared" si="1"/>
        <v>0.34286228</v>
      </c>
      <c r="I140" s="4" t="str">
        <f t="shared" si="2"/>
        <v>A</v>
      </c>
    </row>
    <row r="141">
      <c r="A141" s="2">
        <v>140.0</v>
      </c>
      <c r="B141" s="2">
        <v>22087.0</v>
      </c>
      <c r="C141" s="2" t="s">
        <v>206</v>
      </c>
      <c r="D141" s="2">
        <v>2.95</v>
      </c>
      <c r="E141" s="2">
        <v>4218.0</v>
      </c>
      <c r="F141" s="2">
        <v>12638.5</v>
      </c>
      <c r="G141" s="4">
        <f t="shared" si="3"/>
        <v>3285059.42</v>
      </c>
      <c r="H141" s="4">
        <f t="shared" si="1"/>
        <v>0.3441864571</v>
      </c>
      <c r="I141" s="4" t="str">
        <f t="shared" si="2"/>
        <v>A</v>
      </c>
    </row>
    <row r="142">
      <c r="A142" s="2">
        <v>141.0</v>
      </c>
      <c r="B142" s="2">
        <v>22149.0</v>
      </c>
      <c r="C142" s="2" t="s">
        <v>207</v>
      </c>
      <c r="D142" s="2">
        <v>2.1</v>
      </c>
      <c r="E142" s="2">
        <v>6042.0</v>
      </c>
      <c r="F142" s="2">
        <v>12564.98</v>
      </c>
      <c r="G142" s="4">
        <f t="shared" si="3"/>
        <v>3297624.4</v>
      </c>
      <c r="H142" s="4">
        <f t="shared" si="1"/>
        <v>0.3455029313</v>
      </c>
      <c r="I142" s="4" t="str">
        <f t="shared" si="2"/>
        <v>A</v>
      </c>
    </row>
    <row r="143">
      <c r="A143" s="2">
        <v>142.0</v>
      </c>
      <c r="B143" s="2">
        <v>21080.0</v>
      </c>
      <c r="C143" s="2" t="s">
        <v>208</v>
      </c>
      <c r="D143" s="2">
        <v>0.85</v>
      </c>
      <c r="E143" s="2">
        <v>15249.0</v>
      </c>
      <c r="F143" s="2">
        <v>12523.3</v>
      </c>
      <c r="G143" s="4">
        <f t="shared" si="3"/>
        <v>3310147.7</v>
      </c>
      <c r="H143" s="4">
        <f t="shared" si="1"/>
        <v>0.3468150385</v>
      </c>
      <c r="I143" s="4" t="str">
        <f t="shared" si="2"/>
        <v>A</v>
      </c>
    </row>
    <row r="144">
      <c r="A144" s="2">
        <v>143.0</v>
      </c>
      <c r="B144" s="2">
        <v>37503.0</v>
      </c>
      <c r="C144" s="2" t="s">
        <v>209</v>
      </c>
      <c r="D144" s="2">
        <v>10.75</v>
      </c>
      <c r="E144" s="2">
        <v>1213.0</v>
      </c>
      <c r="F144" s="2">
        <v>12518.94</v>
      </c>
      <c r="G144" s="4">
        <f t="shared" si="3"/>
        <v>3322666.64</v>
      </c>
      <c r="H144" s="4">
        <f t="shared" si="1"/>
        <v>0.348126689</v>
      </c>
      <c r="I144" s="4" t="str">
        <f t="shared" si="2"/>
        <v>A</v>
      </c>
    </row>
    <row r="145">
      <c r="A145" s="2">
        <v>144.0</v>
      </c>
      <c r="B145" s="2">
        <v>22084.0</v>
      </c>
      <c r="C145" s="2" t="s">
        <v>210</v>
      </c>
      <c r="D145" s="2">
        <v>2.95</v>
      </c>
      <c r="E145" s="2">
        <v>4366.0</v>
      </c>
      <c r="F145" s="2">
        <v>12483.58</v>
      </c>
      <c r="G145" s="4">
        <f t="shared" si="3"/>
        <v>3335150.22</v>
      </c>
      <c r="H145" s="4">
        <f t="shared" si="1"/>
        <v>0.3494346346</v>
      </c>
      <c r="I145" s="4" t="str">
        <f t="shared" si="2"/>
        <v>A</v>
      </c>
    </row>
    <row r="146">
      <c r="A146" s="2">
        <v>145.0</v>
      </c>
      <c r="B146" s="2">
        <v>84755.0</v>
      </c>
      <c r="C146" s="2" t="s">
        <v>211</v>
      </c>
      <c r="D146" s="2">
        <v>0.65</v>
      </c>
      <c r="E146" s="2">
        <v>19959.0</v>
      </c>
      <c r="F146" s="2">
        <v>12462.04</v>
      </c>
      <c r="G146" s="4">
        <f t="shared" si="3"/>
        <v>3347612.26</v>
      </c>
      <c r="H146" s="4">
        <f t="shared" si="1"/>
        <v>0.3507403235</v>
      </c>
      <c r="I146" s="4" t="str">
        <f t="shared" si="2"/>
        <v>A</v>
      </c>
    </row>
    <row r="147">
      <c r="A147" s="2">
        <v>146.0</v>
      </c>
      <c r="B147" s="2">
        <v>21527.0</v>
      </c>
      <c r="C147" s="2" t="s">
        <v>213</v>
      </c>
      <c r="D147" s="2">
        <v>7.95</v>
      </c>
      <c r="E147" s="2">
        <v>1665.0</v>
      </c>
      <c r="F147" s="2">
        <v>12424.61</v>
      </c>
      <c r="G147" s="4">
        <f t="shared" si="3"/>
        <v>3360036.87</v>
      </c>
      <c r="H147" s="4">
        <f t="shared" si="1"/>
        <v>0.3520420906</v>
      </c>
      <c r="I147" s="4" t="str">
        <f t="shared" si="2"/>
        <v>A</v>
      </c>
    </row>
    <row r="148">
      <c r="A148" s="2">
        <v>147.0</v>
      </c>
      <c r="B148" s="2" t="s">
        <v>216</v>
      </c>
      <c r="C148" s="2" t="s">
        <v>217</v>
      </c>
      <c r="D148" s="2">
        <v>4.65</v>
      </c>
      <c r="E148" s="2">
        <v>2772.0</v>
      </c>
      <c r="F148" s="2">
        <v>12420.84</v>
      </c>
      <c r="G148" s="4">
        <f t="shared" si="3"/>
        <v>3372457.71</v>
      </c>
      <c r="H148" s="4">
        <f t="shared" si="1"/>
        <v>0.3533434628</v>
      </c>
      <c r="I148" s="4" t="str">
        <f t="shared" si="2"/>
        <v>A</v>
      </c>
    </row>
    <row r="149">
      <c r="A149" s="2">
        <v>148.0</v>
      </c>
      <c r="B149" s="2">
        <v>23173.0</v>
      </c>
      <c r="C149" s="2" t="s">
        <v>218</v>
      </c>
      <c r="D149" s="2">
        <v>9.95</v>
      </c>
      <c r="E149" s="2">
        <v>1372.0</v>
      </c>
      <c r="F149" s="2">
        <v>12356.69</v>
      </c>
      <c r="G149" s="4">
        <f t="shared" si="3"/>
        <v>3384814.4</v>
      </c>
      <c r="H149" s="4">
        <f t="shared" si="1"/>
        <v>0.3546381138</v>
      </c>
      <c r="I149" s="4" t="str">
        <f t="shared" si="2"/>
        <v>A</v>
      </c>
    </row>
    <row r="150">
      <c r="A150" s="2">
        <v>149.0</v>
      </c>
      <c r="B150" s="2">
        <v>20971.0</v>
      </c>
      <c r="C150" s="2" t="s">
        <v>220</v>
      </c>
      <c r="D150" s="2">
        <v>1.25</v>
      </c>
      <c r="E150" s="2">
        <v>9222.0</v>
      </c>
      <c r="F150" s="2">
        <v>12266.35</v>
      </c>
      <c r="G150" s="4">
        <f t="shared" si="3"/>
        <v>3397080.75</v>
      </c>
      <c r="H150" s="4">
        <f t="shared" si="1"/>
        <v>0.3559232995</v>
      </c>
      <c r="I150" s="4" t="str">
        <f t="shared" si="2"/>
        <v>A</v>
      </c>
    </row>
    <row r="151">
      <c r="A151" s="2">
        <v>150.0</v>
      </c>
      <c r="B151" s="2">
        <v>84836.0</v>
      </c>
      <c r="C151" s="2" t="s">
        <v>222</v>
      </c>
      <c r="D151" s="2">
        <v>1.25</v>
      </c>
      <c r="E151" s="2">
        <v>9995.0</v>
      </c>
      <c r="F151" s="2">
        <v>12234.04</v>
      </c>
      <c r="G151" s="4">
        <f t="shared" si="3"/>
        <v>3409314.79</v>
      </c>
      <c r="H151" s="4">
        <f t="shared" si="1"/>
        <v>0.3572051</v>
      </c>
      <c r="I151" s="4" t="str">
        <f t="shared" si="2"/>
        <v>A</v>
      </c>
    </row>
    <row r="152">
      <c r="A152" s="2">
        <v>151.0</v>
      </c>
      <c r="B152" s="2">
        <v>22722.0</v>
      </c>
      <c r="C152" s="2" t="s">
        <v>223</v>
      </c>
      <c r="D152" s="2">
        <v>3.95</v>
      </c>
      <c r="E152" s="2">
        <v>2980.0</v>
      </c>
      <c r="F152" s="2">
        <v>12208.26</v>
      </c>
      <c r="G152" s="4">
        <f t="shared" si="3"/>
        <v>3421523.05</v>
      </c>
      <c r="H152" s="4">
        <f t="shared" si="1"/>
        <v>0.3584841995</v>
      </c>
      <c r="I152" s="4" t="str">
        <f t="shared" si="2"/>
        <v>A</v>
      </c>
    </row>
    <row r="153">
      <c r="A153" s="2">
        <v>152.0</v>
      </c>
      <c r="B153" s="2">
        <v>84077.0</v>
      </c>
      <c r="C153" s="2" t="s">
        <v>224</v>
      </c>
      <c r="D153" s="2">
        <v>0.29</v>
      </c>
      <c r="E153" s="2">
        <v>52950.0</v>
      </c>
      <c r="F153" s="2">
        <v>12193.76</v>
      </c>
      <c r="G153" s="4">
        <f t="shared" si="3"/>
        <v>3433716.81</v>
      </c>
      <c r="H153" s="4">
        <f t="shared" si="1"/>
        <v>0.3597617798</v>
      </c>
      <c r="I153" s="4" t="str">
        <f t="shared" si="2"/>
        <v>A</v>
      </c>
    </row>
    <row r="154">
      <c r="A154" s="2">
        <v>153.0</v>
      </c>
      <c r="B154" s="2">
        <v>22698.0</v>
      </c>
      <c r="C154" s="2" t="s">
        <v>225</v>
      </c>
      <c r="D154" s="2">
        <v>2.95</v>
      </c>
      <c r="E154" s="2">
        <v>4064.0</v>
      </c>
      <c r="F154" s="2">
        <v>12104.36</v>
      </c>
      <c r="G154" s="4">
        <f t="shared" si="3"/>
        <v>3445821.17</v>
      </c>
      <c r="H154" s="4">
        <f t="shared" si="1"/>
        <v>0.3610299933</v>
      </c>
      <c r="I154" s="4" t="str">
        <f t="shared" si="2"/>
        <v>A</v>
      </c>
    </row>
    <row r="155">
      <c r="A155" s="2">
        <v>154.0</v>
      </c>
      <c r="B155" s="2">
        <v>22728.0</v>
      </c>
      <c r="C155" s="2" t="s">
        <v>226</v>
      </c>
      <c r="D155" s="2">
        <v>3.75</v>
      </c>
      <c r="E155" s="2">
        <v>3098.0</v>
      </c>
      <c r="F155" s="2">
        <v>12091.16</v>
      </c>
      <c r="G155" s="4">
        <f t="shared" si="3"/>
        <v>3457912.33</v>
      </c>
      <c r="H155" s="4">
        <f t="shared" si="1"/>
        <v>0.3622968238</v>
      </c>
      <c r="I155" s="4" t="str">
        <f t="shared" si="2"/>
        <v>A</v>
      </c>
    </row>
    <row r="156">
      <c r="A156" s="2">
        <v>155.0</v>
      </c>
      <c r="B156" s="2">
        <v>21231.0</v>
      </c>
      <c r="C156" s="2" t="s">
        <v>227</v>
      </c>
      <c r="D156" s="2">
        <v>1.25</v>
      </c>
      <c r="E156" s="2">
        <v>9716.0</v>
      </c>
      <c r="F156" s="2">
        <v>12066.93</v>
      </c>
      <c r="G156" s="4">
        <f t="shared" si="3"/>
        <v>3469979.26</v>
      </c>
      <c r="H156" s="4">
        <f t="shared" si="1"/>
        <v>0.3635611157</v>
      </c>
      <c r="I156" s="4" t="str">
        <f t="shared" si="2"/>
        <v>A</v>
      </c>
    </row>
    <row r="157">
      <c r="A157" s="2">
        <v>156.0</v>
      </c>
      <c r="B157" s="2">
        <v>21314.0</v>
      </c>
      <c r="C157" s="2" t="s">
        <v>228</v>
      </c>
      <c r="D157" s="2">
        <v>2.1</v>
      </c>
      <c r="E157" s="2">
        <v>5576.0</v>
      </c>
      <c r="F157" s="2">
        <v>12064.7</v>
      </c>
      <c r="G157" s="4">
        <f t="shared" si="3"/>
        <v>3482043.96</v>
      </c>
      <c r="H157" s="4">
        <f t="shared" si="1"/>
        <v>0.3648251739</v>
      </c>
      <c r="I157" s="4" t="str">
        <f t="shared" si="2"/>
        <v>A</v>
      </c>
    </row>
    <row r="158">
      <c r="A158" s="2">
        <v>157.0</v>
      </c>
      <c r="B158" s="2" t="s">
        <v>229</v>
      </c>
      <c r="C158" s="2" t="s">
        <v>230</v>
      </c>
      <c r="D158" s="2">
        <v>5.45</v>
      </c>
      <c r="E158" s="2">
        <v>2345.0</v>
      </c>
      <c r="F158" s="2">
        <v>11938.06</v>
      </c>
      <c r="G158" s="4">
        <f t="shared" si="3"/>
        <v>3493982.02</v>
      </c>
      <c r="H158" s="4">
        <f t="shared" si="1"/>
        <v>0.3660759636</v>
      </c>
      <c r="I158" s="4" t="str">
        <f t="shared" si="2"/>
        <v>A</v>
      </c>
    </row>
    <row r="159">
      <c r="A159" s="2">
        <v>158.0</v>
      </c>
      <c r="B159" s="2">
        <v>21481.0</v>
      </c>
      <c r="C159" s="2" t="s">
        <v>231</v>
      </c>
      <c r="D159" s="2">
        <v>2.95</v>
      </c>
      <c r="E159" s="2">
        <v>3714.0</v>
      </c>
      <c r="F159" s="2">
        <v>11854.38</v>
      </c>
      <c r="G159" s="4">
        <f t="shared" si="3"/>
        <v>3505836.4</v>
      </c>
      <c r="H159" s="4">
        <f t="shared" si="1"/>
        <v>0.3673179859</v>
      </c>
      <c r="I159" s="4" t="str">
        <f t="shared" si="2"/>
        <v>A</v>
      </c>
    </row>
    <row r="160">
      <c r="A160" s="2">
        <v>159.0</v>
      </c>
      <c r="B160" s="2">
        <v>21955.0</v>
      </c>
      <c r="C160" s="2" t="s">
        <v>232</v>
      </c>
      <c r="D160" s="2">
        <v>7.49</v>
      </c>
      <c r="E160" s="2">
        <v>1946.0</v>
      </c>
      <c r="F160" s="2">
        <v>11812.97</v>
      </c>
      <c r="G160" s="4">
        <f t="shared" si="3"/>
        <v>3517649.37</v>
      </c>
      <c r="H160" s="4">
        <f t="shared" si="1"/>
        <v>0.3685556695</v>
      </c>
      <c r="I160" s="4" t="str">
        <f t="shared" si="2"/>
        <v>A</v>
      </c>
    </row>
    <row r="161">
      <c r="A161" s="2">
        <v>160.0</v>
      </c>
      <c r="B161" s="2">
        <v>22605.0</v>
      </c>
      <c r="C161" s="2" t="s">
        <v>234</v>
      </c>
      <c r="D161" s="2">
        <v>12.75</v>
      </c>
      <c r="E161" s="2">
        <v>912.0</v>
      </c>
      <c r="F161" s="2">
        <v>11698.46</v>
      </c>
      <c r="G161" s="4">
        <f t="shared" si="3"/>
        <v>3529347.83</v>
      </c>
      <c r="H161" s="4">
        <f t="shared" si="1"/>
        <v>0.3697813556</v>
      </c>
      <c r="I161" s="4" t="str">
        <f t="shared" si="2"/>
        <v>A</v>
      </c>
    </row>
    <row r="162">
      <c r="A162" s="2">
        <v>161.0</v>
      </c>
      <c r="B162" s="2">
        <v>22171.0</v>
      </c>
      <c r="C162" s="2" t="s">
        <v>235</v>
      </c>
      <c r="D162" s="2">
        <v>8.5</v>
      </c>
      <c r="E162" s="2">
        <v>1550.0</v>
      </c>
      <c r="F162" s="2">
        <v>11690.68</v>
      </c>
      <c r="G162" s="4">
        <f t="shared" si="3"/>
        <v>3541038.51</v>
      </c>
      <c r="H162" s="4">
        <f t="shared" si="1"/>
        <v>0.3710062265</v>
      </c>
      <c r="I162" s="4" t="str">
        <f t="shared" si="2"/>
        <v>A</v>
      </c>
    </row>
    <row r="163">
      <c r="A163" s="2">
        <v>162.0</v>
      </c>
      <c r="B163" s="2">
        <v>21790.0</v>
      </c>
      <c r="C163" s="2" t="s">
        <v>236</v>
      </c>
      <c r="D163" s="2">
        <v>0.85</v>
      </c>
      <c r="E163" s="2">
        <v>13543.0</v>
      </c>
      <c r="F163" s="2">
        <v>11690.62</v>
      </c>
      <c r="G163" s="4">
        <f t="shared" si="3"/>
        <v>3552729.13</v>
      </c>
      <c r="H163" s="4">
        <f t="shared" si="1"/>
        <v>0.3722310911</v>
      </c>
      <c r="I163" s="4" t="str">
        <f t="shared" si="2"/>
        <v>A</v>
      </c>
    </row>
    <row r="164">
      <c r="A164" s="2">
        <v>163.0</v>
      </c>
      <c r="B164" s="2">
        <v>23243.0</v>
      </c>
      <c r="C164" s="2" t="s">
        <v>237</v>
      </c>
      <c r="D164" s="2">
        <v>4.95</v>
      </c>
      <c r="E164" s="2">
        <v>2386.0</v>
      </c>
      <c r="F164" s="2">
        <v>11685.01</v>
      </c>
      <c r="G164" s="4">
        <f t="shared" si="3"/>
        <v>3564414.14</v>
      </c>
      <c r="H164" s="4">
        <f t="shared" si="1"/>
        <v>0.373455368</v>
      </c>
      <c r="I164" s="4" t="str">
        <f t="shared" si="2"/>
        <v>A</v>
      </c>
    </row>
    <row r="165">
      <c r="A165" s="2">
        <v>164.0</v>
      </c>
      <c r="B165" s="2">
        <v>23344.0</v>
      </c>
      <c r="C165" s="2" t="s">
        <v>238</v>
      </c>
      <c r="D165" s="2">
        <v>2.08</v>
      </c>
      <c r="E165" s="2">
        <v>5023.0</v>
      </c>
      <c r="F165" s="2">
        <v>11666.48</v>
      </c>
      <c r="G165" s="4">
        <f t="shared" si="3"/>
        <v>3576080.62</v>
      </c>
      <c r="H165" s="4">
        <f t="shared" si="1"/>
        <v>0.3746777034</v>
      </c>
      <c r="I165" s="4" t="str">
        <f t="shared" si="2"/>
        <v>A</v>
      </c>
    </row>
    <row r="166">
      <c r="A166" s="2">
        <v>165.0</v>
      </c>
      <c r="B166" s="2">
        <v>20972.0</v>
      </c>
      <c r="C166" s="2" t="s">
        <v>239</v>
      </c>
      <c r="D166" s="2">
        <v>1.25</v>
      </c>
      <c r="E166" s="2">
        <v>9536.0</v>
      </c>
      <c r="F166" s="2">
        <v>11635.71</v>
      </c>
      <c r="G166" s="4">
        <f t="shared" si="3"/>
        <v>3587716.33</v>
      </c>
      <c r="H166" s="4">
        <f t="shared" si="1"/>
        <v>0.3758968149</v>
      </c>
      <c r="I166" s="4" t="str">
        <f t="shared" si="2"/>
        <v>A</v>
      </c>
    </row>
    <row r="167">
      <c r="A167" s="2">
        <v>166.0</v>
      </c>
      <c r="B167" s="2" t="s">
        <v>240</v>
      </c>
      <c r="C167" s="2" t="s">
        <v>241</v>
      </c>
      <c r="D167" s="2">
        <v>7.49</v>
      </c>
      <c r="E167" s="2">
        <v>2040.0</v>
      </c>
      <c r="F167" s="2">
        <v>11578.68</v>
      </c>
      <c r="G167" s="4">
        <f t="shared" si="3"/>
        <v>3599295.01</v>
      </c>
      <c r="H167" s="4">
        <f t="shared" si="1"/>
        <v>0.3771099512</v>
      </c>
      <c r="I167" s="4" t="str">
        <f t="shared" si="2"/>
        <v>A</v>
      </c>
    </row>
    <row r="168">
      <c r="A168" s="2">
        <v>167.0</v>
      </c>
      <c r="B168" s="2">
        <v>22625.0</v>
      </c>
      <c r="C168" s="2" t="s">
        <v>242</v>
      </c>
      <c r="D168" s="2">
        <v>8.5</v>
      </c>
      <c r="E168" s="2">
        <v>1320.0</v>
      </c>
      <c r="F168" s="2">
        <v>11501.68</v>
      </c>
      <c r="G168" s="4">
        <f t="shared" si="3"/>
        <v>3610796.69</v>
      </c>
      <c r="H168" s="4">
        <f t="shared" si="1"/>
        <v>0.37831502</v>
      </c>
      <c r="I168" s="4" t="str">
        <f t="shared" si="2"/>
        <v>A</v>
      </c>
    </row>
    <row r="169">
      <c r="A169" s="2">
        <v>168.0</v>
      </c>
      <c r="B169" s="2">
        <v>22607.0</v>
      </c>
      <c r="C169" s="2" t="s">
        <v>243</v>
      </c>
      <c r="D169" s="2">
        <v>8.5</v>
      </c>
      <c r="E169" s="2">
        <v>1272.0</v>
      </c>
      <c r="F169" s="2">
        <v>11499.4</v>
      </c>
      <c r="G169" s="4">
        <f t="shared" si="3"/>
        <v>3622296.09</v>
      </c>
      <c r="H169" s="4">
        <f t="shared" si="1"/>
        <v>0.3795198498</v>
      </c>
      <c r="I169" s="4" t="str">
        <f t="shared" si="2"/>
        <v>A</v>
      </c>
    </row>
    <row r="170">
      <c r="A170" s="2">
        <v>169.0</v>
      </c>
      <c r="B170" s="2">
        <v>22554.0</v>
      </c>
      <c r="C170" s="2" t="s">
        <v>244</v>
      </c>
      <c r="D170" s="2">
        <v>1.65</v>
      </c>
      <c r="E170" s="2">
        <v>6749.0</v>
      </c>
      <c r="F170" s="2">
        <v>11362.21</v>
      </c>
      <c r="G170" s="4">
        <f t="shared" si="3"/>
        <v>3633658.3</v>
      </c>
      <c r="H170" s="4">
        <f t="shared" si="1"/>
        <v>0.3807103059</v>
      </c>
      <c r="I170" s="4" t="str">
        <f t="shared" si="2"/>
        <v>A</v>
      </c>
    </row>
    <row r="171">
      <c r="A171" s="2">
        <v>170.0</v>
      </c>
      <c r="B171" s="2">
        <v>21936.0</v>
      </c>
      <c r="C171" s="2" t="s">
        <v>245</v>
      </c>
      <c r="D171" s="2">
        <v>2.95</v>
      </c>
      <c r="E171" s="2">
        <v>3868.0</v>
      </c>
      <c r="F171" s="2">
        <v>11278.88</v>
      </c>
      <c r="G171" s="4">
        <f t="shared" si="3"/>
        <v>3644937.18</v>
      </c>
      <c r="H171" s="4">
        <f t="shared" si="1"/>
        <v>0.3818920312</v>
      </c>
      <c r="I171" s="4" t="str">
        <f t="shared" si="2"/>
        <v>A</v>
      </c>
    </row>
    <row r="172">
      <c r="A172" s="2">
        <v>171.0</v>
      </c>
      <c r="B172" s="2" t="s">
        <v>246</v>
      </c>
      <c r="C172" s="2" t="s">
        <v>247</v>
      </c>
      <c r="D172" s="2">
        <v>3.25</v>
      </c>
      <c r="E172" s="2">
        <v>3461.0</v>
      </c>
      <c r="F172" s="2">
        <v>11223.29</v>
      </c>
      <c r="G172" s="4">
        <f t="shared" si="3"/>
        <v>3656160.47</v>
      </c>
      <c r="H172" s="4">
        <f t="shared" si="1"/>
        <v>0.3830679321</v>
      </c>
      <c r="I172" s="4" t="str">
        <f t="shared" si="2"/>
        <v>A</v>
      </c>
    </row>
    <row r="173">
      <c r="A173" s="2">
        <v>172.0</v>
      </c>
      <c r="B173" s="2">
        <v>22556.0</v>
      </c>
      <c r="C173" s="2" t="s">
        <v>248</v>
      </c>
      <c r="D173" s="2">
        <v>1.65</v>
      </c>
      <c r="E173" s="2">
        <v>6770.0</v>
      </c>
      <c r="F173" s="2">
        <v>11129.09</v>
      </c>
      <c r="G173" s="4">
        <f t="shared" si="3"/>
        <v>3667289.56</v>
      </c>
      <c r="H173" s="4">
        <f t="shared" si="1"/>
        <v>0.3842339634</v>
      </c>
      <c r="I173" s="4" t="str">
        <f t="shared" si="2"/>
        <v>A</v>
      </c>
    </row>
    <row r="174">
      <c r="A174" s="2">
        <v>173.0</v>
      </c>
      <c r="B174" s="2">
        <v>20749.0</v>
      </c>
      <c r="C174" s="2" t="s">
        <v>249</v>
      </c>
      <c r="D174" s="2">
        <v>7.95</v>
      </c>
      <c r="E174" s="2">
        <v>1534.0</v>
      </c>
      <c r="F174" s="2">
        <v>11068.68</v>
      </c>
      <c r="G174" s="4">
        <f t="shared" si="3"/>
        <v>3678358.24</v>
      </c>
      <c r="H174" s="4">
        <f t="shared" si="1"/>
        <v>0.3853936653</v>
      </c>
      <c r="I174" s="4" t="str">
        <f t="shared" si="2"/>
        <v>A</v>
      </c>
    </row>
    <row r="175">
      <c r="A175" s="2">
        <v>174.0</v>
      </c>
      <c r="B175" s="2">
        <v>22113.0</v>
      </c>
      <c r="C175" s="2" t="s">
        <v>250</v>
      </c>
      <c r="D175" s="2">
        <v>3.75</v>
      </c>
      <c r="E175" s="2">
        <v>2890.0</v>
      </c>
      <c r="F175" s="2">
        <v>11051.79</v>
      </c>
      <c r="G175" s="4">
        <f t="shared" si="3"/>
        <v>3689410.03</v>
      </c>
      <c r="H175" s="4">
        <f t="shared" si="1"/>
        <v>0.3865515976</v>
      </c>
      <c r="I175" s="4" t="str">
        <f t="shared" si="2"/>
        <v>A</v>
      </c>
    </row>
    <row r="176">
      <c r="A176" s="2">
        <v>175.0</v>
      </c>
      <c r="B176" s="2">
        <v>22502.0</v>
      </c>
      <c r="C176" s="2" t="s">
        <v>251</v>
      </c>
      <c r="D176" s="2">
        <v>5.95</v>
      </c>
      <c r="E176" s="2">
        <v>1850.0</v>
      </c>
      <c r="F176" s="2">
        <v>10940.7</v>
      </c>
      <c r="G176" s="4">
        <f t="shared" si="3"/>
        <v>3700350.73</v>
      </c>
      <c r="H176" s="4">
        <f t="shared" si="1"/>
        <v>0.3876978907</v>
      </c>
      <c r="I176" s="4" t="str">
        <f t="shared" si="2"/>
        <v>A</v>
      </c>
    </row>
    <row r="177">
      <c r="A177" s="2">
        <v>176.0</v>
      </c>
      <c r="B177" s="2" t="s">
        <v>252</v>
      </c>
      <c r="C177" s="2" t="s">
        <v>253</v>
      </c>
      <c r="D177" s="2">
        <v>0.85</v>
      </c>
      <c r="E177" s="2">
        <v>13242.0</v>
      </c>
      <c r="F177" s="2">
        <v>10914.13</v>
      </c>
      <c r="G177" s="4">
        <f t="shared" si="3"/>
        <v>3711264.86</v>
      </c>
      <c r="H177" s="4">
        <f t="shared" si="1"/>
        <v>0.3888413999</v>
      </c>
      <c r="I177" s="4" t="str">
        <f t="shared" si="2"/>
        <v>A</v>
      </c>
    </row>
    <row r="178">
      <c r="A178" s="2">
        <v>177.0</v>
      </c>
      <c r="B178" s="2">
        <v>22499.0</v>
      </c>
      <c r="C178" s="2" t="s">
        <v>254</v>
      </c>
      <c r="D178" s="2">
        <v>5.95</v>
      </c>
      <c r="E178" s="2">
        <v>1792.0</v>
      </c>
      <c r="F178" s="2">
        <v>10910.28</v>
      </c>
      <c r="G178" s="4">
        <f t="shared" si="3"/>
        <v>3722175.14</v>
      </c>
      <c r="H178" s="4">
        <f t="shared" si="1"/>
        <v>0.3899845057</v>
      </c>
      <c r="I178" s="4" t="str">
        <f t="shared" si="2"/>
        <v>A</v>
      </c>
    </row>
    <row r="179">
      <c r="A179" s="2">
        <v>178.0</v>
      </c>
      <c r="B179" s="2" t="s">
        <v>255</v>
      </c>
      <c r="C179" s="2" t="s">
        <v>256</v>
      </c>
      <c r="D179" s="2">
        <v>5.95</v>
      </c>
      <c r="E179" s="2">
        <v>2313.0</v>
      </c>
      <c r="F179" s="2">
        <v>10907.72</v>
      </c>
      <c r="G179" s="4">
        <f t="shared" si="3"/>
        <v>3733082.86</v>
      </c>
      <c r="H179" s="4">
        <f t="shared" si="1"/>
        <v>0.3911273433</v>
      </c>
      <c r="I179" s="4" t="str">
        <f t="shared" si="2"/>
        <v>A</v>
      </c>
    </row>
    <row r="180">
      <c r="A180" s="2">
        <v>179.0</v>
      </c>
      <c r="B180" s="2">
        <v>21791.0</v>
      </c>
      <c r="C180" s="2" t="s">
        <v>257</v>
      </c>
      <c r="D180" s="2">
        <v>1.25</v>
      </c>
      <c r="E180" s="2">
        <v>8298.0</v>
      </c>
      <c r="F180" s="2">
        <v>10894.92</v>
      </c>
      <c r="G180" s="4">
        <f t="shared" si="3"/>
        <v>3743977.78</v>
      </c>
      <c r="H180" s="4">
        <f t="shared" si="1"/>
        <v>0.3922688399</v>
      </c>
      <c r="I180" s="4" t="str">
        <f t="shared" si="2"/>
        <v>A</v>
      </c>
    </row>
    <row r="181">
      <c r="A181" s="2">
        <v>180.0</v>
      </c>
      <c r="B181" s="2">
        <v>22585.0</v>
      </c>
      <c r="C181" s="2" t="s">
        <v>258</v>
      </c>
      <c r="D181" s="2">
        <v>1.25</v>
      </c>
      <c r="E181" s="2">
        <v>8676.0</v>
      </c>
      <c r="F181" s="2">
        <v>10874.2</v>
      </c>
      <c r="G181" s="4">
        <f t="shared" si="3"/>
        <v>3754851.98</v>
      </c>
      <c r="H181" s="4">
        <f t="shared" si="1"/>
        <v>0.3934081655</v>
      </c>
      <c r="I181" s="4" t="str">
        <f t="shared" si="2"/>
        <v>A</v>
      </c>
    </row>
    <row r="182">
      <c r="A182" s="2">
        <v>181.0</v>
      </c>
      <c r="B182" s="2">
        <v>22941.0</v>
      </c>
      <c r="C182" s="2" t="s">
        <v>259</v>
      </c>
      <c r="D182" s="2">
        <v>8.5</v>
      </c>
      <c r="E182" s="2">
        <v>1298.0</v>
      </c>
      <c r="F182" s="2">
        <v>10787.29</v>
      </c>
      <c r="G182" s="4">
        <f t="shared" si="3"/>
        <v>3765639.27</v>
      </c>
      <c r="H182" s="4">
        <f t="shared" si="1"/>
        <v>0.3945383853</v>
      </c>
      <c r="I182" s="4" t="str">
        <f t="shared" si="2"/>
        <v>A</v>
      </c>
    </row>
    <row r="183">
      <c r="A183" s="2">
        <v>182.0</v>
      </c>
      <c r="B183" s="2">
        <v>21210.0</v>
      </c>
      <c r="C183" s="2" t="s">
        <v>260</v>
      </c>
      <c r="D183" s="2">
        <v>1.45</v>
      </c>
      <c r="E183" s="2">
        <v>7496.0</v>
      </c>
      <c r="F183" s="2">
        <v>10781.12</v>
      </c>
      <c r="G183" s="4">
        <f t="shared" si="3"/>
        <v>3776420.39</v>
      </c>
      <c r="H183" s="4">
        <f t="shared" si="1"/>
        <v>0.3956679586</v>
      </c>
      <c r="I183" s="4" t="str">
        <f t="shared" si="2"/>
        <v>A</v>
      </c>
    </row>
    <row r="184">
      <c r="A184" s="2">
        <v>183.0</v>
      </c>
      <c r="B184" s="2">
        <v>22969.0</v>
      </c>
      <c r="C184" s="2" t="s">
        <v>261</v>
      </c>
      <c r="D184" s="2">
        <v>1.45</v>
      </c>
      <c r="E184" s="2">
        <v>7212.0</v>
      </c>
      <c r="F184" s="2">
        <v>10724.9</v>
      </c>
      <c r="G184" s="4">
        <f t="shared" si="3"/>
        <v>3787145.29</v>
      </c>
      <c r="H184" s="4">
        <f t="shared" si="1"/>
        <v>0.3967916416</v>
      </c>
      <c r="I184" s="4" t="str">
        <f t="shared" si="2"/>
        <v>A</v>
      </c>
    </row>
    <row r="185">
      <c r="A185" s="2">
        <v>184.0</v>
      </c>
      <c r="B185" s="2">
        <v>21213.0</v>
      </c>
      <c r="C185" s="2" t="s">
        <v>262</v>
      </c>
      <c r="D185" s="2">
        <v>0.55</v>
      </c>
      <c r="E185" s="2">
        <v>20180.0</v>
      </c>
      <c r="F185" s="2">
        <v>10712.13</v>
      </c>
      <c r="G185" s="4">
        <f t="shared" si="3"/>
        <v>3797857.42</v>
      </c>
      <c r="H185" s="4">
        <f t="shared" si="1"/>
        <v>0.3979139866</v>
      </c>
      <c r="I185" s="4" t="str">
        <f t="shared" si="2"/>
        <v>A</v>
      </c>
    </row>
    <row r="186">
      <c r="A186" s="2">
        <v>185.0</v>
      </c>
      <c r="B186" s="2">
        <v>23209.0</v>
      </c>
      <c r="C186" s="2" t="s">
        <v>263</v>
      </c>
      <c r="D186" s="2">
        <v>1.65</v>
      </c>
      <c r="E186" s="2">
        <v>6584.0</v>
      </c>
      <c r="F186" s="2">
        <v>10707.76</v>
      </c>
      <c r="G186" s="4">
        <f t="shared" si="3"/>
        <v>3808565.18</v>
      </c>
      <c r="H186" s="4">
        <f t="shared" si="1"/>
        <v>0.3990358737</v>
      </c>
      <c r="I186" s="4" t="str">
        <f t="shared" si="2"/>
        <v>A</v>
      </c>
    </row>
    <row r="187">
      <c r="A187" s="2">
        <v>186.0</v>
      </c>
      <c r="B187" s="2">
        <v>23202.0</v>
      </c>
      <c r="C187" s="2" t="s">
        <v>264</v>
      </c>
      <c r="D187" s="2">
        <v>2.08</v>
      </c>
      <c r="E187" s="2">
        <v>5361.0</v>
      </c>
      <c r="F187" s="2">
        <v>10707.26</v>
      </c>
      <c r="G187" s="4">
        <f t="shared" si="3"/>
        <v>3819272.44</v>
      </c>
      <c r="H187" s="4">
        <f t="shared" si="1"/>
        <v>0.4001577085</v>
      </c>
      <c r="I187" s="4" t="str">
        <f t="shared" si="2"/>
        <v>A</v>
      </c>
    </row>
    <row r="188">
      <c r="A188" s="2">
        <v>187.0</v>
      </c>
      <c r="B188" s="2">
        <v>22456.0</v>
      </c>
      <c r="C188" s="2" t="s">
        <v>265</v>
      </c>
      <c r="D188" s="2">
        <v>4.95</v>
      </c>
      <c r="E188" s="2">
        <v>2190.0</v>
      </c>
      <c r="F188" s="2">
        <v>10700.02</v>
      </c>
      <c r="G188" s="4">
        <f t="shared" si="3"/>
        <v>3829972.46</v>
      </c>
      <c r="H188" s="4">
        <f t="shared" si="1"/>
        <v>0.4012787847</v>
      </c>
      <c r="I188" s="4" t="str">
        <f t="shared" si="2"/>
        <v>A</v>
      </c>
    </row>
    <row r="189">
      <c r="A189" s="2">
        <v>188.0</v>
      </c>
      <c r="B189" s="2">
        <v>85048.0</v>
      </c>
      <c r="C189" s="2" t="s">
        <v>266</v>
      </c>
      <c r="D189" s="2">
        <v>7.95</v>
      </c>
      <c r="E189" s="2">
        <v>1334.0</v>
      </c>
      <c r="F189" s="2">
        <v>10535.02</v>
      </c>
      <c r="G189" s="4">
        <f t="shared" si="3"/>
        <v>3840507.48</v>
      </c>
      <c r="H189" s="4">
        <f t="shared" si="1"/>
        <v>0.4023825734</v>
      </c>
      <c r="I189" s="4" t="str">
        <f t="shared" si="2"/>
        <v>A</v>
      </c>
    </row>
    <row r="190">
      <c r="A190" s="2">
        <v>189.0</v>
      </c>
      <c r="B190" s="2">
        <v>37449.0</v>
      </c>
      <c r="C190" s="2" t="s">
        <v>267</v>
      </c>
      <c r="D190" s="2">
        <v>9.95</v>
      </c>
      <c r="E190" s="2">
        <v>1116.0</v>
      </c>
      <c r="F190" s="2">
        <v>10516.1</v>
      </c>
      <c r="G190" s="4">
        <f t="shared" si="3"/>
        <v>3851023.58</v>
      </c>
      <c r="H190" s="4">
        <f t="shared" si="1"/>
        <v>0.4034843797</v>
      </c>
      <c r="I190" s="4" t="str">
        <f t="shared" si="2"/>
        <v>A</v>
      </c>
    </row>
    <row r="191">
      <c r="A191" s="2">
        <v>190.0</v>
      </c>
      <c r="B191" s="2">
        <v>21258.0</v>
      </c>
      <c r="C191" s="2" t="s">
        <v>269</v>
      </c>
      <c r="D191" s="2">
        <v>12.75</v>
      </c>
      <c r="E191" s="2">
        <v>736.0</v>
      </c>
      <c r="F191" s="2">
        <v>10505.4</v>
      </c>
      <c r="G191" s="4">
        <f t="shared" si="3"/>
        <v>3861528.98</v>
      </c>
      <c r="H191" s="4">
        <f t="shared" si="1"/>
        <v>0.4045850649</v>
      </c>
      <c r="I191" s="4" t="str">
        <f t="shared" si="2"/>
        <v>A</v>
      </c>
    </row>
    <row r="192">
      <c r="A192" s="2">
        <v>191.0</v>
      </c>
      <c r="B192" s="2">
        <v>23206.0</v>
      </c>
      <c r="C192" s="2" t="s">
        <v>270</v>
      </c>
      <c r="D192" s="2">
        <v>1.65</v>
      </c>
      <c r="E192" s="2">
        <v>6068.0</v>
      </c>
      <c r="F192" s="2">
        <v>10417.22</v>
      </c>
      <c r="G192" s="4">
        <f t="shared" si="3"/>
        <v>3871946.2</v>
      </c>
      <c r="H192" s="4">
        <f t="shared" si="1"/>
        <v>0.4056765112</v>
      </c>
      <c r="I192" s="4" t="str">
        <f t="shared" si="2"/>
        <v>A</v>
      </c>
    </row>
    <row r="193">
      <c r="A193" s="2">
        <v>192.0</v>
      </c>
      <c r="B193" s="2">
        <v>22294.0</v>
      </c>
      <c r="C193" s="2" t="s">
        <v>271</v>
      </c>
      <c r="D193" s="2">
        <v>1.25</v>
      </c>
      <c r="E193" s="2">
        <v>8401.0</v>
      </c>
      <c r="F193" s="2">
        <v>10396.56</v>
      </c>
      <c r="G193" s="4">
        <f t="shared" si="3"/>
        <v>3882342.76</v>
      </c>
      <c r="H193" s="4">
        <f t="shared" si="1"/>
        <v>0.4067657929</v>
      </c>
      <c r="I193" s="4" t="str">
        <f t="shared" si="2"/>
        <v>A</v>
      </c>
    </row>
    <row r="194">
      <c r="A194" s="2">
        <v>193.0</v>
      </c>
      <c r="B194" s="2">
        <v>21218.0</v>
      </c>
      <c r="C194" s="2" t="s">
        <v>272</v>
      </c>
      <c r="D194" s="2">
        <v>3.75</v>
      </c>
      <c r="E194" s="2">
        <v>2618.0</v>
      </c>
      <c r="F194" s="2">
        <v>10370.53</v>
      </c>
      <c r="G194" s="4">
        <f t="shared" si="3"/>
        <v>3892713.29</v>
      </c>
      <c r="H194" s="4">
        <f t="shared" si="1"/>
        <v>0.4078523474</v>
      </c>
      <c r="I194" s="4" t="str">
        <f t="shared" si="2"/>
        <v>A</v>
      </c>
    </row>
    <row r="195">
      <c r="A195" s="2">
        <v>194.0</v>
      </c>
      <c r="B195" s="2">
        <v>48116.0</v>
      </c>
      <c r="C195" s="2" t="s">
        <v>273</v>
      </c>
      <c r="D195" s="2">
        <v>7.49</v>
      </c>
      <c r="E195" s="2">
        <v>1726.0</v>
      </c>
      <c r="F195" s="2">
        <v>10356.09</v>
      </c>
      <c r="G195" s="4">
        <f t="shared" si="3"/>
        <v>3903069.38</v>
      </c>
      <c r="H195" s="4">
        <f t="shared" si="1"/>
        <v>0.4089373889</v>
      </c>
      <c r="I195" s="4" t="str">
        <f t="shared" si="2"/>
        <v>A</v>
      </c>
    </row>
    <row r="196">
      <c r="A196" s="2">
        <v>195.0</v>
      </c>
      <c r="B196" s="2">
        <v>22632.0</v>
      </c>
      <c r="C196" s="2" t="s">
        <v>274</v>
      </c>
      <c r="D196" s="2">
        <v>2.1</v>
      </c>
      <c r="E196" s="2">
        <v>5152.0</v>
      </c>
      <c r="F196" s="2">
        <v>10284.56</v>
      </c>
      <c r="G196" s="4">
        <f t="shared" si="3"/>
        <v>3913353.94</v>
      </c>
      <c r="H196" s="4">
        <f t="shared" si="1"/>
        <v>0.410014936</v>
      </c>
      <c r="I196" s="4" t="str">
        <f t="shared" si="2"/>
        <v>A</v>
      </c>
    </row>
    <row r="197">
      <c r="A197" s="2">
        <v>196.0</v>
      </c>
      <c r="B197" s="2">
        <v>22356.0</v>
      </c>
      <c r="C197" s="2" t="s">
        <v>275</v>
      </c>
      <c r="D197" s="2">
        <v>0.85</v>
      </c>
      <c r="E197" s="2">
        <v>9788.0</v>
      </c>
      <c r="F197" s="2">
        <v>10274.95</v>
      </c>
      <c r="G197" s="4">
        <f t="shared" si="3"/>
        <v>3923628.89</v>
      </c>
      <c r="H197" s="4">
        <f t="shared" si="1"/>
        <v>0.4110914763</v>
      </c>
      <c r="I197" s="4" t="str">
        <f t="shared" si="2"/>
        <v>A</v>
      </c>
    </row>
    <row r="198">
      <c r="A198" s="2">
        <v>197.0</v>
      </c>
      <c r="B198" s="2">
        <v>22424.0</v>
      </c>
      <c r="C198" s="2" t="s">
        <v>276</v>
      </c>
      <c r="D198" s="2">
        <v>12.75</v>
      </c>
      <c r="E198" s="2">
        <v>748.0</v>
      </c>
      <c r="F198" s="2">
        <v>10241.09</v>
      </c>
      <c r="G198" s="4">
        <f t="shared" si="3"/>
        <v>3933869.98</v>
      </c>
      <c r="H198" s="4">
        <f t="shared" si="1"/>
        <v>0.4121644689</v>
      </c>
      <c r="I198" s="4" t="str">
        <f t="shared" si="2"/>
        <v>A</v>
      </c>
    </row>
    <row r="199">
      <c r="A199" s="2">
        <v>198.0</v>
      </c>
      <c r="B199" s="2">
        <v>21559.0</v>
      </c>
      <c r="C199" s="2" t="s">
        <v>277</v>
      </c>
      <c r="D199" s="2">
        <v>2.55</v>
      </c>
      <c r="E199" s="2">
        <v>4127.0</v>
      </c>
      <c r="F199" s="2">
        <v>10207.19</v>
      </c>
      <c r="G199" s="4">
        <f t="shared" si="3"/>
        <v>3944077.17</v>
      </c>
      <c r="H199" s="4">
        <f t="shared" si="1"/>
        <v>0.4132339097</v>
      </c>
      <c r="I199" s="4" t="str">
        <f t="shared" si="2"/>
        <v>A</v>
      </c>
    </row>
    <row r="200">
      <c r="A200" s="2">
        <v>199.0</v>
      </c>
      <c r="B200" s="2">
        <v>20723.0</v>
      </c>
      <c r="C200" s="2" t="s">
        <v>278</v>
      </c>
      <c r="D200" s="2">
        <v>0.85</v>
      </c>
      <c r="E200" s="2">
        <v>9136.0</v>
      </c>
      <c r="F200" s="2">
        <v>10190.75</v>
      </c>
      <c r="G200" s="4">
        <f t="shared" si="3"/>
        <v>3954267.92</v>
      </c>
      <c r="H200" s="4">
        <f t="shared" si="1"/>
        <v>0.414301628</v>
      </c>
      <c r="I200" s="4" t="str">
        <f t="shared" si="2"/>
        <v>A</v>
      </c>
    </row>
    <row r="201">
      <c r="A201" s="2">
        <v>200.0</v>
      </c>
      <c r="B201" s="2">
        <v>22693.0</v>
      </c>
      <c r="C201" s="2" t="s">
        <v>279</v>
      </c>
      <c r="D201" s="2">
        <v>1.25</v>
      </c>
      <c r="E201" s="2">
        <v>8902.0</v>
      </c>
      <c r="F201" s="2">
        <v>10189.54</v>
      </c>
      <c r="G201" s="4">
        <f t="shared" si="3"/>
        <v>3964457.46</v>
      </c>
      <c r="H201" s="4">
        <f t="shared" si="1"/>
        <v>0.4153692196</v>
      </c>
      <c r="I201" s="4" t="str">
        <f t="shared" si="2"/>
        <v>A</v>
      </c>
    </row>
    <row r="202">
      <c r="A202" s="2">
        <v>201.0</v>
      </c>
      <c r="B202" s="2">
        <v>85150.0</v>
      </c>
      <c r="C202" s="2" t="s">
        <v>280</v>
      </c>
      <c r="D202" s="2">
        <v>2.55</v>
      </c>
      <c r="E202" s="2">
        <v>4178.0</v>
      </c>
      <c r="F202" s="2">
        <v>10112.48</v>
      </c>
      <c r="G202" s="4">
        <f t="shared" si="3"/>
        <v>3974569.94</v>
      </c>
      <c r="H202" s="4">
        <f t="shared" si="1"/>
        <v>0.4164287373</v>
      </c>
      <c r="I202" s="4" t="str">
        <f t="shared" si="2"/>
        <v>A</v>
      </c>
    </row>
    <row r="203">
      <c r="A203" s="2">
        <v>202.0</v>
      </c>
      <c r="B203" s="2">
        <v>21216.0</v>
      </c>
      <c r="C203" s="2" t="s">
        <v>281</v>
      </c>
      <c r="D203" s="2">
        <v>4.95</v>
      </c>
      <c r="E203" s="2">
        <v>1944.0</v>
      </c>
      <c r="F203" s="2">
        <v>10096.88</v>
      </c>
      <c r="G203" s="4">
        <f t="shared" si="3"/>
        <v>3984666.82</v>
      </c>
      <c r="H203" s="4">
        <f t="shared" si="1"/>
        <v>0.4174866205</v>
      </c>
      <c r="I203" s="4" t="str">
        <f t="shared" si="2"/>
        <v>A</v>
      </c>
    </row>
    <row r="204">
      <c r="A204" s="2">
        <v>203.0</v>
      </c>
      <c r="B204" s="2">
        <v>21622.0</v>
      </c>
      <c r="C204" s="2" t="s">
        <v>282</v>
      </c>
      <c r="D204" s="2">
        <v>4.95</v>
      </c>
      <c r="E204" s="2">
        <v>1852.0</v>
      </c>
      <c r="F204" s="2">
        <v>9978.37</v>
      </c>
      <c r="G204" s="4">
        <f t="shared" si="3"/>
        <v>3994645.19</v>
      </c>
      <c r="H204" s="4">
        <f t="shared" si="1"/>
        <v>0.4185320871</v>
      </c>
      <c r="I204" s="4" t="str">
        <f t="shared" si="2"/>
        <v>A</v>
      </c>
    </row>
    <row r="205">
      <c r="A205" s="2">
        <v>204.0</v>
      </c>
      <c r="B205" s="2">
        <v>22900.0</v>
      </c>
      <c r="C205" s="2" t="s">
        <v>283</v>
      </c>
      <c r="D205" s="2">
        <v>3.25</v>
      </c>
      <c r="E205" s="2">
        <v>3074.0</v>
      </c>
      <c r="F205" s="2">
        <v>9899.84</v>
      </c>
      <c r="G205" s="4">
        <f t="shared" si="3"/>
        <v>4004545.03</v>
      </c>
      <c r="H205" s="4">
        <f t="shared" si="1"/>
        <v>0.4195693258</v>
      </c>
      <c r="I205" s="4" t="str">
        <f t="shared" si="2"/>
        <v>A</v>
      </c>
    </row>
    <row r="206">
      <c r="A206" s="2">
        <v>205.0</v>
      </c>
      <c r="B206" s="2">
        <v>22617.0</v>
      </c>
      <c r="C206" s="2" t="s">
        <v>284</v>
      </c>
      <c r="D206" s="2">
        <v>4.95</v>
      </c>
      <c r="E206" s="2">
        <v>2043.0</v>
      </c>
      <c r="F206" s="2">
        <v>9886.12</v>
      </c>
      <c r="G206" s="4">
        <f t="shared" si="3"/>
        <v>4014431.15</v>
      </c>
      <c r="H206" s="4">
        <f t="shared" si="1"/>
        <v>0.4206051271</v>
      </c>
      <c r="I206" s="4" t="str">
        <f t="shared" si="2"/>
        <v>A</v>
      </c>
    </row>
    <row r="207">
      <c r="A207" s="2">
        <v>206.0</v>
      </c>
      <c r="B207" s="2">
        <v>21174.0</v>
      </c>
      <c r="C207" s="2" t="s">
        <v>285</v>
      </c>
      <c r="D207" s="2">
        <v>2.08</v>
      </c>
      <c r="E207" s="2">
        <v>4854.0</v>
      </c>
      <c r="F207" s="2">
        <v>9809.71</v>
      </c>
      <c r="G207" s="4">
        <f t="shared" si="3"/>
        <v>4024240.86</v>
      </c>
      <c r="H207" s="4">
        <f t="shared" si="1"/>
        <v>0.4216329226</v>
      </c>
      <c r="I207" s="4" t="str">
        <f t="shared" si="2"/>
        <v>A</v>
      </c>
    </row>
    <row r="208">
      <c r="A208" s="2">
        <v>207.0</v>
      </c>
      <c r="B208" s="2">
        <v>22381.0</v>
      </c>
      <c r="C208" s="2" t="s">
        <v>286</v>
      </c>
      <c r="D208" s="2">
        <v>2.1</v>
      </c>
      <c r="E208" s="2">
        <v>4631.0</v>
      </c>
      <c r="F208" s="2">
        <v>9806.62</v>
      </c>
      <c r="G208" s="4">
        <f t="shared" si="3"/>
        <v>4034047.48</v>
      </c>
      <c r="H208" s="4">
        <f t="shared" si="1"/>
        <v>0.4226603944</v>
      </c>
      <c r="I208" s="4" t="str">
        <f t="shared" si="2"/>
        <v>A</v>
      </c>
    </row>
    <row r="209">
      <c r="A209" s="2">
        <v>208.0</v>
      </c>
      <c r="B209" s="2">
        <v>48129.0</v>
      </c>
      <c r="C209" s="2" t="s">
        <v>287</v>
      </c>
      <c r="D209" s="2">
        <v>7.95</v>
      </c>
      <c r="E209" s="2">
        <v>1554.0</v>
      </c>
      <c r="F209" s="2">
        <v>9743.46</v>
      </c>
      <c r="G209" s="4">
        <f t="shared" si="3"/>
        <v>4043790.94</v>
      </c>
      <c r="H209" s="4">
        <f t="shared" si="1"/>
        <v>0.4236812486</v>
      </c>
      <c r="I209" s="4" t="str">
        <f t="shared" si="2"/>
        <v>A</v>
      </c>
    </row>
    <row r="210">
      <c r="A210" s="2">
        <v>209.0</v>
      </c>
      <c r="B210" s="2">
        <v>22570.0</v>
      </c>
      <c r="C210" s="2" t="s">
        <v>289</v>
      </c>
      <c r="D210" s="2">
        <v>3.75</v>
      </c>
      <c r="E210" s="2">
        <v>2604.0</v>
      </c>
      <c r="F210" s="2">
        <v>9735.26</v>
      </c>
      <c r="G210" s="4">
        <f t="shared" si="3"/>
        <v>4053526.2</v>
      </c>
      <c r="H210" s="4">
        <f t="shared" si="1"/>
        <v>0.4247012438</v>
      </c>
      <c r="I210" s="4" t="str">
        <f t="shared" si="2"/>
        <v>A</v>
      </c>
    </row>
    <row r="211">
      <c r="A211" s="2">
        <v>210.0</v>
      </c>
      <c r="B211" s="2">
        <v>22558.0</v>
      </c>
      <c r="C211" s="2" t="s">
        <v>290</v>
      </c>
      <c r="D211" s="2">
        <v>1.49</v>
      </c>
      <c r="E211" s="2">
        <v>6882.0</v>
      </c>
      <c r="F211" s="2">
        <v>9727.2</v>
      </c>
      <c r="G211" s="4">
        <f t="shared" si="3"/>
        <v>4063253.4</v>
      </c>
      <c r="H211" s="4">
        <f t="shared" si="1"/>
        <v>0.4257203944</v>
      </c>
      <c r="I211" s="4" t="str">
        <f t="shared" si="2"/>
        <v>A</v>
      </c>
    </row>
    <row r="212">
      <c r="A212" s="2">
        <v>211.0</v>
      </c>
      <c r="B212" s="2">
        <v>22413.0</v>
      </c>
      <c r="C212" s="2" t="s">
        <v>291</v>
      </c>
      <c r="D212" s="2">
        <v>2.95</v>
      </c>
      <c r="E212" s="2">
        <v>3431.0</v>
      </c>
      <c r="F212" s="2">
        <v>9715.97</v>
      </c>
      <c r="G212" s="4">
        <f t="shared" si="3"/>
        <v>4072969.37</v>
      </c>
      <c r="H212" s="4">
        <f t="shared" si="1"/>
        <v>0.4267383685</v>
      </c>
      <c r="I212" s="4" t="str">
        <f t="shared" si="2"/>
        <v>A</v>
      </c>
    </row>
    <row r="213">
      <c r="A213" s="2">
        <v>212.0</v>
      </c>
      <c r="B213" s="2" t="s">
        <v>292</v>
      </c>
      <c r="C213" s="2" t="s">
        <v>293</v>
      </c>
      <c r="D213" s="2">
        <v>3.75</v>
      </c>
      <c r="E213" s="2">
        <v>2594.0</v>
      </c>
      <c r="F213" s="2">
        <v>9704.1</v>
      </c>
      <c r="G213" s="4">
        <f t="shared" si="3"/>
        <v>4082673.47</v>
      </c>
      <c r="H213" s="4">
        <f t="shared" si="1"/>
        <v>0.4277550989</v>
      </c>
      <c r="I213" s="4" t="str">
        <f t="shared" si="2"/>
        <v>A</v>
      </c>
    </row>
    <row r="214">
      <c r="A214" s="2">
        <v>213.0</v>
      </c>
      <c r="B214" s="2">
        <v>22561.0</v>
      </c>
      <c r="C214" s="2" t="s">
        <v>294</v>
      </c>
      <c r="D214" s="2">
        <v>1.65</v>
      </c>
      <c r="E214" s="2">
        <v>5740.0</v>
      </c>
      <c r="F214" s="2">
        <v>9635.68</v>
      </c>
      <c r="G214" s="4">
        <f t="shared" si="3"/>
        <v>4092309.15</v>
      </c>
      <c r="H214" s="4">
        <f t="shared" si="1"/>
        <v>0.4287646607</v>
      </c>
      <c r="I214" s="4" t="str">
        <f t="shared" si="2"/>
        <v>A</v>
      </c>
    </row>
    <row r="215">
      <c r="A215" s="2">
        <v>214.0</v>
      </c>
      <c r="B215" s="2">
        <v>22169.0</v>
      </c>
      <c r="C215" s="2" t="s">
        <v>295</v>
      </c>
      <c r="D215" s="2">
        <v>8.5</v>
      </c>
      <c r="E215" s="2">
        <v>1118.0</v>
      </c>
      <c r="F215" s="2">
        <v>9599.95</v>
      </c>
      <c r="G215" s="4">
        <f t="shared" si="3"/>
        <v>4101909.1</v>
      </c>
      <c r="H215" s="4">
        <f t="shared" si="1"/>
        <v>0.429770479</v>
      </c>
      <c r="I215" s="4" t="str">
        <f t="shared" si="2"/>
        <v>A</v>
      </c>
    </row>
    <row r="216">
      <c r="A216" s="2">
        <v>215.0</v>
      </c>
      <c r="B216" s="2">
        <v>22427.0</v>
      </c>
      <c r="C216" s="2" t="s">
        <v>296</v>
      </c>
      <c r="D216" s="2">
        <v>5.95</v>
      </c>
      <c r="E216" s="2">
        <v>1594.0</v>
      </c>
      <c r="F216" s="2">
        <v>9574.19</v>
      </c>
      <c r="G216" s="4">
        <f t="shared" si="3"/>
        <v>4111483.29</v>
      </c>
      <c r="H216" s="4">
        <f t="shared" si="1"/>
        <v>0.4307735983</v>
      </c>
      <c r="I216" s="4" t="str">
        <f t="shared" si="2"/>
        <v>A</v>
      </c>
    </row>
    <row r="217">
      <c r="A217" s="2">
        <v>216.0</v>
      </c>
      <c r="B217" s="2">
        <v>21908.0</v>
      </c>
      <c r="C217" s="2" t="s">
        <v>297</v>
      </c>
      <c r="D217" s="2">
        <v>2.1</v>
      </c>
      <c r="E217" s="2">
        <v>4837.0</v>
      </c>
      <c r="F217" s="2">
        <v>9558.79</v>
      </c>
      <c r="G217" s="4">
        <f t="shared" si="3"/>
        <v>4121042.08</v>
      </c>
      <c r="H217" s="4">
        <f t="shared" si="1"/>
        <v>0.4317751041</v>
      </c>
      <c r="I217" s="4" t="str">
        <f t="shared" si="2"/>
        <v>A</v>
      </c>
    </row>
    <row r="218">
      <c r="A218" s="2">
        <v>217.0</v>
      </c>
      <c r="B218" s="2">
        <v>22568.0</v>
      </c>
      <c r="C218" s="2" t="s">
        <v>298</v>
      </c>
      <c r="D218" s="2">
        <v>3.75</v>
      </c>
      <c r="E218" s="2">
        <v>2568.0</v>
      </c>
      <c r="F218" s="2">
        <v>9540.2</v>
      </c>
      <c r="G218" s="4">
        <f t="shared" si="3"/>
        <v>4130582.28</v>
      </c>
      <c r="H218" s="4">
        <f t="shared" si="1"/>
        <v>0.4327746622</v>
      </c>
      <c r="I218" s="4" t="str">
        <f t="shared" si="2"/>
        <v>A</v>
      </c>
    </row>
    <row r="219">
      <c r="A219" s="2">
        <v>218.0</v>
      </c>
      <c r="B219" s="2">
        <v>22952.0</v>
      </c>
      <c r="C219" s="2" t="s">
        <v>299</v>
      </c>
      <c r="D219" s="2">
        <v>0.55</v>
      </c>
      <c r="E219" s="2">
        <v>16262.0</v>
      </c>
      <c r="F219" s="2">
        <v>9523.9</v>
      </c>
      <c r="G219" s="4">
        <f t="shared" si="3"/>
        <v>4140106.18</v>
      </c>
      <c r="H219" s="4">
        <f t="shared" si="1"/>
        <v>0.4337725124</v>
      </c>
      <c r="I219" s="4" t="str">
        <f t="shared" si="2"/>
        <v>A</v>
      </c>
    </row>
    <row r="220">
      <c r="A220" s="2">
        <v>219.0</v>
      </c>
      <c r="B220" s="2">
        <v>22569.0</v>
      </c>
      <c r="C220" s="2" t="s">
        <v>300</v>
      </c>
      <c r="D220" s="2">
        <v>3.75</v>
      </c>
      <c r="E220" s="2">
        <v>2595.0</v>
      </c>
      <c r="F220" s="2">
        <v>9493.15</v>
      </c>
      <c r="G220" s="4">
        <f t="shared" si="3"/>
        <v>4149599.33</v>
      </c>
      <c r="H220" s="4">
        <f t="shared" si="1"/>
        <v>0.4347671409</v>
      </c>
      <c r="I220" s="4" t="str">
        <f t="shared" si="2"/>
        <v>A</v>
      </c>
    </row>
    <row r="221">
      <c r="A221" s="2">
        <v>220.0</v>
      </c>
      <c r="B221" s="2">
        <v>21340.0</v>
      </c>
      <c r="C221" s="2" t="s">
        <v>301</v>
      </c>
      <c r="D221" s="2">
        <v>12.75</v>
      </c>
      <c r="E221" s="2">
        <v>867.0</v>
      </c>
      <c r="F221" s="2">
        <v>9467.86</v>
      </c>
      <c r="G221" s="4">
        <f t="shared" si="3"/>
        <v>4159067.19</v>
      </c>
      <c r="H221" s="4">
        <f t="shared" si="1"/>
        <v>0.4357591197</v>
      </c>
      <c r="I221" s="4" t="str">
        <f t="shared" si="2"/>
        <v>A</v>
      </c>
    </row>
    <row r="222">
      <c r="A222" s="2">
        <v>221.0</v>
      </c>
      <c r="B222" s="2">
        <v>84947.0</v>
      </c>
      <c r="C222" s="2" t="s">
        <v>302</v>
      </c>
      <c r="D222" s="2">
        <v>1.25</v>
      </c>
      <c r="E222" s="2">
        <v>7972.0</v>
      </c>
      <c r="F222" s="2">
        <v>9455.84</v>
      </c>
      <c r="G222" s="4">
        <f t="shared" si="3"/>
        <v>4168523.03</v>
      </c>
      <c r="H222" s="4">
        <f t="shared" si="1"/>
        <v>0.4367498391</v>
      </c>
      <c r="I222" s="4" t="str">
        <f t="shared" si="2"/>
        <v>A</v>
      </c>
    </row>
    <row r="223">
      <c r="A223" s="2">
        <v>222.0</v>
      </c>
      <c r="B223" s="2">
        <v>71053.0</v>
      </c>
      <c r="C223" s="2" t="s">
        <v>303</v>
      </c>
      <c r="D223" s="2">
        <v>3.75</v>
      </c>
      <c r="E223" s="2">
        <v>2376.0</v>
      </c>
      <c r="F223" s="2">
        <v>9423.38</v>
      </c>
      <c r="G223" s="4">
        <f t="shared" si="3"/>
        <v>4177946.41</v>
      </c>
      <c r="H223" s="4">
        <f t="shared" si="1"/>
        <v>0.4377371575</v>
      </c>
      <c r="I223" s="4" t="str">
        <f t="shared" si="2"/>
        <v>A</v>
      </c>
    </row>
    <row r="224">
      <c r="A224" s="2">
        <v>223.0</v>
      </c>
      <c r="B224" s="2">
        <v>21108.0</v>
      </c>
      <c r="C224" s="2" t="s">
        <v>304</v>
      </c>
      <c r="D224" s="2">
        <v>2.55</v>
      </c>
      <c r="E224" s="2">
        <v>4915.0</v>
      </c>
      <c r="F224" s="2">
        <v>9422.08</v>
      </c>
      <c r="G224" s="4">
        <f t="shared" si="3"/>
        <v>4187368.49</v>
      </c>
      <c r="H224" s="4">
        <f t="shared" si="1"/>
        <v>0.4387243398</v>
      </c>
      <c r="I224" s="4" t="str">
        <f t="shared" si="2"/>
        <v>A</v>
      </c>
    </row>
    <row r="225">
      <c r="A225" s="2">
        <v>224.0</v>
      </c>
      <c r="B225" s="2">
        <v>84949.0</v>
      </c>
      <c r="C225" s="2" t="s">
        <v>305</v>
      </c>
      <c r="D225" s="2">
        <v>1.65</v>
      </c>
      <c r="E225" s="2">
        <v>5886.0</v>
      </c>
      <c r="F225" s="2">
        <v>9373.95</v>
      </c>
      <c r="G225" s="4">
        <f t="shared" si="3"/>
        <v>4196742.44</v>
      </c>
      <c r="H225" s="4">
        <f t="shared" si="1"/>
        <v>0.4397064793</v>
      </c>
      <c r="I225" s="4" t="str">
        <f t="shared" si="2"/>
        <v>A</v>
      </c>
    </row>
    <row r="226">
      <c r="A226" s="2">
        <v>225.0</v>
      </c>
      <c r="B226" s="2">
        <v>22061.0</v>
      </c>
      <c r="C226" s="2" t="s">
        <v>306</v>
      </c>
      <c r="D226" s="2">
        <v>9.95</v>
      </c>
      <c r="E226" s="2">
        <v>1064.0</v>
      </c>
      <c r="F226" s="2">
        <v>9365.71</v>
      </c>
      <c r="G226" s="4">
        <f t="shared" si="3"/>
        <v>4206108.15</v>
      </c>
      <c r="H226" s="4">
        <f t="shared" si="1"/>
        <v>0.4406877555</v>
      </c>
      <c r="I226" s="4" t="str">
        <f t="shared" si="2"/>
        <v>A</v>
      </c>
    </row>
    <row r="227">
      <c r="A227" s="2">
        <v>226.0</v>
      </c>
      <c r="B227" s="2">
        <v>22555.0</v>
      </c>
      <c r="C227" s="2" t="s">
        <v>307</v>
      </c>
      <c r="D227" s="2">
        <v>1.65</v>
      </c>
      <c r="E227" s="2">
        <v>5774.0</v>
      </c>
      <c r="F227" s="2">
        <v>9339.33</v>
      </c>
      <c r="G227" s="4">
        <f t="shared" si="3"/>
        <v>4215447.48</v>
      </c>
      <c r="H227" s="4">
        <f t="shared" si="1"/>
        <v>0.4416662677</v>
      </c>
      <c r="I227" s="4" t="str">
        <f t="shared" si="2"/>
        <v>A</v>
      </c>
    </row>
    <row r="228">
      <c r="A228" s="2">
        <v>227.0</v>
      </c>
      <c r="B228" s="2">
        <v>22041.0</v>
      </c>
      <c r="C228" s="2" t="s">
        <v>308</v>
      </c>
      <c r="D228" s="2">
        <v>2.55</v>
      </c>
      <c r="E228" s="2">
        <v>3754.0</v>
      </c>
      <c r="F228" s="2">
        <v>9285.91</v>
      </c>
      <c r="G228" s="4">
        <f t="shared" si="3"/>
        <v>4224733.39</v>
      </c>
      <c r="H228" s="4">
        <f t="shared" si="1"/>
        <v>0.442639183</v>
      </c>
      <c r="I228" s="4" t="str">
        <f t="shared" si="2"/>
        <v>A</v>
      </c>
    </row>
    <row r="229">
      <c r="A229" s="2">
        <v>228.0</v>
      </c>
      <c r="B229" s="2">
        <v>21121.0</v>
      </c>
      <c r="C229" s="2" t="s">
        <v>309</v>
      </c>
      <c r="D229" s="2">
        <v>1.25</v>
      </c>
      <c r="E229" s="2">
        <v>7578.0</v>
      </c>
      <c r="F229" s="2">
        <v>9184.48</v>
      </c>
      <c r="G229" s="4">
        <f t="shared" si="3"/>
        <v>4233917.87</v>
      </c>
      <c r="H229" s="4">
        <f t="shared" si="1"/>
        <v>0.4436014711</v>
      </c>
      <c r="I229" s="4" t="str">
        <f t="shared" si="2"/>
        <v>A</v>
      </c>
    </row>
    <row r="230">
      <c r="A230" s="2">
        <v>229.0</v>
      </c>
      <c r="B230" s="2">
        <v>21484.0</v>
      </c>
      <c r="C230" s="2" t="s">
        <v>310</v>
      </c>
      <c r="D230" s="2">
        <v>3.45</v>
      </c>
      <c r="E230" s="2">
        <v>2292.0</v>
      </c>
      <c r="F230" s="2">
        <v>9086.64</v>
      </c>
      <c r="G230" s="4">
        <f t="shared" si="3"/>
        <v>4243004.51</v>
      </c>
      <c r="H230" s="4">
        <f t="shared" si="1"/>
        <v>0.4445535082</v>
      </c>
      <c r="I230" s="4" t="str">
        <f t="shared" si="2"/>
        <v>A</v>
      </c>
    </row>
    <row r="231">
      <c r="A231" s="2">
        <v>230.0</v>
      </c>
      <c r="B231" s="2">
        <v>21035.0</v>
      </c>
      <c r="C231" s="2" t="s">
        <v>311</v>
      </c>
      <c r="D231" s="2">
        <v>3.25</v>
      </c>
      <c r="E231" s="2">
        <v>2902.0</v>
      </c>
      <c r="F231" s="2">
        <v>9062.74</v>
      </c>
      <c r="G231" s="4">
        <f t="shared" si="3"/>
        <v>4252067.25</v>
      </c>
      <c r="H231" s="4">
        <f t="shared" si="1"/>
        <v>0.4455030412</v>
      </c>
      <c r="I231" s="4" t="str">
        <f t="shared" si="2"/>
        <v>A</v>
      </c>
    </row>
    <row r="232">
      <c r="A232" s="2">
        <v>231.0</v>
      </c>
      <c r="B232" s="2">
        <v>22505.0</v>
      </c>
      <c r="C232" s="2" t="s">
        <v>312</v>
      </c>
      <c r="D232" s="2">
        <v>4.95</v>
      </c>
      <c r="E232" s="2">
        <v>1885.0</v>
      </c>
      <c r="F232" s="2">
        <v>9009.89</v>
      </c>
      <c r="G232" s="4">
        <f t="shared" si="3"/>
        <v>4261077.14</v>
      </c>
      <c r="H232" s="4">
        <f t="shared" si="1"/>
        <v>0.446447037</v>
      </c>
      <c r="I232" s="4" t="str">
        <f t="shared" si="2"/>
        <v>A</v>
      </c>
    </row>
    <row r="233">
      <c r="A233" s="2">
        <v>232.0</v>
      </c>
      <c r="B233" s="2">
        <v>22847.0</v>
      </c>
      <c r="C233" s="2" t="s">
        <v>313</v>
      </c>
      <c r="D233" s="2">
        <v>16.95</v>
      </c>
      <c r="E233" s="2">
        <v>567.0</v>
      </c>
      <c r="F233" s="2">
        <v>8985.44</v>
      </c>
      <c r="G233" s="4">
        <f t="shared" si="3"/>
        <v>4270062.58</v>
      </c>
      <c r="H233" s="4">
        <f t="shared" si="1"/>
        <v>0.447388471</v>
      </c>
      <c r="I233" s="4" t="str">
        <f t="shared" si="2"/>
        <v>A</v>
      </c>
    </row>
    <row r="234">
      <c r="A234" s="2">
        <v>233.0</v>
      </c>
      <c r="B234" s="2">
        <v>21430.0</v>
      </c>
      <c r="C234" s="2" t="s">
        <v>314</v>
      </c>
      <c r="D234" s="2">
        <v>3.75</v>
      </c>
      <c r="E234" s="2">
        <v>2296.0</v>
      </c>
      <c r="F234" s="2">
        <v>8974.3</v>
      </c>
      <c r="G234" s="4">
        <f t="shared" si="3"/>
        <v>4279036.88</v>
      </c>
      <c r="H234" s="4">
        <f t="shared" si="1"/>
        <v>0.4483287379</v>
      </c>
      <c r="I234" s="4" t="str">
        <f t="shared" si="2"/>
        <v>A</v>
      </c>
    </row>
    <row r="235">
      <c r="A235" s="2">
        <v>234.0</v>
      </c>
      <c r="B235" s="2">
        <v>22352.0</v>
      </c>
      <c r="C235" s="2" t="s">
        <v>315</v>
      </c>
      <c r="D235" s="2">
        <v>2.55</v>
      </c>
      <c r="E235" s="2">
        <v>3541.0</v>
      </c>
      <c r="F235" s="2">
        <v>8905.15</v>
      </c>
      <c r="G235" s="4">
        <f t="shared" si="3"/>
        <v>4287942.03</v>
      </c>
      <c r="H235" s="4">
        <f t="shared" si="1"/>
        <v>0.4492617596</v>
      </c>
      <c r="I235" s="4" t="str">
        <f t="shared" si="2"/>
        <v>A</v>
      </c>
    </row>
    <row r="236">
      <c r="A236" s="2">
        <v>235.0</v>
      </c>
      <c r="B236" s="2">
        <v>84945.0</v>
      </c>
      <c r="C236" s="2" t="s">
        <v>316</v>
      </c>
      <c r="D236" s="2">
        <v>0.85</v>
      </c>
      <c r="E236" s="2">
        <v>10785.0</v>
      </c>
      <c r="F236" s="2">
        <v>8858.48</v>
      </c>
      <c r="G236" s="4">
        <f t="shared" si="3"/>
        <v>4296800.51</v>
      </c>
      <c r="H236" s="4">
        <f t="shared" si="1"/>
        <v>0.4501898917</v>
      </c>
      <c r="I236" s="4" t="str">
        <f t="shared" si="2"/>
        <v>A</v>
      </c>
    </row>
    <row r="237">
      <c r="A237" s="2">
        <v>236.0</v>
      </c>
      <c r="B237" s="2">
        <v>22560.0</v>
      </c>
      <c r="C237" s="2" t="s">
        <v>317</v>
      </c>
      <c r="D237" s="2">
        <v>1.25</v>
      </c>
      <c r="E237" s="2">
        <v>7348.0</v>
      </c>
      <c r="F237" s="2">
        <v>8857.04</v>
      </c>
      <c r="G237" s="4">
        <f t="shared" si="3"/>
        <v>4305657.55</v>
      </c>
      <c r="H237" s="4">
        <f t="shared" si="1"/>
        <v>0.4511178728</v>
      </c>
      <c r="I237" s="4" t="str">
        <f t="shared" si="2"/>
        <v>A</v>
      </c>
    </row>
    <row r="238">
      <c r="A238" s="2">
        <v>237.0</v>
      </c>
      <c r="B238" s="2">
        <v>21914.0</v>
      </c>
      <c r="C238" s="2" t="s">
        <v>318</v>
      </c>
      <c r="D238" s="2">
        <v>1.25</v>
      </c>
      <c r="E238" s="2">
        <v>6444.0</v>
      </c>
      <c r="F238" s="2">
        <v>8819.56</v>
      </c>
      <c r="G238" s="4">
        <f t="shared" si="3"/>
        <v>4314477.11</v>
      </c>
      <c r="H238" s="4">
        <f t="shared" si="1"/>
        <v>0.4520419271</v>
      </c>
      <c r="I238" s="4" t="str">
        <f t="shared" si="2"/>
        <v>A</v>
      </c>
    </row>
    <row r="239">
      <c r="A239" s="2">
        <v>238.0</v>
      </c>
      <c r="B239" s="2">
        <v>22633.0</v>
      </c>
      <c r="C239" s="2" t="s">
        <v>319</v>
      </c>
      <c r="D239" s="2">
        <v>2.1</v>
      </c>
      <c r="E239" s="2">
        <v>4280.0</v>
      </c>
      <c r="F239" s="2">
        <v>8807.24</v>
      </c>
      <c r="G239" s="4">
        <f t="shared" si="3"/>
        <v>4323284.35</v>
      </c>
      <c r="H239" s="4">
        <f t="shared" si="1"/>
        <v>0.4529646905</v>
      </c>
      <c r="I239" s="4" t="str">
        <f t="shared" si="2"/>
        <v>A</v>
      </c>
    </row>
    <row r="240">
      <c r="A240" s="2">
        <v>239.0</v>
      </c>
      <c r="B240" s="2">
        <v>22297.0</v>
      </c>
      <c r="C240" s="2" t="s">
        <v>320</v>
      </c>
      <c r="D240" s="2">
        <v>1.25</v>
      </c>
      <c r="E240" s="2">
        <v>6779.0</v>
      </c>
      <c r="F240" s="2">
        <v>8753.18</v>
      </c>
      <c r="G240" s="4">
        <f t="shared" si="3"/>
        <v>4332037.53</v>
      </c>
      <c r="H240" s="4">
        <f t="shared" si="1"/>
        <v>0.4538817899</v>
      </c>
      <c r="I240" s="4" t="str">
        <f t="shared" si="2"/>
        <v>A</v>
      </c>
    </row>
    <row r="241">
      <c r="A241" s="2">
        <v>240.0</v>
      </c>
      <c r="B241" s="2" t="s">
        <v>321</v>
      </c>
      <c r="C241" s="2" t="s">
        <v>322</v>
      </c>
      <c r="D241" s="2">
        <v>1.95</v>
      </c>
      <c r="E241" s="2">
        <v>4694.0</v>
      </c>
      <c r="F241" s="2">
        <v>8720.17</v>
      </c>
      <c r="G241" s="4">
        <f t="shared" si="3"/>
        <v>4340757.7</v>
      </c>
      <c r="H241" s="4">
        <f t="shared" si="1"/>
        <v>0.4547954307</v>
      </c>
      <c r="I241" s="4" t="str">
        <f t="shared" si="2"/>
        <v>A</v>
      </c>
    </row>
    <row r="242">
      <c r="A242" s="2">
        <v>241.0</v>
      </c>
      <c r="B242" s="2">
        <v>20718.0</v>
      </c>
      <c r="C242" s="2" t="s">
        <v>323</v>
      </c>
      <c r="D242" s="2">
        <v>1.25</v>
      </c>
      <c r="E242" s="2">
        <v>6660.0</v>
      </c>
      <c r="F242" s="2">
        <v>8707.42</v>
      </c>
      <c r="G242" s="4">
        <f t="shared" si="3"/>
        <v>4349465.12</v>
      </c>
      <c r="H242" s="4">
        <f t="shared" si="1"/>
        <v>0.4557077357</v>
      </c>
      <c r="I242" s="4" t="str">
        <f t="shared" si="2"/>
        <v>A</v>
      </c>
    </row>
    <row r="243">
      <c r="A243" s="2">
        <v>242.0</v>
      </c>
      <c r="B243" s="2">
        <v>84467.0</v>
      </c>
      <c r="C243" s="2" t="s">
        <v>324</v>
      </c>
      <c r="D243" s="2">
        <v>25.49</v>
      </c>
      <c r="E243" s="2">
        <v>407.0</v>
      </c>
      <c r="F243" s="2">
        <v>8698.88</v>
      </c>
      <c r="G243" s="4">
        <f t="shared" si="3"/>
        <v>4358164</v>
      </c>
      <c r="H243" s="4">
        <f t="shared" si="1"/>
        <v>0.4566191459</v>
      </c>
      <c r="I243" s="4" t="str">
        <f t="shared" si="2"/>
        <v>A</v>
      </c>
    </row>
    <row r="244">
      <c r="A244" s="2">
        <v>243.0</v>
      </c>
      <c r="B244" s="2">
        <v>22557.0</v>
      </c>
      <c r="C244" s="2" t="s">
        <v>325</v>
      </c>
      <c r="D244" s="2">
        <v>1.65</v>
      </c>
      <c r="E244" s="2">
        <v>5172.0</v>
      </c>
      <c r="F244" s="2">
        <v>8679.2</v>
      </c>
      <c r="G244" s="4">
        <f t="shared" si="3"/>
        <v>4366843.2</v>
      </c>
      <c r="H244" s="4">
        <f t="shared" si="1"/>
        <v>0.4575284942</v>
      </c>
      <c r="I244" s="4" t="str">
        <f t="shared" si="2"/>
        <v>A</v>
      </c>
    </row>
    <row r="245">
      <c r="A245" s="2">
        <v>244.0</v>
      </c>
      <c r="B245" s="2">
        <v>84992.0</v>
      </c>
      <c r="C245" s="2" t="s">
        <v>326</v>
      </c>
      <c r="D245" s="2">
        <v>0.55</v>
      </c>
      <c r="E245" s="2">
        <v>17378.0</v>
      </c>
      <c r="F245" s="2">
        <v>8618.65</v>
      </c>
      <c r="G245" s="4">
        <f t="shared" si="3"/>
        <v>4375461.85</v>
      </c>
      <c r="H245" s="4">
        <f t="shared" si="1"/>
        <v>0.4584314984</v>
      </c>
      <c r="I245" s="4" t="str">
        <f t="shared" si="2"/>
        <v>A</v>
      </c>
    </row>
    <row r="246">
      <c r="A246" s="2">
        <v>245.0</v>
      </c>
      <c r="B246" s="2" t="s">
        <v>327</v>
      </c>
      <c r="C246" s="2" t="s">
        <v>328</v>
      </c>
      <c r="D246" s="2">
        <v>0.95</v>
      </c>
      <c r="E246" s="2">
        <v>8720.0</v>
      </c>
      <c r="F246" s="2">
        <v>8607.67</v>
      </c>
      <c r="G246" s="4">
        <f t="shared" si="3"/>
        <v>4384069.52</v>
      </c>
      <c r="H246" s="4">
        <f t="shared" si="1"/>
        <v>0.4593333523</v>
      </c>
      <c r="I246" s="4" t="str">
        <f t="shared" si="2"/>
        <v>A</v>
      </c>
    </row>
    <row r="247">
      <c r="A247" s="2">
        <v>246.0</v>
      </c>
      <c r="B247" s="2">
        <v>21136.0</v>
      </c>
      <c r="C247" s="2" t="s">
        <v>329</v>
      </c>
      <c r="D247" s="2">
        <v>1.69</v>
      </c>
      <c r="E247" s="2">
        <v>5157.0</v>
      </c>
      <c r="F247" s="2">
        <v>8597.38</v>
      </c>
      <c r="G247" s="4">
        <f t="shared" si="3"/>
        <v>4392666.9</v>
      </c>
      <c r="H247" s="4">
        <f t="shared" si="1"/>
        <v>0.460234128</v>
      </c>
      <c r="I247" s="4" t="str">
        <f t="shared" si="2"/>
        <v>A</v>
      </c>
    </row>
    <row r="248">
      <c r="A248" s="2">
        <v>247.0</v>
      </c>
      <c r="B248" s="2">
        <v>22366.0</v>
      </c>
      <c r="C248" s="2" t="s">
        <v>331</v>
      </c>
      <c r="D248" s="2">
        <v>7.95</v>
      </c>
      <c r="E248" s="2">
        <v>1257.0</v>
      </c>
      <c r="F248" s="2">
        <v>8527.55</v>
      </c>
      <c r="G248" s="4">
        <f t="shared" si="3"/>
        <v>4401194.45</v>
      </c>
      <c r="H248" s="4">
        <f t="shared" si="1"/>
        <v>0.4611275874</v>
      </c>
      <c r="I248" s="4" t="str">
        <f t="shared" si="2"/>
        <v>A</v>
      </c>
    </row>
    <row r="249">
      <c r="A249" s="2">
        <v>248.0</v>
      </c>
      <c r="B249" s="2">
        <v>21156.0</v>
      </c>
      <c r="C249" s="2" t="s">
        <v>333</v>
      </c>
      <c r="D249" s="2">
        <v>1.95</v>
      </c>
      <c r="E249" s="2">
        <v>4564.0</v>
      </c>
      <c r="F249" s="2">
        <v>8493.34</v>
      </c>
      <c r="G249" s="4">
        <f t="shared" si="3"/>
        <v>4409687.79</v>
      </c>
      <c r="H249" s="4">
        <f t="shared" si="1"/>
        <v>0.4620174625</v>
      </c>
      <c r="I249" s="4" t="str">
        <f t="shared" si="2"/>
        <v>A</v>
      </c>
    </row>
    <row r="250">
      <c r="A250" s="2">
        <v>249.0</v>
      </c>
      <c r="B250" s="2">
        <v>21889.0</v>
      </c>
      <c r="C250" s="2" t="s">
        <v>334</v>
      </c>
      <c r="D250" s="2">
        <v>1.25</v>
      </c>
      <c r="E250" s="2">
        <v>6358.0</v>
      </c>
      <c r="F250" s="2">
        <v>8492.2</v>
      </c>
      <c r="G250" s="4">
        <f t="shared" si="3"/>
        <v>4418179.99</v>
      </c>
      <c r="H250" s="4">
        <f t="shared" si="1"/>
        <v>0.4629072182</v>
      </c>
      <c r="I250" s="4" t="str">
        <f t="shared" si="2"/>
        <v>A</v>
      </c>
    </row>
    <row r="251">
      <c r="A251" s="2">
        <v>250.0</v>
      </c>
      <c r="B251" s="2">
        <v>23240.0</v>
      </c>
      <c r="C251" s="2" t="s">
        <v>337</v>
      </c>
      <c r="D251" s="2">
        <v>4.15</v>
      </c>
      <c r="E251" s="2">
        <v>2086.0</v>
      </c>
      <c r="F251" s="2">
        <v>8491.78</v>
      </c>
      <c r="G251" s="4">
        <f t="shared" si="3"/>
        <v>4426671.77</v>
      </c>
      <c r="H251" s="4">
        <f t="shared" si="1"/>
        <v>0.4637969298</v>
      </c>
      <c r="I251" s="4" t="str">
        <f t="shared" si="2"/>
        <v>A</v>
      </c>
    </row>
    <row r="252">
      <c r="A252" s="2">
        <v>251.0</v>
      </c>
      <c r="B252" s="2">
        <v>22776.0</v>
      </c>
      <c r="C252" s="2" t="s">
        <v>341</v>
      </c>
      <c r="D252" s="2">
        <v>9.95</v>
      </c>
      <c r="E252" s="2">
        <v>822.0</v>
      </c>
      <c r="F252" s="2">
        <v>8477.9</v>
      </c>
      <c r="G252" s="4">
        <f t="shared" si="3"/>
        <v>4435149.67</v>
      </c>
      <c r="H252" s="4">
        <f t="shared" si="1"/>
        <v>0.4646851872</v>
      </c>
      <c r="I252" s="4" t="str">
        <f t="shared" si="2"/>
        <v>A</v>
      </c>
    </row>
    <row r="253">
      <c r="A253" s="2">
        <v>252.0</v>
      </c>
      <c r="B253" s="2">
        <v>21535.0</v>
      </c>
      <c r="C253" s="2" t="s">
        <v>346</v>
      </c>
      <c r="D253" s="2">
        <v>2.55</v>
      </c>
      <c r="E253" s="2">
        <v>3400.0</v>
      </c>
      <c r="F253" s="2">
        <v>8450.38</v>
      </c>
      <c r="G253" s="4">
        <f t="shared" si="3"/>
        <v>4443600.05</v>
      </c>
      <c r="H253" s="4">
        <f t="shared" si="1"/>
        <v>0.4655705613</v>
      </c>
      <c r="I253" s="4" t="str">
        <f t="shared" si="2"/>
        <v>A</v>
      </c>
    </row>
    <row r="254">
      <c r="A254" s="2">
        <v>253.0</v>
      </c>
      <c r="B254" s="2">
        <v>22147.0</v>
      </c>
      <c r="C254" s="2" t="s">
        <v>349</v>
      </c>
      <c r="D254" s="2">
        <v>1.45</v>
      </c>
      <c r="E254" s="2">
        <v>6003.0</v>
      </c>
      <c r="F254" s="2">
        <v>8434.84</v>
      </c>
      <c r="G254" s="4">
        <f t="shared" si="3"/>
        <v>4452034.89</v>
      </c>
      <c r="H254" s="4">
        <f t="shared" si="1"/>
        <v>0.4664543071</v>
      </c>
      <c r="I254" s="4" t="str">
        <f t="shared" si="2"/>
        <v>A</v>
      </c>
    </row>
    <row r="255">
      <c r="A255" s="2">
        <v>254.0</v>
      </c>
      <c r="B255" s="2">
        <v>22654.0</v>
      </c>
      <c r="C255" s="2" t="s">
        <v>351</v>
      </c>
      <c r="D255" s="2">
        <v>5.95</v>
      </c>
      <c r="E255" s="2">
        <v>1256.0</v>
      </c>
      <c r="F255" s="2">
        <v>8423.16</v>
      </c>
      <c r="G255" s="4">
        <f t="shared" si="3"/>
        <v>4460458.05</v>
      </c>
      <c r="H255" s="4">
        <f t="shared" si="1"/>
        <v>0.4673368293</v>
      </c>
      <c r="I255" s="4" t="str">
        <f t="shared" si="2"/>
        <v>A</v>
      </c>
    </row>
    <row r="256">
      <c r="A256" s="2">
        <v>255.0</v>
      </c>
      <c r="B256" s="2" t="s">
        <v>354</v>
      </c>
      <c r="C256" s="2" t="s">
        <v>356</v>
      </c>
      <c r="D256" s="2">
        <v>6.75</v>
      </c>
      <c r="E256" s="2">
        <v>1396.0</v>
      </c>
      <c r="F256" s="2">
        <v>8386.86</v>
      </c>
      <c r="G256" s="4">
        <f t="shared" si="3"/>
        <v>4468844.91</v>
      </c>
      <c r="H256" s="4">
        <f t="shared" si="1"/>
        <v>0.4682155481</v>
      </c>
      <c r="I256" s="4" t="str">
        <f t="shared" si="2"/>
        <v>A</v>
      </c>
    </row>
    <row r="257">
      <c r="A257" s="2">
        <v>256.0</v>
      </c>
      <c r="B257" s="2">
        <v>22652.0</v>
      </c>
      <c r="C257" s="2" t="s">
        <v>358</v>
      </c>
      <c r="D257" s="2">
        <v>1.65</v>
      </c>
      <c r="E257" s="2">
        <v>4948.0</v>
      </c>
      <c r="F257" s="2">
        <v>8384.65</v>
      </c>
      <c r="G257" s="4">
        <f t="shared" si="3"/>
        <v>4477229.56</v>
      </c>
      <c r="H257" s="4">
        <f t="shared" si="1"/>
        <v>0.4690940354</v>
      </c>
      <c r="I257" s="4" t="str">
        <f t="shared" si="2"/>
        <v>A</v>
      </c>
    </row>
    <row r="258">
      <c r="A258" s="2">
        <v>257.0</v>
      </c>
      <c r="B258" s="2">
        <v>22273.0</v>
      </c>
      <c r="C258" s="2" t="s">
        <v>361</v>
      </c>
      <c r="D258" s="2">
        <v>2.95</v>
      </c>
      <c r="E258" s="2">
        <v>2962.0</v>
      </c>
      <c r="F258" s="2">
        <v>8341.3</v>
      </c>
      <c r="G258" s="4">
        <f t="shared" si="3"/>
        <v>4485570.86</v>
      </c>
      <c r="H258" s="4">
        <f t="shared" si="1"/>
        <v>0.4699679808</v>
      </c>
      <c r="I258" s="4" t="str">
        <f t="shared" si="2"/>
        <v>A</v>
      </c>
    </row>
    <row r="259">
      <c r="A259" s="2">
        <v>258.0</v>
      </c>
      <c r="B259" s="2">
        <v>21164.0</v>
      </c>
      <c r="C259" s="2" t="s">
        <v>363</v>
      </c>
      <c r="D259" s="2">
        <v>2.95</v>
      </c>
      <c r="E259" s="2">
        <v>2996.0</v>
      </c>
      <c r="F259" s="2">
        <v>8330.91</v>
      </c>
      <c r="G259" s="4">
        <f t="shared" si="3"/>
        <v>4493901.77</v>
      </c>
      <c r="H259" s="4">
        <f t="shared" si="1"/>
        <v>0.4708408376</v>
      </c>
      <c r="I259" s="4" t="str">
        <f t="shared" si="2"/>
        <v>A</v>
      </c>
    </row>
    <row r="260">
      <c r="A260" s="2">
        <v>259.0</v>
      </c>
      <c r="B260" s="2">
        <v>21533.0</v>
      </c>
      <c r="C260" s="2" t="s">
        <v>364</v>
      </c>
      <c r="D260" s="2">
        <v>4.95</v>
      </c>
      <c r="E260" s="2">
        <v>1674.0</v>
      </c>
      <c r="F260" s="2">
        <v>8326.48</v>
      </c>
      <c r="G260" s="4">
        <f t="shared" si="3"/>
        <v>4502228.25</v>
      </c>
      <c r="H260" s="4">
        <f t="shared" si="1"/>
        <v>0.4717132302</v>
      </c>
      <c r="I260" s="4" t="str">
        <f t="shared" si="2"/>
        <v>A</v>
      </c>
    </row>
    <row r="261">
      <c r="A261" s="2">
        <v>260.0</v>
      </c>
      <c r="B261" s="2" t="s">
        <v>365</v>
      </c>
      <c r="C261" s="2" t="s">
        <v>366</v>
      </c>
      <c r="D261" s="2">
        <v>9.95</v>
      </c>
      <c r="E261" s="2">
        <v>854.0</v>
      </c>
      <c r="F261" s="2">
        <v>8249.28</v>
      </c>
      <c r="G261" s="4">
        <f t="shared" si="3"/>
        <v>4510477.53</v>
      </c>
      <c r="H261" s="4">
        <f t="shared" si="1"/>
        <v>0.4725775344</v>
      </c>
      <c r="I261" s="4" t="str">
        <f t="shared" si="2"/>
        <v>A</v>
      </c>
    </row>
    <row r="262">
      <c r="A262" s="2">
        <v>261.0</v>
      </c>
      <c r="B262" s="2">
        <v>22993.0</v>
      </c>
      <c r="C262" s="2" t="s">
        <v>367</v>
      </c>
      <c r="D262" s="2">
        <v>1.25</v>
      </c>
      <c r="E262" s="2">
        <v>6306.0</v>
      </c>
      <c r="F262" s="2">
        <v>8216.12</v>
      </c>
      <c r="G262" s="4">
        <f t="shared" si="3"/>
        <v>4518693.65</v>
      </c>
      <c r="H262" s="4">
        <f t="shared" si="1"/>
        <v>0.4734383642</v>
      </c>
      <c r="I262" s="4" t="str">
        <f t="shared" si="2"/>
        <v>A</v>
      </c>
    </row>
    <row r="263">
      <c r="A263" s="2">
        <v>262.0</v>
      </c>
      <c r="B263" s="2">
        <v>22837.0</v>
      </c>
      <c r="C263" s="2" t="s">
        <v>368</v>
      </c>
      <c r="D263" s="2">
        <v>4.65</v>
      </c>
      <c r="E263" s="2">
        <v>1752.0</v>
      </c>
      <c r="F263" s="2">
        <v>8165.04</v>
      </c>
      <c r="G263" s="4">
        <f t="shared" si="3"/>
        <v>4526858.69</v>
      </c>
      <c r="H263" s="4">
        <f t="shared" si="1"/>
        <v>0.4742938422</v>
      </c>
      <c r="I263" s="4" t="str">
        <f t="shared" si="2"/>
        <v>A</v>
      </c>
    </row>
    <row r="264">
      <c r="A264" s="2">
        <v>263.0</v>
      </c>
      <c r="B264" s="2">
        <v>21155.0</v>
      </c>
      <c r="C264" s="2" t="s">
        <v>369</v>
      </c>
      <c r="D264" s="2">
        <v>2.55</v>
      </c>
      <c r="E264" s="2">
        <v>3320.0</v>
      </c>
      <c r="F264" s="2">
        <v>8142.37</v>
      </c>
      <c r="G264" s="4">
        <f t="shared" si="3"/>
        <v>4535001.06</v>
      </c>
      <c r="H264" s="4">
        <f t="shared" si="1"/>
        <v>0.4751469451</v>
      </c>
      <c r="I264" s="4" t="str">
        <f t="shared" si="2"/>
        <v>A</v>
      </c>
    </row>
    <row r="265">
      <c r="A265" s="2">
        <v>264.0</v>
      </c>
      <c r="B265" s="2">
        <v>22662.0</v>
      </c>
      <c r="C265" s="2" t="s">
        <v>370</v>
      </c>
      <c r="D265" s="2">
        <v>1.65</v>
      </c>
      <c r="E265" s="2">
        <v>4991.0</v>
      </c>
      <c r="F265" s="2">
        <v>8132.38</v>
      </c>
      <c r="G265" s="4">
        <f t="shared" si="3"/>
        <v>4543133.44</v>
      </c>
      <c r="H265" s="4">
        <f t="shared" si="1"/>
        <v>0.4759990012</v>
      </c>
      <c r="I265" s="4" t="str">
        <f t="shared" si="2"/>
        <v>A</v>
      </c>
    </row>
    <row r="266">
      <c r="A266" s="2">
        <v>265.0</v>
      </c>
      <c r="B266" s="2">
        <v>22296.0</v>
      </c>
      <c r="C266" s="2" t="s">
        <v>371</v>
      </c>
      <c r="D266" s="2">
        <v>1.65</v>
      </c>
      <c r="E266" s="2">
        <v>4918.0</v>
      </c>
      <c r="F266" s="2">
        <v>8111.13</v>
      </c>
      <c r="G266" s="4">
        <f t="shared" si="3"/>
        <v>4551244.57</v>
      </c>
      <c r="H266" s="4">
        <f t="shared" si="1"/>
        <v>0.4768488309</v>
      </c>
      <c r="I266" s="4" t="str">
        <f t="shared" si="2"/>
        <v>A</v>
      </c>
    </row>
    <row r="267">
      <c r="A267" s="2">
        <v>266.0</v>
      </c>
      <c r="B267" s="2">
        <v>23301.0</v>
      </c>
      <c r="C267" s="2" t="s">
        <v>372</v>
      </c>
      <c r="D267" s="2">
        <v>1.65</v>
      </c>
      <c r="E267" s="2">
        <v>4360.0</v>
      </c>
      <c r="F267" s="2">
        <v>8102.32</v>
      </c>
      <c r="G267" s="4">
        <f t="shared" si="3"/>
        <v>4559346.89</v>
      </c>
      <c r="H267" s="4">
        <f t="shared" si="1"/>
        <v>0.4776977376</v>
      </c>
      <c r="I267" s="4" t="str">
        <f t="shared" si="2"/>
        <v>A</v>
      </c>
    </row>
    <row r="268">
      <c r="A268" s="2">
        <v>267.0</v>
      </c>
      <c r="B268" s="2">
        <v>22191.0</v>
      </c>
      <c r="C268" s="2" t="s">
        <v>373</v>
      </c>
      <c r="D268" s="2">
        <v>8.5</v>
      </c>
      <c r="E268" s="2">
        <v>978.0</v>
      </c>
      <c r="F268" s="2">
        <v>8065.52</v>
      </c>
      <c r="G268" s="4">
        <f t="shared" si="3"/>
        <v>4567412.41</v>
      </c>
      <c r="H268" s="4">
        <f t="shared" si="1"/>
        <v>0.4785427886</v>
      </c>
      <c r="I268" s="4" t="str">
        <f t="shared" si="2"/>
        <v>A</v>
      </c>
    </row>
    <row r="269">
      <c r="A269" s="2">
        <v>268.0</v>
      </c>
      <c r="B269" s="2">
        <v>22193.0</v>
      </c>
      <c r="C269" s="2" t="s">
        <v>374</v>
      </c>
      <c r="D269" s="2">
        <v>8.5</v>
      </c>
      <c r="E269" s="2">
        <v>948.0</v>
      </c>
      <c r="F269" s="2">
        <v>8000.34</v>
      </c>
      <c r="G269" s="4">
        <f t="shared" si="3"/>
        <v>4575412.75</v>
      </c>
      <c r="H269" s="4">
        <f t="shared" si="1"/>
        <v>0.4793810105</v>
      </c>
      <c r="I269" s="4" t="str">
        <f t="shared" si="2"/>
        <v>A</v>
      </c>
    </row>
    <row r="270">
      <c r="A270" s="2">
        <v>269.0</v>
      </c>
      <c r="B270" s="2">
        <v>22487.0</v>
      </c>
      <c r="C270" s="2" t="s">
        <v>375</v>
      </c>
      <c r="D270" s="2">
        <v>9.95</v>
      </c>
      <c r="E270" s="2">
        <v>790.0</v>
      </c>
      <c r="F270" s="2">
        <v>7946.38</v>
      </c>
      <c r="G270" s="4">
        <f t="shared" si="3"/>
        <v>4583359.13</v>
      </c>
      <c r="H270" s="4">
        <f t="shared" si="1"/>
        <v>0.4802135788</v>
      </c>
      <c r="I270" s="4" t="str">
        <f t="shared" si="2"/>
        <v>A</v>
      </c>
    </row>
    <row r="271">
      <c r="A271" s="2">
        <v>270.0</v>
      </c>
      <c r="B271" s="2">
        <v>22759.0</v>
      </c>
      <c r="C271" s="2" t="s">
        <v>376</v>
      </c>
      <c r="D271" s="2">
        <v>1.65</v>
      </c>
      <c r="E271" s="2">
        <v>4686.0</v>
      </c>
      <c r="F271" s="2">
        <v>7925.86</v>
      </c>
      <c r="G271" s="4">
        <f t="shared" si="3"/>
        <v>4591284.99</v>
      </c>
      <c r="H271" s="4">
        <f t="shared" si="1"/>
        <v>0.4810439971</v>
      </c>
      <c r="I271" s="4" t="str">
        <f t="shared" si="2"/>
        <v>A</v>
      </c>
    </row>
    <row r="272">
      <c r="A272" s="2">
        <v>271.0</v>
      </c>
      <c r="B272" s="2">
        <v>22690.0</v>
      </c>
      <c r="C272" s="2" t="s">
        <v>377</v>
      </c>
      <c r="D272" s="2">
        <v>7.95</v>
      </c>
      <c r="E272" s="2">
        <v>1264.0</v>
      </c>
      <c r="F272" s="2">
        <v>7909.84</v>
      </c>
      <c r="G272" s="4">
        <f t="shared" si="3"/>
        <v>4599194.83</v>
      </c>
      <c r="H272" s="4">
        <f t="shared" si="1"/>
        <v>0.481872737</v>
      </c>
      <c r="I272" s="4" t="str">
        <f t="shared" si="2"/>
        <v>A</v>
      </c>
    </row>
    <row r="273">
      <c r="A273" s="2">
        <v>272.0</v>
      </c>
      <c r="B273" s="2" t="s">
        <v>378</v>
      </c>
      <c r="C273" s="2" t="s">
        <v>379</v>
      </c>
      <c r="D273" s="2">
        <v>5.45</v>
      </c>
      <c r="E273" s="2">
        <v>1508.0</v>
      </c>
      <c r="F273" s="2">
        <v>7890.22</v>
      </c>
      <c r="G273" s="4">
        <f t="shared" si="3"/>
        <v>4607085.05</v>
      </c>
      <c r="H273" s="4">
        <f t="shared" si="1"/>
        <v>0.4826994213</v>
      </c>
      <c r="I273" s="4" t="str">
        <f t="shared" si="2"/>
        <v>A</v>
      </c>
    </row>
    <row r="274">
      <c r="A274" s="2">
        <v>273.0</v>
      </c>
      <c r="B274" s="2">
        <v>23313.0</v>
      </c>
      <c r="C274" s="2" t="s">
        <v>380</v>
      </c>
      <c r="D274" s="2">
        <v>4.95</v>
      </c>
      <c r="E274" s="2">
        <v>1492.0</v>
      </c>
      <c r="F274" s="2">
        <v>7884.48</v>
      </c>
      <c r="G274" s="4">
        <f t="shared" si="3"/>
        <v>4614969.53</v>
      </c>
      <c r="H274" s="4">
        <f t="shared" si="1"/>
        <v>0.4835255041</v>
      </c>
      <c r="I274" s="4" t="str">
        <f t="shared" si="2"/>
        <v>A</v>
      </c>
    </row>
    <row r="275">
      <c r="A275" s="2">
        <v>274.0</v>
      </c>
      <c r="B275" s="2">
        <v>22367.0</v>
      </c>
      <c r="C275" s="2" t="s">
        <v>381</v>
      </c>
      <c r="D275" s="2">
        <v>1.95</v>
      </c>
      <c r="E275" s="2">
        <v>4021.0</v>
      </c>
      <c r="F275" s="2">
        <v>7872.76</v>
      </c>
      <c r="G275" s="4">
        <f t="shared" si="3"/>
        <v>4622842.29</v>
      </c>
      <c r="H275" s="4">
        <f t="shared" si="1"/>
        <v>0.484350359</v>
      </c>
      <c r="I275" s="4" t="str">
        <f t="shared" si="2"/>
        <v>A</v>
      </c>
    </row>
    <row r="276">
      <c r="A276" s="2">
        <v>275.0</v>
      </c>
      <c r="B276" s="2">
        <v>84375.0</v>
      </c>
      <c r="C276" s="2" t="s">
        <v>382</v>
      </c>
      <c r="D276" s="2">
        <v>2.1</v>
      </c>
      <c r="E276" s="2">
        <v>3773.0</v>
      </c>
      <c r="F276" s="2">
        <v>7848.39</v>
      </c>
      <c r="G276" s="4">
        <f t="shared" si="3"/>
        <v>4630690.68</v>
      </c>
      <c r="H276" s="4">
        <f t="shared" si="1"/>
        <v>0.4851726606</v>
      </c>
      <c r="I276" s="4" t="str">
        <f t="shared" si="2"/>
        <v>A</v>
      </c>
    </row>
    <row r="277">
      <c r="A277" s="2">
        <v>276.0</v>
      </c>
      <c r="B277" s="2">
        <v>22634.0</v>
      </c>
      <c r="C277" s="2" t="s">
        <v>383</v>
      </c>
      <c r="D277" s="2">
        <v>9.95</v>
      </c>
      <c r="E277" s="2">
        <v>830.0</v>
      </c>
      <c r="F277" s="2">
        <v>7844.75</v>
      </c>
      <c r="G277" s="4">
        <f t="shared" si="3"/>
        <v>4638535.43</v>
      </c>
      <c r="H277" s="4">
        <f t="shared" si="1"/>
        <v>0.4859945808</v>
      </c>
      <c r="I277" s="4" t="str">
        <f t="shared" si="2"/>
        <v>A</v>
      </c>
    </row>
    <row r="278">
      <c r="A278" s="2">
        <v>277.0</v>
      </c>
      <c r="B278" s="2">
        <v>22635.0</v>
      </c>
      <c r="C278" s="2" t="s">
        <v>384</v>
      </c>
      <c r="D278" s="2">
        <v>9.95</v>
      </c>
      <c r="E278" s="2">
        <v>823.0</v>
      </c>
      <c r="F278" s="2">
        <v>7827.86</v>
      </c>
      <c r="G278" s="4">
        <f t="shared" si="3"/>
        <v>4646363.29</v>
      </c>
      <c r="H278" s="4">
        <f t="shared" si="1"/>
        <v>0.4868147314</v>
      </c>
      <c r="I278" s="4" t="str">
        <f t="shared" si="2"/>
        <v>A</v>
      </c>
    </row>
    <row r="279">
      <c r="A279" s="2">
        <v>278.0</v>
      </c>
      <c r="B279" s="2">
        <v>22619.0</v>
      </c>
      <c r="C279" s="2" t="s">
        <v>385</v>
      </c>
      <c r="D279" s="2">
        <v>3.75</v>
      </c>
      <c r="E279" s="2">
        <v>2006.0</v>
      </c>
      <c r="F279" s="2">
        <v>7815.67</v>
      </c>
      <c r="G279" s="4">
        <f t="shared" si="3"/>
        <v>4654178.96</v>
      </c>
      <c r="H279" s="4">
        <f t="shared" si="1"/>
        <v>0.4876336048</v>
      </c>
      <c r="I279" s="4" t="str">
        <f t="shared" si="2"/>
        <v>A</v>
      </c>
    </row>
    <row r="280">
      <c r="A280" s="2">
        <v>279.0</v>
      </c>
      <c r="B280" s="2">
        <v>21891.0</v>
      </c>
      <c r="C280" s="2" t="s">
        <v>386</v>
      </c>
      <c r="D280" s="2">
        <v>1.25</v>
      </c>
      <c r="E280" s="2">
        <v>6052.0</v>
      </c>
      <c r="F280" s="2">
        <v>7748.92</v>
      </c>
      <c r="G280" s="4">
        <f t="shared" si="3"/>
        <v>4661927.88</v>
      </c>
      <c r="H280" s="4">
        <f t="shared" si="1"/>
        <v>0.4884454846</v>
      </c>
      <c r="I280" s="4" t="str">
        <f t="shared" si="2"/>
        <v>A</v>
      </c>
    </row>
    <row r="281">
      <c r="A281" s="2">
        <v>280.0</v>
      </c>
      <c r="B281" s="2">
        <v>22749.0</v>
      </c>
      <c r="C281" s="2" t="s">
        <v>387</v>
      </c>
      <c r="D281" s="2">
        <v>3.75</v>
      </c>
      <c r="E281" s="2">
        <v>1890.0</v>
      </c>
      <c r="F281" s="2">
        <v>7714.68</v>
      </c>
      <c r="G281" s="4">
        <f t="shared" si="3"/>
        <v>4669642.56</v>
      </c>
      <c r="H281" s="4">
        <f t="shared" si="1"/>
        <v>0.4892537769</v>
      </c>
      <c r="I281" s="4" t="str">
        <f t="shared" si="2"/>
        <v>A</v>
      </c>
    </row>
    <row r="282">
      <c r="A282" s="2">
        <v>281.0</v>
      </c>
      <c r="B282" s="2">
        <v>22170.0</v>
      </c>
      <c r="C282" s="2" t="s">
        <v>388</v>
      </c>
      <c r="D282" s="2">
        <v>6.75</v>
      </c>
      <c r="E282" s="2">
        <v>1173.0</v>
      </c>
      <c r="F282" s="2">
        <v>7700.61</v>
      </c>
      <c r="G282" s="4">
        <f t="shared" si="3"/>
        <v>4677343.17</v>
      </c>
      <c r="H282" s="4">
        <f t="shared" si="1"/>
        <v>0.4900605951</v>
      </c>
      <c r="I282" s="4" t="str">
        <f t="shared" si="2"/>
        <v>A</v>
      </c>
    </row>
    <row r="283">
      <c r="A283" s="2">
        <v>282.0</v>
      </c>
      <c r="B283" s="2">
        <v>21844.0</v>
      </c>
      <c r="C283" s="2" t="s">
        <v>389</v>
      </c>
      <c r="D283" s="2">
        <v>2.95</v>
      </c>
      <c r="E283" s="2">
        <v>2694.0</v>
      </c>
      <c r="F283" s="2">
        <v>7683.9</v>
      </c>
      <c r="G283" s="4">
        <f t="shared" si="3"/>
        <v>4685027.07</v>
      </c>
      <c r="H283" s="4">
        <f t="shared" si="1"/>
        <v>0.4908656625</v>
      </c>
      <c r="I283" s="4" t="str">
        <f t="shared" si="2"/>
        <v>A</v>
      </c>
    </row>
    <row r="284">
      <c r="A284" s="2">
        <v>283.0</v>
      </c>
      <c r="B284" s="2">
        <v>84378.0</v>
      </c>
      <c r="C284" s="2" t="s">
        <v>390</v>
      </c>
      <c r="D284" s="2">
        <v>1.25</v>
      </c>
      <c r="E284" s="2">
        <v>5806.0</v>
      </c>
      <c r="F284" s="2">
        <v>7678.6</v>
      </c>
      <c r="G284" s="4">
        <f t="shared" si="3"/>
        <v>4692705.67</v>
      </c>
      <c r="H284" s="4">
        <f t="shared" si="1"/>
        <v>0.4916701747</v>
      </c>
      <c r="I284" s="4" t="str">
        <f t="shared" si="2"/>
        <v>A</v>
      </c>
    </row>
    <row r="285">
      <c r="A285" s="2">
        <v>284.0</v>
      </c>
      <c r="B285" s="2">
        <v>22692.0</v>
      </c>
      <c r="C285" s="2" t="s">
        <v>391</v>
      </c>
      <c r="D285" s="2">
        <v>7.95</v>
      </c>
      <c r="E285" s="2">
        <v>998.0</v>
      </c>
      <c r="F285" s="2">
        <v>7662.68</v>
      </c>
      <c r="G285" s="4">
        <f t="shared" si="3"/>
        <v>4700368.35</v>
      </c>
      <c r="H285" s="4">
        <f t="shared" si="1"/>
        <v>0.4924730188</v>
      </c>
      <c r="I285" s="4" t="str">
        <f t="shared" si="2"/>
        <v>A</v>
      </c>
    </row>
    <row r="286">
      <c r="A286" s="2">
        <v>285.0</v>
      </c>
      <c r="B286" s="2">
        <v>22365.0</v>
      </c>
      <c r="C286" s="2" t="s">
        <v>392</v>
      </c>
      <c r="D286" s="2">
        <v>7.95</v>
      </c>
      <c r="E286" s="2">
        <v>1164.0</v>
      </c>
      <c r="F286" s="2">
        <v>7641.07</v>
      </c>
      <c r="G286" s="4">
        <f t="shared" si="3"/>
        <v>4708009.42</v>
      </c>
      <c r="H286" s="4">
        <f t="shared" si="1"/>
        <v>0.4932735988</v>
      </c>
      <c r="I286" s="4" t="str">
        <f t="shared" si="2"/>
        <v>A</v>
      </c>
    </row>
    <row r="287">
      <c r="A287" s="2">
        <v>286.0</v>
      </c>
      <c r="B287" s="2">
        <v>21975.0</v>
      </c>
      <c r="C287" s="2" t="s">
        <v>393</v>
      </c>
      <c r="D287" s="2">
        <v>0.55</v>
      </c>
      <c r="E287" s="2">
        <v>15677.0</v>
      </c>
      <c r="F287" s="2">
        <v>7624.36</v>
      </c>
      <c r="G287" s="4">
        <f t="shared" si="3"/>
        <v>4715633.78</v>
      </c>
      <c r="H287" s="4">
        <f t="shared" si="1"/>
        <v>0.494072428</v>
      </c>
      <c r="I287" s="4" t="str">
        <f t="shared" si="2"/>
        <v>A</v>
      </c>
    </row>
    <row r="288">
      <c r="A288" s="2">
        <v>287.0</v>
      </c>
      <c r="B288" s="2">
        <v>22940.0</v>
      </c>
      <c r="C288" s="2" t="s">
        <v>394</v>
      </c>
      <c r="D288" s="2">
        <v>4.25</v>
      </c>
      <c r="E288" s="2">
        <v>1739.0</v>
      </c>
      <c r="F288" s="2">
        <v>7613.78</v>
      </c>
      <c r="G288" s="4">
        <f t="shared" si="3"/>
        <v>4723247.56</v>
      </c>
      <c r="H288" s="4">
        <f t="shared" si="1"/>
        <v>0.4948701487</v>
      </c>
      <c r="I288" s="4" t="str">
        <f t="shared" si="2"/>
        <v>A</v>
      </c>
    </row>
    <row r="289">
      <c r="A289" s="2">
        <v>288.0</v>
      </c>
      <c r="B289" s="2">
        <v>21165.0</v>
      </c>
      <c r="C289" s="2" t="s">
        <v>395</v>
      </c>
      <c r="D289" s="2">
        <v>1.69</v>
      </c>
      <c r="E289" s="2">
        <v>4664.0</v>
      </c>
      <c r="F289" s="2">
        <v>7558.94</v>
      </c>
      <c r="G289" s="4">
        <f t="shared" si="3"/>
        <v>4730806.5</v>
      </c>
      <c r="H289" s="4">
        <f t="shared" si="1"/>
        <v>0.4956621237</v>
      </c>
      <c r="I289" s="4" t="str">
        <f t="shared" si="2"/>
        <v>A</v>
      </c>
    </row>
    <row r="290">
      <c r="A290" s="2">
        <v>289.0</v>
      </c>
      <c r="B290" s="2">
        <v>35970.0</v>
      </c>
      <c r="C290" s="2" t="s">
        <v>396</v>
      </c>
      <c r="D290" s="2">
        <v>1.69</v>
      </c>
      <c r="E290" s="2">
        <v>4185.0</v>
      </c>
      <c r="F290" s="2">
        <v>7532.06</v>
      </c>
      <c r="G290" s="4">
        <f t="shared" si="3"/>
        <v>4738338.56</v>
      </c>
      <c r="H290" s="4">
        <f t="shared" si="1"/>
        <v>0.4964512823</v>
      </c>
      <c r="I290" s="4" t="str">
        <f t="shared" si="2"/>
        <v>A</v>
      </c>
    </row>
    <row r="291">
      <c r="A291" s="2">
        <v>290.0</v>
      </c>
      <c r="B291" s="2">
        <v>22946.0</v>
      </c>
      <c r="C291" s="2" t="s">
        <v>397</v>
      </c>
      <c r="D291" s="2">
        <v>16.95</v>
      </c>
      <c r="E291" s="2">
        <v>488.0</v>
      </c>
      <c r="F291" s="2">
        <v>7530.28</v>
      </c>
      <c r="G291" s="4">
        <f t="shared" si="3"/>
        <v>4745868.84</v>
      </c>
      <c r="H291" s="4">
        <f t="shared" si="1"/>
        <v>0.4972402545</v>
      </c>
      <c r="I291" s="4" t="str">
        <f t="shared" si="2"/>
        <v>A</v>
      </c>
    </row>
    <row r="292">
      <c r="A292" s="2">
        <v>291.0</v>
      </c>
      <c r="B292" s="2">
        <v>22173.0</v>
      </c>
      <c r="C292" s="2" t="s">
        <v>398</v>
      </c>
      <c r="D292" s="2">
        <v>2.95</v>
      </c>
      <c r="E292" s="2">
        <v>2445.0</v>
      </c>
      <c r="F292" s="2">
        <v>7521.35</v>
      </c>
      <c r="G292" s="4">
        <f t="shared" si="3"/>
        <v>4753390.19</v>
      </c>
      <c r="H292" s="4">
        <f t="shared" si="1"/>
        <v>0.498028291</v>
      </c>
      <c r="I292" s="4" t="str">
        <f t="shared" si="2"/>
        <v>A</v>
      </c>
    </row>
    <row r="293">
      <c r="A293" s="2">
        <v>292.0</v>
      </c>
      <c r="B293" s="2">
        <v>22909.0</v>
      </c>
      <c r="C293" s="2" t="s">
        <v>399</v>
      </c>
      <c r="D293" s="2">
        <v>0.85</v>
      </c>
      <c r="E293" s="2">
        <v>8361.0</v>
      </c>
      <c r="F293" s="2">
        <v>7491.2</v>
      </c>
      <c r="G293" s="4">
        <f t="shared" si="3"/>
        <v>4760881.39</v>
      </c>
      <c r="H293" s="4">
        <f t="shared" si="1"/>
        <v>0.4988131686</v>
      </c>
      <c r="I293" s="4" t="str">
        <f t="shared" si="2"/>
        <v>A</v>
      </c>
    </row>
    <row r="294">
      <c r="A294" s="2">
        <v>293.0</v>
      </c>
      <c r="B294" s="2">
        <v>21094.0</v>
      </c>
      <c r="C294" s="2" t="s">
        <v>400</v>
      </c>
      <c r="D294" s="2">
        <v>0.85</v>
      </c>
      <c r="E294" s="2">
        <v>9529.0</v>
      </c>
      <c r="F294" s="2">
        <v>7483.12</v>
      </c>
      <c r="G294" s="4">
        <f t="shared" si="3"/>
        <v>4768364.51</v>
      </c>
      <c r="H294" s="4">
        <f t="shared" si="1"/>
        <v>0.4995971996</v>
      </c>
      <c r="I294" s="4" t="str">
        <f t="shared" si="2"/>
        <v>A</v>
      </c>
    </row>
    <row r="295">
      <c r="A295" s="2">
        <v>294.0</v>
      </c>
      <c r="B295" s="2">
        <v>22333.0</v>
      </c>
      <c r="C295" s="2" t="s">
        <v>401</v>
      </c>
      <c r="D295" s="2">
        <v>1.65</v>
      </c>
      <c r="E295" s="2">
        <v>4778.0</v>
      </c>
      <c r="F295" s="2">
        <v>7472.8</v>
      </c>
      <c r="G295" s="4">
        <f t="shared" si="3"/>
        <v>4775837.31</v>
      </c>
      <c r="H295" s="4">
        <f t="shared" si="1"/>
        <v>0.5003801494</v>
      </c>
      <c r="I295" s="4" t="str">
        <f t="shared" si="2"/>
        <v>A</v>
      </c>
    </row>
    <row r="296">
      <c r="A296" s="2">
        <v>295.0</v>
      </c>
      <c r="B296" s="2">
        <v>82582.0</v>
      </c>
      <c r="C296" s="2" t="s">
        <v>402</v>
      </c>
      <c r="D296" s="2">
        <v>2.1</v>
      </c>
      <c r="E296" s="2">
        <v>3692.0</v>
      </c>
      <c r="F296" s="2">
        <v>7470.5</v>
      </c>
      <c r="G296" s="4">
        <f t="shared" si="3"/>
        <v>4783307.81</v>
      </c>
      <c r="H296" s="4">
        <f t="shared" si="1"/>
        <v>0.5011628582</v>
      </c>
      <c r="I296" s="4" t="str">
        <f t="shared" si="2"/>
        <v>A</v>
      </c>
    </row>
    <row r="297">
      <c r="A297" s="2">
        <v>296.0</v>
      </c>
      <c r="B297" s="2">
        <v>21122.0</v>
      </c>
      <c r="C297" s="2" t="s">
        <v>403</v>
      </c>
      <c r="D297" s="2">
        <v>1.25</v>
      </c>
      <c r="E297" s="2">
        <v>6138.0</v>
      </c>
      <c r="F297" s="2">
        <v>7464.26</v>
      </c>
      <c r="G297" s="4">
        <f t="shared" si="3"/>
        <v>4790772.07</v>
      </c>
      <c r="H297" s="4">
        <f t="shared" si="1"/>
        <v>0.5019449132</v>
      </c>
      <c r="I297" s="4" t="str">
        <f t="shared" si="2"/>
        <v>A</v>
      </c>
    </row>
    <row r="298">
      <c r="A298" s="2">
        <v>297.0</v>
      </c>
      <c r="B298" s="2">
        <v>21877.0</v>
      </c>
      <c r="C298" s="2" t="s">
        <v>404</v>
      </c>
      <c r="D298" s="2">
        <v>1.25</v>
      </c>
      <c r="E298" s="2">
        <v>6534.0</v>
      </c>
      <c r="F298" s="2">
        <v>7453.24</v>
      </c>
      <c r="G298" s="4">
        <f t="shared" si="3"/>
        <v>4798225.31</v>
      </c>
      <c r="H298" s="4">
        <f t="shared" si="1"/>
        <v>0.5027258137</v>
      </c>
      <c r="I298" s="4" t="str">
        <f t="shared" si="2"/>
        <v>A</v>
      </c>
    </row>
    <row r="299">
      <c r="A299" s="2">
        <v>298.0</v>
      </c>
      <c r="B299" s="2">
        <v>22730.0</v>
      </c>
      <c r="C299" s="2" t="s">
        <v>405</v>
      </c>
      <c r="D299" s="2">
        <v>3.75</v>
      </c>
      <c r="E299" s="2">
        <v>1842.0</v>
      </c>
      <c r="F299" s="2">
        <v>7401.76</v>
      </c>
      <c r="G299" s="4">
        <f t="shared" si="3"/>
        <v>4805627.07</v>
      </c>
      <c r="H299" s="4">
        <f t="shared" si="1"/>
        <v>0.5035013203</v>
      </c>
      <c r="I299" s="4" t="str">
        <f t="shared" si="2"/>
        <v>A</v>
      </c>
    </row>
    <row r="300">
      <c r="A300" s="2">
        <v>299.0</v>
      </c>
      <c r="B300" s="2">
        <v>17003.0</v>
      </c>
      <c r="C300" s="2" t="s">
        <v>406</v>
      </c>
      <c r="D300" s="2">
        <v>0.29</v>
      </c>
      <c r="E300" s="2">
        <v>34834.0</v>
      </c>
      <c r="F300" s="2">
        <v>7311.15</v>
      </c>
      <c r="G300" s="4">
        <f t="shared" si="3"/>
        <v>4812938.22</v>
      </c>
      <c r="H300" s="4">
        <f t="shared" si="1"/>
        <v>0.5042673335</v>
      </c>
      <c r="I300" s="4" t="str">
        <f t="shared" si="2"/>
        <v>A</v>
      </c>
    </row>
    <row r="301">
      <c r="A301" s="2">
        <v>300.0</v>
      </c>
      <c r="B301" s="2">
        <v>21770.0</v>
      </c>
      <c r="C301" s="2" t="s">
        <v>407</v>
      </c>
      <c r="D301" s="2">
        <v>4.95</v>
      </c>
      <c r="E301" s="2">
        <v>1474.0</v>
      </c>
      <c r="F301" s="2">
        <v>7309.83</v>
      </c>
      <c r="G301" s="4">
        <f t="shared" si="3"/>
        <v>4820248.05</v>
      </c>
      <c r="H301" s="4">
        <f t="shared" si="1"/>
        <v>0.5050332084</v>
      </c>
      <c r="I301" s="4" t="str">
        <f t="shared" si="2"/>
        <v>A</v>
      </c>
    </row>
    <row r="302">
      <c r="A302" s="2">
        <v>301.0</v>
      </c>
      <c r="B302" s="2">
        <v>22606.0</v>
      </c>
      <c r="C302" s="2" t="s">
        <v>408</v>
      </c>
      <c r="D302" s="2">
        <v>15.95</v>
      </c>
      <c r="E302" s="2">
        <v>524.0</v>
      </c>
      <c r="F302" s="2">
        <v>7307.07</v>
      </c>
      <c r="G302" s="4">
        <f t="shared" si="3"/>
        <v>4827555.12</v>
      </c>
      <c r="H302" s="4">
        <f t="shared" si="1"/>
        <v>0.5057987941</v>
      </c>
      <c r="I302" s="4" t="str">
        <f t="shared" si="2"/>
        <v>A</v>
      </c>
    </row>
    <row r="303">
      <c r="A303" s="2">
        <v>302.0</v>
      </c>
      <c r="B303" s="2">
        <v>22485.0</v>
      </c>
      <c r="C303" s="2" t="s">
        <v>409</v>
      </c>
      <c r="D303" s="2">
        <v>12.75</v>
      </c>
      <c r="E303" s="2">
        <v>547.0</v>
      </c>
      <c r="F303" s="2">
        <v>7294.3</v>
      </c>
      <c r="G303" s="4">
        <f t="shared" si="3"/>
        <v>4834849.42</v>
      </c>
      <c r="H303" s="4">
        <f t="shared" si="1"/>
        <v>0.5065630419</v>
      </c>
      <c r="I303" s="4" t="str">
        <f t="shared" si="2"/>
        <v>A</v>
      </c>
    </row>
    <row r="304">
      <c r="A304" s="2">
        <v>303.0</v>
      </c>
      <c r="B304" s="2">
        <v>84050.0</v>
      </c>
      <c r="C304" s="2" t="s">
        <v>410</v>
      </c>
      <c r="D304" s="2">
        <v>1.65</v>
      </c>
      <c r="E304" s="2">
        <v>4924.0</v>
      </c>
      <c r="F304" s="2">
        <v>7259.2</v>
      </c>
      <c r="G304" s="4">
        <f t="shared" si="3"/>
        <v>4842108.62</v>
      </c>
      <c r="H304" s="4">
        <f t="shared" si="1"/>
        <v>0.5073236121</v>
      </c>
      <c r="I304" s="4" t="str">
        <f t="shared" si="2"/>
        <v>A</v>
      </c>
    </row>
    <row r="305">
      <c r="A305" s="2">
        <v>304.0</v>
      </c>
      <c r="B305" s="2">
        <v>21912.0</v>
      </c>
      <c r="C305" s="2" t="s">
        <v>411</v>
      </c>
      <c r="D305" s="2">
        <v>3.75</v>
      </c>
      <c r="E305" s="2">
        <v>1836.0</v>
      </c>
      <c r="F305" s="2">
        <v>7207.54</v>
      </c>
      <c r="G305" s="4">
        <f t="shared" si="3"/>
        <v>4849316.16</v>
      </c>
      <c r="H305" s="4">
        <f t="shared" si="1"/>
        <v>0.5080787697</v>
      </c>
      <c r="I305" s="4" t="str">
        <f t="shared" si="2"/>
        <v>A</v>
      </c>
    </row>
    <row r="306">
      <c r="A306" s="2">
        <v>305.0</v>
      </c>
      <c r="B306" s="2">
        <v>21672.0</v>
      </c>
      <c r="C306" s="2" t="s">
        <v>412</v>
      </c>
      <c r="D306" s="2">
        <v>1.25</v>
      </c>
      <c r="E306" s="2">
        <v>5560.0</v>
      </c>
      <c r="F306" s="2">
        <v>7206.76</v>
      </c>
      <c r="G306" s="4">
        <f t="shared" si="3"/>
        <v>4856522.92</v>
      </c>
      <c r="H306" s="4">
        <f t="shared" si="1"/>
        <v>0.5088338456</v>
      </c>
      <c r="I306" s="4" t="str">
        <f t="shared" si="2"/>
        <v>A</v>
      </c>
    </row>
    <row r="307">
      <c r="A307" s="2">
        <v>306.0</v>
      </c>
      <c r="B307" s="2">
        <v>22179.0</v>
      </c>
      <c r="C307" s="2" t="s">
        <v>413</v>
      </c>
      <c r="D307" s="2">
        <v>6.75</v>
      </c>
      <c r="E307" s="2">
        <v>1008.0</v>
      </c>
      <c r="F307" s="2">
        <v>7189.06</v>
      </c>
      <c r="G307" s="4">
        <f t="shared" si="3"/>
        <v>4863711.98</v>
      </c>
      <c r="H307" s="4">
        <f t="shared" si="1"/>
        <v>0.509587067</v>
      </c>
      <c r="I307" s="4" t="str">
        <f t="shared" si="2"/>
        <v>A</v>
      </c>
    </row>
    <row r="308">
      <c r="A308" s="2">
        <v>307.0</v>
      </c>
      <c r="B308" s="2">
        <v>20748.0</v>
      </c>
      <c r="C308" s="2" t="s">
        <v>414</v>
      </c>
      <c r="D308" s="2">
        <v>12.75</v>
      </c>
      <c r="E308" s="2">
        <v>800.0</v>
      </c>
      <c r="F308" s="2">
        <v>7133.49</v>
      </c>
      <c r="G308" s="4">
        <f t="shared" si="3"/>
        <v>4870845.47</v>
      </c>
      <c r="H308" s="4">
        <f t="shared" si="1"/>
        <v>0.5103344662</v>
      </c>
      <c r="I308" s="4" t="str">
        <f t="shared" si="2"/>
        <v>A</v>
      </c>
    </row>
    <row r="309">
      <c r="A309" s="2">
        <v>308.0</v>
      </c>
      <c r="B309" s="2">
        <v>21169.0</v>
      </c>
      <c r="C309" s="2" t="s">
        <v>415</v>
      </c>
      <c r="D309" s="2">
        <v>1.69</v>
      </c>
      <c r="E309" s="2">
        <v>4424.0</v>
      </c>
      <c r="F309" s="2">
        <v>7124.54</v>
      </c>
      <c r="G309" s="4">
        <f t="shared" si="3"/>
        <v>4877970.01</v>
      </c>
      <c r="H309" s="4">
        <f t="shared" si="1"/>
        <v>0.5110809276</v>
      </c>
      <c r="I309" s="4" t="str">
        <f t="shared" si="2"/>
        <v>A</v>
      </c>
    </row>
    <row r="310">
      <c r="A310" s="2">
        <v>309.0</v>
      </c>
      <c r="B310" s="2">
        <v>22295.0</v>
      </c>
      <c r="C310" s="2" t="s">
        <v>416</v>
      </c>
      <c r="D310" s="2">
        <v>1.65</v>
      </c>
      <c r="E310" s="2">
        <v>4284.0</v>
      </c>
      <c r="F310" s="2">
        <v>7065.47</v>
      </c>
      <c r="G310" s="4">
        <f t="shared" si="3"/>
        <v>4885035.48</v>
      </c>
      <c r="H310" s="4">
        <f t="shared" si="1"/>
        <v>0.5118212001</v>
      </c>
      <c r="I310" s="4" t="str">
        <f t="shared" si="2"/>
        <v>A</v>
      </c>
    </row>
    <row r="311">
      <c r="A311" s="2">
        <v>310.0</v>
      </c>
      <c r="B311" s="2">
        <v>22627.0</v>
      </c>
      <c r="C311" s="2" t="s">
        <v>417</v>
      </c>
      <c r="D311" s="2">
        <v>8.5</v>
      </c>
      <c r="E311" s="2">
        <v>800.0</v>
      </c>
      <c r="F311" s="2">
        <v>7008.4</v>
      </c>
      <c r="G311" s="4">
        <f t="shared" si="3"/>
        <v>4892043.88</v>
      </c>
      <c r="H311" s="4">
        <f t="shared" si="1"/>
        <v>0.5125554932</v>
      </c>
      <c r="I311" s="4" t="str">
        <f t="shared" si="2"/>
        <v>A</v>
      </c>
    </row>
    <row r="312">
      <c r="A312" s="2">
        <v>311.0</v>
      </c>
      <c r="B312" s="2" t="s">
        <v>418</v>
      </c>
      <c r="C312" s="2" t="s">
        <v>419</v>
      </c>
      <c r="D312" s="2">
        <v>4.95</v>
      </c>
      <c r="E312" s="2">
        <v>1398.0</v>
      </c>
      <c r="F312" s="2">
        <v>7007.92</v>
      </c>
      <c r="G312" s="4">
        <f t="shared" si="3"/>
        <v>4899051.8</v>
      </c>
      <c r="H312" s="4">
        <f t="shared" si="1"/>
        <v>0.5132897359</v>
      </c>
      <c r="I312" s="4" t="str">
        <f t="shared" si="2"/>
        <v>A</v>
      </c>
    </row>
    <row r="313">
      <c r="A313" s="2">
        <v>312.0</v>
      </c>
      <c r="B313" s="2">
        <v>23200.0</v>
      </c>
      <c r="C313" s="2" t="s">
        <v>420</v>
      </c>
      <c r="D313" s="2">
        <v>2.08</v>
      </c>
      <c r="E313" s="2">
        <v>3476.0</v>
      </c>
      <c r="F313" s="2">
        <v>6991.24</v>
      </c>
      <c r="G313" s="4">
        <f t="shared" si="3"/>
        <v>4906043.04</v>
      </c>
      <c r="H313" s="4">
        <f t="shared" si="1"/>
        <v>0.5140222311</v>
      </c>
      <c r="I313" s="4" t="str">
        <f t="shared" si="2"/>
        <v>A</v>
      </c>
    </row>
    <row r="314">
      <c r="A314" s="2">
        <v>313.0</v>
      </c>
      <c r="B314" s="2">
        <v>21668.0</v>
      </c>
      <c r="C314" s="2" t="s">
        <v>421</v>
      </c>
      <c r="D314" s="2">
        <v>1.25</v>
      </c>
      <c r="E314" s="2">
        <v>5202.0</v>
      </c>
      <c r="F314" s="2">
        <v>6986.26</v>
      </c>
      <c r="G314" s="4">
        <f t="shared" si="3"/>
        <v>4913029.3</v>
      </c>
      <c r="H314" s="4">
        <f t="shared" si="1"/>
        <v>0.5147542045</v>
      </c>
      <c r="I314" s="4" t="str">
        <f t="shared" si="2"/>
        <v>A</v>
      </c>
    </row>
    <row r="315">
      <c r="A315" s="2">
        <v>314.0</v>
      </c>
      <c r="B315" s="2">
        <v>21257.0</v>
      </c>
      <c r="C315" s="2" t="s">
        <v>422</v>
      </c>
      <c r="D315" s="2">
        <v>7.95</v>
      </c>
      <c r="E315" s="2">
        <v>774.0</v>
      </c>
      <c r="F315" s="2">
        <v>6984.24</v>
      </c>
      <c r="G315" s="4">
        <f t="shared" si="3"/>
        <v>4920013.54</v>
      </c>
      <c r="H315" s="4">
        <f t="shared" si="1"/>
        <v>0.5154859662</v>
      </c>
      <c r="I315" s="4" t="str">
        <f t="shared" si="2"/>
        <v>A</v>
      </c>
    </row>
    <row r="316">
      <c r="A316" s="2">
        <v>315.0</v>
      </c>
      <c r="B316" s="2">
        <v>21259.0</v>
      </c>
      <c r="C316" s="2" t="s">
        <v>423</v>
      </c>
      <c r="D316" s="2">
        <v>5.95</v>
      </c>
      <c r="E316" s="2">
        <v>1154.0</v>
      </c>
      <c r="F316" s="2">
        <v>6963.61</v>
      </c>
      <c r="G316" s="4">
        <f t="shared" si="3"/>
        <v>4926977.15</v>
      </c>
      <c r="H316" s="4">
        <f t="shared" si="1"/>
        <v>0.5162155665</v>
      </c>
      <c r="I316" s="4" t="str">
        <f t="shared" si="2"/>
        <v>A</v>
      </c>
    </row>
    <row r="317">
      <c r="A317" s="2">
        <v>316.0</v>
      </c>
      <c r="B317" s="2">
        <v>21669.0</v>
      </c>
      <c r="C317" s="2" t="s">
        <v>424</v>
      </c>
      <c r="D317" s="2">
        <v>1.25</v>
      </c>
      <c r="E317" s="2">
        <v>5306.0</v>
      </c>
      <c r="F317" s="2">
        <v>6939.62</v>
      </c>
      <c r="G317" s="4">
        <f t="shared" si="3"/>
        <v>4933916.77</v>
      </c>
      <c r="H317" s="4">
        <f t="shared" si="1"/>
        <v>0.5169426533</v>
      </c>
      <c r="I317" s="4" t="str">
        <f t="shared" si="2"/>
        <v>A</v>
      </c>
    </row>
    <row r="318">
      <c r="A318" s="2">
        <v>317.0</v>
      </c>
      <c r="B318" s="2">
        <v>35400.0</v>
      </c>
      <c r="C318" s="2" t="s">
        <v>425</v>
      </c>
      <c r="D318" s="2">
        <v>8.95</v>
      </c>
      <c r="E318" s="2">
        <v>710.0</v>
      </c>
      <c r="F318" s="2">
        <v>6927.95</v>
      </c>
      <c r="G318" s="4">
        <f t="shared" si="3"/>
        <v>4940844.72</v>
      </c>
      <c r="H318" s="4">
        <f t="shared" si="1"/>
        <v>0.5176685173</v>
      </c>
      <c r="I318" s="4" t="str">
        <f t="shared" si="2"/>
        <v>A</v>
      </c>
    </row>
    <row r="319">
      <c r="A319" s="2">
        <v>318.0</v>
      </c>
      <c r="B319" s="2">
        <v>84380.0</v>
      </c>
      <c r="C319" s="2" t="s">
        <v>426</v>
      </c>
      <c r="D319" s="2">
        <v>1.25</v>
      </c>
      <c r="E319" s="2">
        <v>5102.0</v>
      </c>
      <c r="F319" s="2">
        <v>6927.05</v>
      </c>
      <c r="G319" s="4">
        <f t="shared" si="3"/>
        <v>4947771.77</v>
      </c>
      <c r="H319" s="4">
        <f t="shared" si="1"/>
        <v>0.5183942871</v>
      </c>
      <c r="I319" s="4" t="str">
        <f t="shared" si="2"/>
        <v>A</v>
      </c>
    </row>
    <row r="320">
      <c r="A320" s="2">
        <v>319.0</v>
      </c>
      <c r="B320" s="2">
        <v>22444.0</v>
      </c>
      <c r="C320" s="2" t="s">
        <v>427</v>
      </c>
      <c r="D320" s="2">
        <v>1.25</v>
      </c>
      <c r="E320" s="2">
        <v>5032.0</v>
      </c>
      <c r="F320" s="2">
        <v>6885.18</v>
      </c>
      <c r="G320" s="4">
        <f t="shared" si="3"/>
        <v>4954656.95</v>
      </c>
      <c r="H320" s="4">
        <f t="shared" si="1"/>
        <v>0.51911567</v>
      </c>
      <c r="I320" s="4" t="str">
        <f t="shared" si="2"/>
        <v>A</v>
      </c>
    </row>
    <row r="321">
      <c r="A321" s="2">
        <v>320.0</v>
      </c>
      <c r="B321" s="2">
        <v>22621.0</v>
      </c>
      <c r="C321" s="2" t="s">
        <v>428</v>
      </c>
      <c r="D321" s="2">
        <v>1.65</v>
      </c>
      <c r="E321" s="2">
        <v>4338.0</v>
      </c>
      <c r="F321" s="2">
        <v>6861.63</v>
      </c>
      <c r="G321" s="4">
        <f t="shared" si="3"/>
        <v>4961518.58</v>
      </c>
      <c r="H321" s="4">
        <f t="shared" si="1"/>
        <v>0.5198345855</v>
      </c>
      <c r="I321" s="4" t="str">
        <f t="shared" si="2"/>
        <v>A</v>
      </c>
    </row>
    <row r="322">
      <c r="A322" s="2">
        <v>321.0</v>
      </c>
      <c r="B322" s="2">
        <v>23077.0</v>
      </c>
      <c r="C322" s="2" t="s">
        <v>429</v>
      </c>
      <c r="D322" s="2">
        <v>1.25</v>
      </c>
      <c r="E322" s="2">
        <v>5178.0</v>
      </c>
      <c r="F322" s="2">
        <v>6822.88</v>
      </c>
      <c r="G322" s="4">
        <f t="shared" si="3"/>
        <v>4968341.46</v>
      </c>
      <c r="H322" s="4">
        <f t="shared" si="1"/>
        <v>0.520549441</v>
      </c>
      <c r="I322" s="4" t="str">
        <f t="shared" si="2"/>
        <v>A</v>
      </c>
    </row>
    <row r="323">
      <c r="A323" s="2">
        <v>322.0</v>
      </c>
      <c r="B323" s="2">
        <v>21539.0</v>
      </c>
      <c r="C323" s="2" t="s">
        <v>430</v>
      </c>
      <c r="D323" s="2">
        <v>4.95</v>
      </c>
      <c r="E323" s="2">
        <v>1366.0</v>
      </c>
      <c r="F323" s="2">
        <v>6798.1</v>
      </c>
      <c r="G323" s="4">
        <f t="shared" si="3"/>
        <v>4975139.56</v>
      </c>
      <c r="H323" s="4">
        <f t="shared" si="1"/>
        <v>0.5212617003</v>
      </c>
      <c r="I323" s="4" t="str">
        <f t="shared" si="2"/>
        <v>A</v>
      </c>
    </row>
    <row r="324">
      <c r="A324" s="2">
        <v>323.0</v>
      </c>
      <c r="B324" s="2">
        <v>22109.0</v>
      </c>
      <c r="C324" s="2" t="s">
        <v>431</v>
      </c>
      <c r="D324" s="2">
        <v>3.75</v>
      </c>
      <c r="E324" s="2">
        <v>1643.0</v>
      </c>
      <c r="F324" s="2">
        <v>6786.2</v>
      </c>
      <c r="G324" s="4">
        <f t="shared" si="3"/>
        <v>4981925.76</v>
      </c>
      <c r="H324" s="4">
        <f t="shared" si="1"/>
        <v>0.5219727127</v>
      </c>
      <c r="I324" s="4" t="str">
        <f t="shared" si="2"/>
        <v>A</v>
      </c>
    </row>
    <row r="325">
      <c r="A325" s="2">
        <v>324.0</v>
      </c>
      <c r="B325" s="2">
        <v>21888.0</v>
      </c>
      <c r="C325" s="2" t="s">
        <v>432</v>
      </c>
      <c r="D325" s="2">
        <v>3.75</v>
      </c>
      <c r="E325" s="2">
        <v>1721.0</v>
      </c>
      <c r="F325" s="2">
        <v>6784.84</v>
      </c>
      <c r="G325" s="4">
        <f t="shared" si="3"/>
        <v>4988710.6</v>
      </c>
      <c r="H325" s="4">
        <f t="shared" si="1"/>
        <v>0.5226835827</v>
      </c>
      <c r="I325" s="4" t="str">
        <f t="shared" si="2"/>
        <v>A</v>
      </c>
    </row>
    <row r="326">
      <c r="A326" s="2">
        <v>325.0</v>
      </c>
      <c r="B326" s="2">
        <v>21390.0</v>
      </c>
      <c r="C326" s="2" t="s">
        <v>433</v>
      </c>
      <c r="D326" s="2">
        <v>1.25</v>
      </c>
      <c r="E326" s="2">
        <v>5472.0</v>
      </c>
      <c r="F326" s="2">
        <v>6780.86</v>
      </c>
      <c r="G326" s="4">
        <f t="shared" si="3"/>
        <v>4995491.46</v>
      </c>
      <c r="H326" s="4">
        <f t="shared" si="1"/>
        <v>0.5233940356</v>
      </c>
      <c r="I326" s="4" t="str">
        <f t="shared" si="2"/>
        <v>A</v>
      </c>
    </row>
    <row r="327">
      <c r="A327" s="2">
        <v>326.0</v>
      </c>
      <c r="B327" s="2">
        <v>23343.0</v>
      </c>
      <c r="C327" s="2" t="s">
        <v>434</v>
      </c>
      <c r="D327" s="2">
        <v>2.08</v>
      </c>
      <c r="E327" s="2">
        <v>2910.0</v>
      </c>
      <c r="F327" s="2">
        <v>6748.08</v>
      </c>
      <c r="G327" s="4">
        <f t="shared" si="3"/>
        <v>5002239.54</v>
      </c>
      <c r="H327" s="4">
        <f t="shared" si="1"/>
        <v>0.5241010541</v>
      </c>
      <c r="I327" s="4" t="str">
        <f t="shared" si="2"/>
        <v>A</v>
      </c>
    </row>
    <row r="328">
      <c r="A328" s="2">
        <v>327.0</v>
      </c>
      <c r="B328" s="2">
        <v>23356.0</v>
      </c>
      <c r="C328" s="2" t="s">
        <v>435</v>
      </c>
      <c r="D328" s="2">
        <v>5.95</v>
      </c>
      <c r="E328" s="2">
        <v>1190.0</v>
      </c>
      <c r="F328" s="2">
        <v>6732.61</v>
      </c>
      <c r="G328" s="4">
        <f t="shared" si="3"/>
        <v>5008972.15</v>
      </c>
      <c r="H328" s="4">
        <f t="shared" si="1"/>
        <v>0.5248064518</v>
      </c>
      <c r="I328" s="4" t="str">
        <f t="shared" si="2"/>
        <v>A</v>
      </c>
    </row>
    <row r="329">
      <c r="A329" s="2">
        <v>328.0</v>
      </c>
      <c r="B329" s="2">
        <v>22636.0</v>
      </c>
      <c r="C329" s="2" t="s">
        <v>436</v>
      </c>
      <c r="D329" s="2">
        <v>8.5</v>
      </c>
      <c r="E329" s="2">
        <v>806.0</v>
      </c>
      <c r="F329" s="2">
        <v>6697.26</v>
      </c>
      <c r="G329" s="4">
        <f t="shared" si="3"/>
        <v>5015669.41</v>
      </c>
      <c r="H329" s="4">
        <f t="shared" si="1"/>
        <v>0.5255081457</v>
      </c>
      <c r="I329" s="4" t="str">
        <f t="shared" si="2"/>
        <v>A</v>
      </c>
    </row>
    <row r="330">
      <c r="A330" s="2">
        <v>329.0</v>
      </c>
      <c r="B330" s="2">
        <v>22667.0</v>
      </c>
      <c r="C330" s="2" t="s">
        <v>437</v>
      </c>
      <c r="D330" s="2">
        <v>2.95</v>
      </c>
      <c r="E330" s="2">
        <v>2388.0</v>
      </c>
      <c r="F330" s="2">
        <v>6694.72</v>
      </c>
      <c r="G330" s="4">
        <f t="shared" si="3"/>
        <v>5022364.13</v>
      </c>
      <c r="H330" s="4">
        <f t="shared" si="1"/>
        <v>0.5262095735</v>
      </c>
      <c r="I330" s="4" t="str">
        <f t="shared" si="2"/>
        <v>A</v>
      </c>
    </row>
    <row r="331">
      <c r="A331" s="2">
        <v>330.0</v>
      </c>
      <c r="B331" s="2">
        <v>23207.0</v>
      </c>
      <c r="C331" s="2" t="s">
        <v>438</v>
      </c>
      <c r="D331" s="2">
        <v>1.65</v>
      </c>
      <c r="E331" s="2">
        <v>3909.0</v>
      </c>
      <c r="F331" s="2">
        <v>6652.88</v>
      </c>
      <c r="G331" s="4">
        <f t="shared" si="3"/>
        <v>5029017.01</v>
      </c>
      <c r="H331" s="4">
        <f t="shared" si="1"/>
        <v>0.5269066175</v>
      </c>
      <c r="I331" s="4" t="str">
        <f t="shared" si="2"/>
        <v>A</v>
      </c>
    </row>
    <row r="332">
      <c r="A332" s="2">
        <v>331.0</v>
      </c>
      <c r="B332" s="2" t="s">
        <v>439</v>
      </c>
      <c r="C332" s="2" t="s">
        <v>440</v>
      </c>
      <c r="D332" s="2">
        <v>2.95</v>
      </c>
      <c r="E332" s="2">
        <v>2523.0</v>
      </c>
      <c r="F332" s="2">
        <v>6645.68</v>
      </c>
      <c r="G332" s="4">
        <f t="shared" si="3"/>
        <v>5035662.69</v>
      </c>
      <c r="H332" s="4">
        <f t="shared" si="1"/>
        <v>0.5276029072</v>
      </c>
      <c r="I332" s="4" t="str">
        <f t="shared" si="2"/>
        <v>A</v>
      </c>
    </row>
    <row r="333">
      <c r="A333" s="2">
        <v>332.0</v>
      </c>
      <c r="B333" s="2">
        <v>22150.0</v>
      </c>
      <c r="C333" s="2" t="s">
        <v>441</v>
      </c>
      <c r="D333" s="2">
        <v>1.95</v>
      </c>
      <c r="E333" s="2">
        <v>3540.0</v>
      </c>
      <c r="F333" s="2">
        <v>6638.18</v>
      </c>
      <c r="G333" s="4">
        <f t="shared" si="3"/>
        <v>5042300.87</v>
      </c>
      <c r="H333" s="4">
        <f t="shared" si="1"/>
        <v>0.5282984111</v>
      </c>
      <c r="I333" s="4" t="str">
        <f t="shared" si="2"/>
        <v>A</v>
      </c>
    </row>
    <row r="334">
      <c r="A334" s="2">
        <v>333.0</v>
      </c>
      <c r="B334" s="2">
        <v>23328.0</v>
      </c>
      <c r="C334" s="2" t="s">
        <v>442</v>
      </c>
      <c r="D334" s="2">
        <v>3.75</v>
      </c>
      <c r="E334" s="2">
        <v>1420.0</v>
      </c>
      <c r="F334" s="2">
        <v>6634.74</v>
      </c>
      <c r="G334" s="4">
        <f t="shared" si="3"/>
        <v>5048935.61</v>
      </c>
      <c r="H334" s="4">
        <f t="shared" si="1"/>
        <v>0.5289935546</v>
      </c>
      <c r="I334" s="4" t="str">
        <f t="shared" si="2"/>
        <v>A</v>
      </c>
    </row>
    <row r="335">
      <c r="A335" s="2">
        <v>334.0</v>
      </c>
      <c r="B335" s="2">
        <v>21673.0</v>
      </c>
      <c r="C335" s="2" t="s">
        <v>443</v>
      </c>
      <c r="D335" s="2">
        <v>1.25</v>
      </c>
      <c r="E335" s="2">
        <v>5020.0</v>
      </c>
      <c r="F335" s="2">
        <v>6630.22</v>
      </c>
      <c r="G335" s="4">
        <f t="shared" si="3"/>
        <v>5055565.83</v>
      </c>
      <c r="H335" s="4">
        <f t="shared" si="1"/>
        <v>0.5296882245</v>
      </c>
      <c r="I335" s="4" t="str">
        <f t="shared" si="2"/>
        <v>A</v>
      </c>
    </row>
    <row r="336">
      <c r="A336" s="2">
        <v>335.0</v>
      </c>
      <c r="B336" s="2" t="s">
        <v>444</v>
      </c>
      <c r="C336" s="2" t="s">
        <v>445</v>
      </c>
      <c r="D336" s="2">
        <v>2.95</v>
      </c>
      <c r="E336" s="2">
        <v>2485.0</v>
      </c>
      <c r="F336" s="2">
        <v>6614.28</v>
      </c>
      <c r="G336" s="4">
        <f t="shared" si="3"/>
        <v>5062180.11</v>
      </c>
      <c r="H336" s="4">
        <f t="shared" si="1"/>
        <v>0.5303812244</v>
      </c>
      <c r="I336" s="4" t="str">
        <f t="shared" si="2"/>
        <v>A</v>
      </c>
    </row>
    <row r="337">
      <c r="A337" s="2">
        <v>336.0</v>
      </c>
      <c r="B337" s="2">
        <v>21098.0</v>
      </c>
      <c r="C337" s="2" t="s">
        <v>446</v>
      </c>
      <c r="D337" s="2">
        <v>1.25</v>
      </c>
      <c r="E337" s="2">
        <v>4246.0</v>
      </c>
      <c r="F337" s="2">
        <v>6611.3</v>
      </c>
      <c r="G337" s="4">
        <f t="shared" si="3"/>
        <v>5068791.41</v>
      </c>
      <c r="H337" s="4">
        <f t="shared" si="1"/>
        <v>0.531073912</v>
      </c>
      <c r="I337" s="4" t="str">
        <f t="shared" si="2"/>
        <v>A</v>
      </c>
    </row>
    <row r="338">
      <c r="A338" s="2">
        <v>337.0</v>
      </c>
      <c r="B338" s="2">
        <v>22236.0</v>
      </c>
      <c r="C338" s="2" t="s">
        <v>447</v>
      </c>
      <c r="D338" s="2">
        <v>12.75</v>
      </c>
      <c r="E338" s="2">
        <v>529.0</v>
      </c>
      <c r="F338" s="2">
        <v>6586.08</v>
      </c>
      <c r="G338" s="4">
        <f t="shared" si="3"/>
        <v>5075377.49</v>
      </c>
      <c r="H338" s="4">
        <f t="shared" si="1"/>
        <v>0.5317639572</v>
      </c>
      <c r="I338" s="4" t="str">
        <f t="shared" si="2"/>
        <v>A</v>
      </c>
    </row>
    <row r="339">
      <c r="A339" s="2">
        <v>338.0</v>
      </c>
      <c r="B339" s="2">
        <v>22271.0</v>
      </c>
      <c r="C339" s="2" t="s">
        <v>448</v>
      </c>
      <c r="D339" s="2">
        <v>2.95</v>
      </c>
      <c r="E339" s="2">
        <v>2296.0</v>
      </c>
      <c r="F339" s="2">
        <v>6585.52</v>
      </c>
      <c r="G339" s="4">
        <f t="shared" si="3"/>
        <v>5081963.01</v>
      </c>
      <c r="H339" s="4">
        <f t="shared" si="1"/>
        <v>0.5324539437</v>
      </c>
      <c r="I339" s="4" t="str">
        <f t="shared" si="2"/>
        <v>A</v>
      </c>
    </row>
    <row r="340">
      <c r="A340" s="2">
        <v>339.0</v>
      </c>
      <c r="B340" s="2" t="s">
        <v>449</v>
      </c>
      <c r="C340" s="2" t="s">
        <v>450</v>
      </c>
      <c r="D340" s="2">
        <v>1.25</v>
      </c>
      <c r="E340" s="2">
        <v>6932.0</v>
      </c>
      <c r="F340" s="2">
        <v>6531.1</v>
      </c>
      <c r="G340" s="4">
        <f t="shared" si="3"/>
        <v>5088494.11</v>
      </c>
      <c r="H340" s="4">
        <f t="shared" si="1"/>
        <v>0.5331382285</v>
      </c>
      <c r="I340" s="4" t="str">
        <f t="shared" si="2"/>
        <v>A</v>
      </c>
    </row>
    <row r="341">
      <c r="A341" s="2">
        <v>340.0</v>
      </c>
      <c r="B341" s="2">
        <v>20676.0</v>
      </c>
      <c r="C341" s="2" t="s">
        <v>451</v>
      </c>
      <c r="D341" s="2">
        <v>1.25</v>
      </c>
      <c r="E341" s="2">
        <v>5210.0</v>
      </c>
      <c r="F341" s="2">
        <v>6525.94</v>
      </c>
      <c r="G341" s="4">
        <f t="shared" si="3"/>
        <v>5095020.05</v>
      </c>
      <c r="H341" s="4">
        <f t="shared" si="1"/>
        <v>0.5338219727</v>
      </c>
      <c r="I341" s="4" t="str">
        <f t="shared" si="2"/>
        <v>A</v>
      </c>
    </row>
    <row r="342">
      <c r="A342" s="2">
        <v>341.0</v>
      </c>
      <c r="B342" s="2">
        <v>23108.0</v>
      </c>
      <c r="C342" s="2" t="s">
        <v>452</v>
      </c>
      <c r="D342" s="2">
        <v>6.25</v>
      </c>
      <c r="E342" s="2">
        <v>1084.0</v>
      </c>
      <c r="F342" s="2">
        <v>6525.36</v>
      </c>
      <c r="G342" s="4">
        <f t="shared" si="3"/>
        <v>5101545.41</v>
      </c>
      <c r="H342" s="4">
        <f t="shared" si="1"/>
        <v>0.534505656</v>
      </c>
      <c r="I342" s="4" t="str">
        <f t="shared" si="2"/>
        <v>A</v>
      </c>
    </row>
    <row r="343">
      <c r="A343" s="2">
        <v>342.0</v>
      </c>
      <c r="B343" s="2">
        <v>21380.0</v>
      </c>
      <c r="C343" s="2" t="s">
        <v>453</v>
      </c>
      <c r="D343" s="2">
        <v>2.95</v>
      </c>
      <c r="E343" s="2">
        <v>2232.0</v>
      </c>
      <c r="F343" s="2">
        <v>6519.41</v>
      </c>
      <c r="G343" s="4">
        <f t="shared" si="3"/>
        <v>5108064.82</v>
      </c>
      <c r="H343" s="4">
        <f t="shared" si="1"/>
        <v>0.535188716</v>
      </c>
      <c r="I343" s="4" t="str">
        <f t="shared" si="2"/>
        <v>A</v>
      </c>
    </row>
    <row r="344">
      <c r="A344" s="2">
        <v>343.0</v>
      </c>
      <c r="B344" s="2">
        <v>22553.0</v>
      </c>
      <c r="C344" s="2" t="s">
        <v>454</v>
      </c>
      <c r="D344" s="2">
        <v>1.65</v>
      </c>
      <c r="E344" s="2">
        <v>3896.0</v>
      </c>
      <c r="F344" s="2">
        <v>6504.92</v>
      </c>
      <c r="G344" s="4">
        <f t="shared" si="3"/>
        <v>5114569.74</v>
      </c>
      <c r="H344" s="4">
        <f t="shared" si="1"/>
        <v>0.5358702578</v>
      </c>
      <c r="I344" s="4" t="str">
        <f t="shared" si="2"/>
        <v>A</v>
      </c>
    </row>
    <row r="345">
      <c r="A345" s="2">
        <v>344.0</v>
      </c>
      <c r="B345" s="2">
        <v>22580.0</v>
      </c>
      <c r="C345" s="2" t="s">
        <v>455</v>
      </c>
      <c r="D345" s="2">
        <v>5.95</v>
      </c>
      <c r="E345" s="2">
        <v>1145.0</v>
      </c>
      <c r="F345" s="2">
        <v>6499.34</v>
      </c>
      <c r="G345" s="4">
        <f t="shared" si="3"/>
        <v>5121069.08</v>
      </c>
      <c r="H345" s="4">
        <f t="shared" si="1"/>
        <v>0.536551215</v>
      </c>
      <c r="I345" s="4" t="str">
        <f t="shared" si="2"/>
        <v>A</v>
      </c>
    </row>
    <row r="346">
      <c r="A346" s="2">
        <v>345.0</v>
      </c>
      <c r="B346" s="2">
        <v>22584.0</v>
      </c>
      <c r="C346" s="2" t="s">
        <v>456</v>
      </c>
      <c r="D346" s="2">
        <v>2.55</v>
      </c>
      <c r="E346" s="2">
        <v>2542.0</v>
      </c>
      <c r="F346" s="2">
        <v>6499.06</v>
      </c>
      <c r="G346" s="4">
        <f t="shared" si="3"/>
        <v>5127568.14</v>
      </c>
      <c r="H346" s="4">
        <f t="shared" si="1"/>
        <v>0.5372321429</v>
      </c>
      <c r="I346" s="4" t="str">
        <f t="shared" si="2"/>
        <v>A</v>
      </c>
    </row>
    <row r="347">
      <c r="A347" s="2">
        <v>346.0</v>
      </c>
      <c r="B347" s="2">
        <v>22207.0</v>
      </c>
      <c r="C347" s="2" t="s">
        <v>457</v>
      </c>
      <c r="D347" s="2">
        <v>4.25</v>
      </c>
      <c r="E347" s="2">
        <v>1512.0</v>
      </c>
      <c r="F347" s="2">
        <v>6497.28</v>
      </c>
      <c r="G347" s="4">
        <f t="shared" si="3"/>
        <v>5134065.42</v>
      </c>
      <c r="H347" s="4">
        <f t="shared" si="1"/>
        <v>0.5379128842</v>
      </c>
      <c r="I347" s="4" t="str">
        <f t="shared" si="2"/>
        <v>A</v>
      </c>
    </row>
    <row r="348">
      <c r="A348" s="2">
        <v>347.0</v>
      </c>
      <c r="B348" s="2">
        <v>22846.0</v>
      </c>
      <c r="C348" s="2" t="s">
        <v>458</v>
      </c>
      <c r="D348" s="2">
        <v>16.95</v>
      </c>
      <c r="E348" s="2">
        <v>404.0</v>
      </c>
      <c r="F348" s="2">
        <v>6492.34</v>
      </c>
      <c r="G348" s="4">
        <f t="shared" si="3"/>
        <v>5140557.76</v>
      </c>
      <c r="H348" s="4">
        <f t="shared" si="1"/>
        <v>0.538593108</v>
      </c>
      <c r="I348" s="4" t="str">
        <f t="shared" si="2"/>
        <v>A</v>
      </c>
    </row>
    <row r="349">
      <c r="A349" s="2">
        <v>348.0</v>
      </c>
      <c r="B349" s="2">
        <v>22766.0</v>
      </c>
      <c r="C349" s="2" t="s">
        <v>459</v>
      </c>
      <c r="D349" s="2">
        <v>2.95</v>
      </c>
      <c r="E349" s="2">
        <v>2196.0</v>
      </c>
      <c r="F349" s="2">
        <v>6469.0</v>
      </c>
      <c r="G349" s="4">
        <f t="shared" si="3"/>
        <v>5147026.76</v>
      </c>
      <c r="H349" s="4">
        <f t="shared" si="1"/>
        <v>0.5392708864</v>
      </c>
      <c r="I349" s="4" t="str">
        <f t="shared" si="2"/>
        <v>A</v>
      </c>
    </row>
    <row r="350">
      <c r="A350" s="2">
        <v>349.0</v>
      </c>
      <c r="B350" s="2">
        <v>22088.0</v>
      </c>
      <c r="C350" s="2" t="s">
        <v>460</v>
      </c>
      <c r="D350" s="2">
        <v>2.95</v>
      </c>
      <c r="E350" s="2">
        <v>2173.0</v>
      </c>
      <c r="F350" s="2">
        <v>6468.26</v>
      </c>
      <c r="G350" s="4">
        <f t="shared" si="3"/>
        <v>5153495.02</v>
      </c>
      <c r="H350" s="4">
        <f t="shared" si="1"/>
        <v>0.5399485872</v>
      </c>
      <c r="I350" s="4" t="str">
        <f t="shared" si="2"/>
        <v>A</v>
      </c>
    </row>
    <row r="351">
      <c r="A351" s="2">
        <v>350.0</v>
      </c>
      <c r="B351" s="2">
        <v>21871.0</v>
      </c>
      <c r="C351" s="2" t="s">
        <v>461</v>
      </c>
      <c r="D351" s="2">
        <v>1.25</v>
      </c>
      <c r="E351" s="2">
        <v>5406.0</v>
      </c>
      <c r="F351" s="2">
        <v>6464.83</v>
      </c>
      <c r="G351" s="4">
        <f t="shared" si="3"/>
        <v>5159959.85</v>
      </c>
      <c r="H351" s="4">
        <f t="shared" si="1"/>
        <v>0.5406259286</v>
      </c>
      <c r="I351" s="4" t="str">
        <f t="shared" si="2"/>
        <v>A</v>
      </c>
    </row>
    <row r="352">
      <c r="A352" s="2">
        <v>351.0</v>
      </c>
      <c r="B352" s="2">
        <v>84988.0</v>
      </c>
      <c r="C352" s="2" t="s">
        <v>462</v>
      </c>
      <c r="D352" s="2">
        <v>1.45</v>
      </c>
      <c r="E352" s="2">
        <v>4152.0</v>
      </c>
      <c r="F352" s="2">
        <v>6455.9</v>
      </c>
      <c r="G352" s="4">
        <f t="shared" si="3"/>
        <v>5166415.75</v>
      </c>
      <c r="H352" s="4">
        <f t="shared" si="1"/>
        <v>0.5413023345</v>
      </c>
      <c r="I352" s="4" t="str">
        <f t="shared" si="2"/>
        <v>A</v>
      </c>
    </row>
    <row r="353">
      <c r="A353" s="2">
        <v>352.0</v>
      </c>
      <c r="B353" s="2">
        <v>21935.0</v>
      </c>
      <c r="C353" s="2" t="s">
        <v>463</v>
      </c>
      <c r="D353" s="2">
        <v>1.65</v>
      </c>
      <c r="E353" s="2">
        <v>3498.0</v>
      </c>
      <c r="F353" s="2">
        <v>6453.53</v>
      </c>
      <c r="G353" s="4">
        <f t="shared" si="3"/>
        <v>5172869.28</v>
      </c>
      <c r="H353" s="4">
        <f t="shared" si="1"/>
        <v>0.541978492</v>
      </c>
      <c r="I353" s="4" t="str">
        <f t="shared" si="2"/>
        <v>A</v>
      </c>
    </row>
    <row r="354">
      <c r="A354" s="2">
        <v>353.0</v>
      </c>
      <c r="B354" s="2">
        <v>21906.0</v>
      </c>
      <c r="C354" s="2" t="s">
        <v>464</v>
      </c>
      <c r="D354" s="2">
        <v>6.75</v>
      </c>
      <c r="E354" s="2">
        <v>894.0</v>
      </c>
      <c r="F354" s="2">
        <v>6446.48</v>
      </c>
      <c r="G354" s="4">
        <f t="shared" si="3"/>
        <v>5179315.76</v>
      </c>
      <c r="H354" s="4">
        <f t="shared" si="1"/>
        <v>0.5426539109</v>
      </c>
      <c r="I354" s="4" t="str">
        <f t="shared" si="2"/>
        <v>A</v>
      </c>
    </row>
    <row r="355">
      <c r="A355" s="2">
        <v>354.0</v>
      </c>
      <c r="B355" s="2">
        <v>22804.0</v>
      </c>
      <c r="C355" s="2" t="s">
        <v>465</v>
      </c>
      <c r="D355" s="2">
        <v>2.95</v>
      </c>
      <c r="E355" s="2">
        <v>2392.0</v>
      </c>
      <c r="F355" s="2">
        <v>6428.85</v>
      </c>
      <c r="G355" s="4">
        <f t="shared" si="3"/>
        <v>5185744.61</v>
      </c>
      <c r="H355" s="4">
        <f t="shared" si="1"/>
        <v>0.5433274826</v>
      </c>
      <c r="I355" s="4" t="str">
        <f t="shared" si="2"/>
        <v>A</v>
      </c>
    </row>
    <row r="356">
      <c r="A356" s="2">
        <v>355.0</v>
      </c>
      <c r="B356" s="2">
        <v>22464.0</v>
      </c>
      <c r="C356" s="2" t="s">
        <v>466</v>
      </c>
      <c r="D356" s="2">
        <v>1.65</v>
      </c>
      <c r="E356" s="2">
        <v>3866.0</v>
      </c>
      <c r="F356" s="2">
        <v>6414.98</v>
      </c>
      <c r="G356" s="4">
        <f t="shared" si="3"/>
        <v>5192159.59</v>
      </c>
      <c r="H356" s="4">
        <f t="shared" si="1"/>
        <v>0.5439996011</v>
      </c>
      <c r="I356" s="4" t="str">
        <f t="shared" si="2"/>
        <v>A</v>
      </c>
    </row>
    <row r="357">
      <c r="A357" s="2">
        <v>356.0</v>
      </c>
      <c r="B357" s="2">
        <v>22198.0</v>
      </c>
      <c r="C357" s="2" t="s">
        <v>467</v>
      </c>
      <c r="D357" s="2">
        <v>1.65</v>
      </c>
      <c r="E357" s="2">
        <v>3667.0</v>
      </c>
      <c r="F357" s="2">
        <v>6382.28</v>
      </c>
      <c r="G357" s="4">
        <f t="shared" si="3"/>
        <v>5198541.87</v>
      </c>
      <c r="H357" s="4">
        <f t="shared" si="1"/>
        <v>0.5446682935</v>
      </c>
      <c r="I357" s="4" t="str">
        <f t="shared" si="2"/>
        <v>A</v>
      </c>
    </row>
    <row r="358">
      <c r="A358" s="2">
        <v>357.0</v>
      </c>
      <c r="B358" s="2">
        <v>21704.0</v>
      </c>
      <c r="C358" s="2" t="s">
        <v>468</v>
      </c>
      <c r="D358" s="2">
        <v>0.85</v>
      </c>
      <c r="E358" s="2">
        <v>8242.0</v>
      </c>
      <c r="F358" s="2">
        <v>6366.02</v>
      </c>
      <c r="G358" s="4">
        <f t="shared" si="3"/>
        <v>5204907.89</v>
      </c>
      <c r="H358" s="4">
        <f t="shared" si="1"/>
        <v>0.5453352823</v>
      </c>
      <c r="I358" s="4" t="str">
        <f t="shared" si="2"/>
        <v>A</v>
      </c>
    </row>
    <row r="359">
      <c r="A359" s="2">
        <v>358.0</v>
      </c>
      <c r="B359" s="2">
        <v>22646.0</v>
      </c>
      <c r="C359" s="2" t="s">
        <v>469</v>
      </c>
      <c r="D359" s="2">
        <v>1.45</v>
      </c>
      <c r="E359" s="2">
        <v>4462.0</v>
      </c>
      <c r="F359" s="2">
        <v>6336.05</v>
      </c>
      <c r="G359" s="4">
        <f t="shared" si="3"/>
        <v>5211243.94</v>
      </c>
      <c r="H359" s="4">
        <f t="shared" si="1"/>
        <v>0.5459991311</v>
      </c>
      <c r="I359" s="4" t="str">
        <f t="shared" si="2"/>
        <v>A</v>
      </c>
    </row>
    <row r="360">
      <c r="A360" s="2">
        <v>359.0</v>
      </c>
      <c r="B360" s="2" t="s">
        <v>470</v>
      </c>
      <c r="C360" s="2" t="s">
        <v>471</v>
      </c>
      <c r="D360" s="2">
        <v>6.75</v>
      </c>
      <c r="E360" s="2">
        <v>1038.0</v>
      </c>
      <c r="F360" s="2">
        <v>6295.69</v>
      </c>
      <c r="G360" s="4">
        <f t="shared" si="3"/>
        <v>5217539.63</v>
      </c>
      <c r="H360" s="4">
        <f t="shared" si="1"/>
        <v>0.5466587512</v>
      </c>
      <c r="I360" s="4" t="str">
        <f t="shared" si="2"/>
        <v>A</v>
      </c>
    </row>
    <row r="361">
      <c r="A361" s="2">
        <v>360.0</v>
      </c>
      <c r="B361" s="2">
        <v>22303.0</v>
      </c>
      <c r="C361" s="2" t="s">
        <v>472</v>
      </c>
      <c r="D361" s="2">
        <v>2.55</v>
      </c>
      <c r="E361" s="2">
        <v>2686.0</v>
      </c>
      <c r="F361" s="2">
        <v>6274.76</v>
      </c>
      <c r="G361" s="4">
        <f t="shared" si="3"/>
        <v>5223814.39</v>
      </c>
      <c r="H361" s="4">
        <f t="shared" si="1"/>
        <v>0.5473161784</v>
      </c>
      <c r="I361" s="4" t="str">
        <f t="shared" si="2"/>
        <v>A</v>
      </c>
    </row>
    <row r="362">
      <c r="A362" s="2">
        <v>361.0</v>
      </c>
      <c r="B362" s="2">
        <v>22947.0</v>
      </c>
      <c r="C362" s="2" t="s">
        <v>473</v>
      </c>
      <c r="D362" s="2">
        <v>16.63</v>
      </c>
      <c r="E362" s="2">
        <v>500.0</v>
      </c>
      <c r="F362" s="2">
        <v>6267.32</v>
      </c>
      <c r="G362" s="4">
        <f t="shared" si="3"/>
        <v>5230081.71</v>
      </c>
      <c r="H362" s="4">
        <f t="shared" si="1"/>
        <v>0.5479728261</v>
      </c>
      <c r="I362" s="4" t="str">
        <f t="shared" si="2"/>
        <v>A</v>
      </c>
    </row>
    <row r="363">
      <c r="A363" s="2">
        <v>362.0</v>
      </c>
      <c r="B363" s="2">
        <v>22616.0</v>
      </c>
      <c r="C363" s="2" t="s">
        <v>474</v>
      </c>
      <c r="D363" s="2">
        <v>0.29</v>
      </c>
      <c r="E363" s="2">
        <v>19572.0</v>
      </c>
      <c r="F363" s="2">
        <v>6229.2</v>
      </c>
      <c r="G363" s="4">
        <f t="shared" si="3"/>
        <v>5236310.91</v>
      </c>
      <c r="H363" s="4">
        <f t="shared" si="1"/>
        <v>0.5486254798</v>
      </c>
      <c r="I363" s="4" t="str">
        <f t="shared" si="2"/>
        <v>A</v>
      </c>
    </row>
    <row r="364">
      <c r="A364" s="2">
        <v>363.0</v>
      </c>
      <c r="B364" s="2">
        <v>62018.0</v>
      </c>
      <c r="C364" s="2" t="s">
        <v>475</v>
      </c>
      <c r="D364" s="2">
        <v>1.95</v>
      </c>
      <c r="E364" s="2">
        <v>4784.0</v>
      </c>
      <c r="F364" s="2">
        <v>6225.42</v>
      </c>
      <c r="G364" s="4">
        <f t="shared" si="3"/>
        <v>5242536.33</v>
      </c>
      <c r="H364" s="4">
        <f t="shared" si="1"/>
        <v>0.5492777375</v>
      </c>
      <c r="I364" s="4" t="str">
        <f t="shared" si="2"/>
        <v>A</v>
      </c>
    </row>
    <row r="365">
      <c r="A365" s="2">
        <v>364.0</v>
      </c>
      <c r="B365" s="2">
        <v>21671.0</v>
      </c>
      <c r="C365" s="2" t="s">
        <v>476</v>
      </c>
      <c r="D365" s="2">
        <v>1.25</v>
      </c>
      <c r="E365" s="2">
        <v>4744.0</v>
      </c>
      <c r="F365" s="2">
        <v>6167.84</v>
      </c>
      <c r="G365" s="4">
        <f t="shared" si="3"/>
        <v>5248704.17</v>
      </c>
      <c r="H365" s="4">
        <f t="shared" si="1"/>
        <v>0.5499239623</v>
      </c>
      <c r="I365" s="4" t="str">
        <f t="shared" si="2"/>
        <v>A</v>
      </c>
    </row>
    <row r="366">
      <c r="A366" s="2">
        <v>365.0</v>
      </c>
      <c r="B366" s="2">
        <v>22144.0</v>
      </c>
      <c r="C366" s="2" t="s">
        <v>477</v>
      </c>
      <c r="D366" s="2">
        <v>2.1</v>
      </c>
      <c r="E366" s="2">
        <v>2553.0</v>
      </c>
      <c r="F366" s="2">
        <v>6161.84</v>
      </c>
      <c r="G366" s="4">
        <f t="shared" si="3"/>
        <v>5254866.01</v>
      </c>
      <c r="H366" s="4">
        <f t="shared" si="1"/>
        <v>0.5505695585</v>
      </c>
      <c r="I366" s="4" t="str">
        <f t="shared" si="2"/>
        <v>A</v>
      </c>
    </row>
    <row r="367">
      <c r="A367" s="2">
        <v>366.0</v>
      </c>
      <c r="B367" s="2">
        <v>22082.0</v>
      </c>
      <c r="C367" s="2" t="s">
        <v>478</v>
      </c>
      <c r="D367" s="2">
        <v>1.65</v>
      </c>
      <c r="E367" s="2">
        <v>3667.0</v>
      </c>
      <c r="F367" s="2">
        <v>6151.3</v>
      </c>
      <c r="G367" s="4">
        <f t="shared" si="3"/>
        <v>5261017.31</v>
      </c>
      <c r="H367" s="4">
        <f t="shared" si="1"/>
        <v>0.5512140504</v>
      </c>
      <c r="I367" s="4" t="str">
        <f t="shared" si="2"/>
        <v>A</v>
      </c>
    </row>
    <row r="368">
      <c r="A368" s="2">
        <v>367.0</v>
      </c>
      <c r="B368" s="2">
        <v>22631.0</v>
      </c>
      <c r="C368" s="2" t="s">
        <v>479</v>
      </c>
      <c r="D368" s="2">
        <v>1.95</v>
      </c>
      <c r="E368" s="2">
        <v>3132.0</v>
      </c>
      <c r="F368" s="2">
        <v>6114.1</v>
      </c>
      <c r="G368" s="4">
        <f t="shared" si="3"/>
        <v>5267131.41</v>
      </c>
      <c r="H368" s="4">
        <f t="shared" si="1"/>
        <v>0.5518546447</v>
      </c>
      <c r="I368" s="4" t="str">
        <f t="shared" si="2"/>
        <v>A</v>
      </c>
    </row>
    <row r="369">
      <c r="A369" s="2">
        <v>368.0</v>
      </c>
      <c r="B369" s="2" t="s">
        <v>480</v>
      </c>
      <c r="C369" s="2" t="s">
        <v>481</v>
      </c>
      <c r="D369" s="2">
        <v>5.95</v>
      </c>
      <c r="E369" s="2">
        <v>1234.0</v>
      </c>
      <c r="F369" s="2">
        <v>6099.58</v>
      </c>
      <c r="G369" s="4">
        <f t="shared" si="3"/>
        <v>5273230.99</v>
      </c>
      <c r="H369" s="4">
        <f t="shared" si="1"/>
        <v>0.5524937177</v>
      </c>
      <c r="I369" s="4" t="str">
        <f t="shared" si="2"/>
        <v>A</v>
      </c>
    </row>
    <row r="370">
      <c r="A370" s="2">
        <v>369.0</v>
      </c>
      <c r="B370" s="2">
        <v>23174.0</v>
      </c>
      <c r="C370" s="2" t="s">
        <v>482</v>
      </c>
      <c r="D370" s="2">
        <v>4.15</v>
      </c>
      <c r="E370" s="2">
        <v>1504.0</v>
      </c>
      <c r="F370" s="2">
        <v>6083.29</v>
      </c>
      <c r="G370" s="4">
        <f t="shared" si="3"/>
        <v>5279314.28</v>
      </c>
      <c r="H370" s="4">
        <f t="shared" si="1"/>
        <v>0.553131084</v>
      </c>
      <c r="I370" s="4" t="str">
        <f t="shared" si="2"/>
        <v>A</v>
      </c>
    </row>
    <row r="371">
      <c r="A371" s="2">
        <v>370.0</v>
      </c>
      <c r="B371" s="2">
        <v>21670.0</v>
      </c>
      <c r="C371" s="2" t="s">
        <v>483</v>
      </c>
      <c r="D371" s="2">
        <v>1.25</v>
      </c>
      <c r="E371" s="2">
        <v>4449.0</v>
      </c>
      <c r="F371" s="2">
        <v>6072.12</v>
      </c>
      <c r="G371" s="4">
        <f t="shared" si="3"/>
        <v>5285386.4</v>
      </c>
      <c r="H371" s="4">
        <f t="shared" si="1"/>
        <v>0.5537672799</v>
      </c>
      <c r="I371" s="4" t="str">
        <f t="shared" si="2"/>
        <v>A</v>
      </c>
    </row>
    <row r="372">
      <c r="A372" s="2">
        <v>371.0</v>
      </c>
      <c r="B372" s="2">
        <v>22301.0</v>
      </c>
      <c r="C372" s="2" t="s">
        <v>484</v>
      </c>
      <c r="D372" s="2">
        <v>2.55</v>
      </c>
      <c r="E372" s="2">
        <v>2506.0</v>
      </c>
      <c r="F372" s="2">
        <v>6067.49</v>
      </c>
      <c r="G372" s="4">
        <f t="shared" si="3"/>
        <v>5291453.89</v>
      </c>
      <c r="H372" s="4">
        <f t="shared" si="1"/>
        <v>0.5544029908</v>
      </c>
      <c r="I372" s="4" t="str">
        <f t="shared" si="2"/>
        <v>A</v>
      </c>
    </row>
    <row r="373">
      <c r="A373" s="2">
        <v>372.0</v>
      </c>
      <c r="B373" s="2">
        <v>21124.0</v>
      </c>
      <c r="C373" s="2" t="s">
        <v>485</v>
      </c>
      <c r="D373" s="2">
        <v>1.25</v>
      </c>
      <c r="E373" s="2">
        <v>4995.0</v>
      </c>
      <c r="F373" s="2">
        <v>6062.02</v>
      </c>
      <c r="G373" s="4">
        <f t="shared" si="3"/>
        <v>5297515.91</v>
      </c>
      <c r="H373" s="4">
        <f t="shared" si="1"/>
        <v>0.5550381285</v>
      </c>
      <c r="I373" s="4" t="str">
        <f t="shared" si="2"/>
        <v>A</v>
      </c>
    </row>
    <row r="374">
      <c r="A374" s="2">
        <v>373.0</v>
      </c>
      <c r="B374" s="2">
        <v>22623.0</v>
      </c>
      <c r="C374" s="2" t="s">
        <v>486</v>
      </c>
      <c r="D374" s="2">
        <v>4.95</v>
      </c>
      <c r="E374" s="2">
        <v>1120.0</v>
      </c>
      <c r="F374" s="2">
        <v>6056.94</v>
      </c>
      <c r="G374" s="4">
        <f t="shared" si="3"/>
        <v>5303572.85</v>
      </c>
      <c r="H374" s="4">
        <f t="shared" si="1"/>
        <v>0.555672734</v>
      </c>
      <c r="I374" s="4" t="str">
        <f t="shared" si="2"/>
        <v>A</v>
      </c>
    </row>
    <row r="375">
      <c r="A375" s="2">
        <v>374.0</v>
      </c>
      <c r="B375" s="2">
        <v>85042.0</v>
      </c>
      <c r="C375" s="2" t="s">
        <v>487</v>
      </c>
      <c r="D375" s="2">
        <v>4.95</v>
      </c>
      <c r="E375" s="2">
        <v>1326.0</v>
      </c>
      <c r="F375" s="2">
        <v>6044.0</v>
      </c>
      <c r="G375" s="4">
        <f t="shared" si="3"/>
        <v>5309616.85</v>
      </c>
      <c r="H375" s="4">
        <f t="shared" si="1"/>
        <v>0.5563059837</v>
      </c>
      <c r="I375" s="4" t="str">
        <f t="shared" si="2"/>
        <v>A</v>
      </c>
    </row>
    <row r="376">
      <c r="A376" s="2">
        <v>375.0</v>
      </c>
      <c r="B376" s="2">
        <v>84212.0</v>
      </c>
      <c r="C376" s="2" t="s">
        <v>488</v>
      </c>
      <c r="D376" s="2">
        <v>0.65</v>
      </c>
      <c r="E376" s="2">
        <v>12400.0</v>
      </c>
      <c r="F376" s="2">
        <v>5982.7</v>
      </c>
      <c r="G376" s="4">
        <f t="shared" si="3"/>
        <v>5315599.55</v>
      </c>
      <c r="H376" s="4">
        <f t="shared" si="1"/>
        <v>0.5569328108</v>
      </c>
      <c r="I376" s="4" t="str">
        <f t="shared" si="2"/>
        <v>A</v>
      </c>
    </row>
    <row r="377">
      <c r="A377" s="2">
        <v>376.0</v>
      </c>
      <c r="B377" s="2">
        <v>22192.0</v>
      </c>
      <c r="C377" s="2" t="s">
        <v>489</v>
      </c>
      <c r="D377" s="2">
        <v>8.5</v>
      </c>
      <c r="E377" s="2">
        <v>704.0</v>
      </c>
      <c r="F377" s="2">
        <v>5981.0</v>
      </c>
      <c r="G377" s="4">
        <f t="shared" si="3"/>
        <v>5321580.55</v>
      </c>
      <c r="H377" s="4">
        <f t="shared" si="1"/>
        <v>0.5575594598</v>
      </c>
      <c r="I377" s="4" t="str">
        <f t="shared" si="2"/>
        <v>A</v>
      </c>
    </row>
    <row r="378">
      <c r="A378" s="2">
        <v>377.0</v>
      </c>
      <c r="B378" s="2">
        <v>21937.0</v>
      </c>
      <c r="C378" s="2" t="s">
        <v>490</v>
      </c>
      <c r="D378" s="2">
        <v>2.95</v>
      </c>
      <c r="E378" s="2">
        <v>2032.0</v>
      </c>
      <c r="F378" s="2">
        <v>5964.84</v>
      </c>
      <c r="G378" s="4">
        <f t="shared" si="3"/>
        <v>5327545.39</v>
      </c>
      <c r="H378" s="4">
        <f t="shared" si="1"/>
        <v>0.5581844157</v>
      </c>
      <c r="I378" s="4" t="str">
        <f t="shared" si="2"/>
        <v>A</v>
      </c>
    </row>
    <row r="379">
      <c r="A379" s="2">
        <v>378.0</v>
      </c>
      <c r="B379" s="2">
        <v>21242.0</v>
      </c>
      <c r="C379" s="2" t="s">
        <v>491</v>
      </c>
      <c r="D379" s="2">
        <v>1.69</v>
      </c>
      <c r="E379" s="2">
        <v>3529.0</v>
      </c>
      <c r="F379" s="2">
        <v>5936.05</v>
      </c>
      <c r="G379" s="4">
        <f t="shared" si="3"/>
        <v>5333481.44</v>
      </c>
      <c r="H379" s="4">
        <f t="shared" si="1"/>
        <v>0.5588063551</v>
      </c>
      <c r="I379" s="4" t="str">
        <f t="shared" si="2"/>
        <v>A</v>
      </c>
    </row>
    <row r="380">
      <c r="A380" s="2">
        <v>379.0</v>
      </c>
      <c r="B380" s="2">
        <v>22729.0</v>
      </c>
      <c r="C380" s="2" t="s">
        <v>492</v>
      </c>
      <c r="D380" s="2">
        <v>3.75</v>
      </c>
      <c r="E380" s="2">
        <v>1494.0</v>
      </c>
      <c r="F380" s="2">
        <v>5911.38</v>
      </c>
      <c r="G380" s="4">
        <f t="shared" si="3"/>
        <v>5339392.82</v>
      </c>
      <c r="H380" s="4">
        <f t="shared" si="1"/>
        <v>0.5594257098</v>
      </c>
      <c r="I380" s="4" t="str">
        <f t="shared" si="2"/>
        <v>A</v>
      </c>
    </row>
    <row r="381">
      <c r="A381" s="2">
        <v>380.0</v>
      </c>
      <c r="B381" s="2">
        <v>22243.0</v>
      </c>
      <c r="C381" s="2" t="s">
        <v>493</v>
      </c>
      <c r="D381" s="2">
        <v>1.65</v>
      </c>
      <c r="E381" s="2">
        <v>3828.0</v>
      </c>
      <c r="F381" s="2">
        <v>5911.15</v>
      </c>
      <c r="G381" s="4">
        <f t="shared" si="3"/>
        <v>5345303.97</v>
      </c>
      <c r="H381" s="4">
        <f t="shared" si="1"/>
        <v>0.5600450404</v>
      </c>
      <c r="I381" s="4" t="str">
        <f t="shared" si="2"/>
        <v>A</v>
      </c>
    </row>
    <row r="382">
      <c r="A382" s="2">
        <v>381.0</v>
      </c>
      <c r="B382" s="2">
        <v>84987.0</v>
      </c>
      <c r="C382" s="2" t="s">
        <v>494</v>
      </c>
      <c r="D382" s="2">
        <v>1.45</v>
      </c>
      <c r="E382" s="2">
        <v>4046.0</v>
      </c>
      <c r="F382" s="2">
        <v>5898.0</v>
      </c>
      <c r="G382" s="4">
        <f t="shared" si="3"/>
        <v>5351201.97</v>
      </c>
      <c r="H382" s="4">
        <f t="shared" si="1"/>
        <v>0.5606629932</v>
      </c>
      <c r="I382" s="4" t="str">
        <f t="shared" si="2"/>
        <v>A</v>
      </c>
    </row>
    <row r="383">
      <c r="A383" s="2">
        <v>382.0</v>
      </c>
      <c r="B383" s="2">
        <v>22750.0</v>
      </c>
      <c r="C383" s="2" t="s">
        <v>495</v>
      </c>
      <c r="D383" s="2">
        <v>3.75</v>
      </c>
      <c r="E383" s="2">
        <v>1570.0</v>
      </c>
      <c r="F383" s="2">
        <v>5875.05</v>
      </c>
      <c r="G383" s="4">
        <f t="shared" si="3"/>
        <v>5357077.02</v>
      </c>
      <c r="H383" s="4">
        <f t="shared" si="1"/>
        <v>0.5612785415</v>
      </c>
      <c r="I383" s="4" t="str">
        <f t="shared" si="2"/>
        <v>A</v>
      </c>
    </row>
    <row r="384">
      <c r="A384" s="2">
        <v>383.0</v>
      </c>
      <c r="B384" s="2">
        <v>22488.0</v>
      </c>
      <c r="C384" s="2" t="s">
        <v>496</v>
      </c>
      <c r="D384" s="2">
        <v>1.65</v>
      </c>
      <c r="E384" s="2">
        <v>3439.0</v>
      </c>
      <c r="F384" s="2">
        <v>5871.75</v>
      </c>
      <c r="G384" s="4">
        <f t="shared" si="3"/>
        <v>5362948.77</v>
      </c>
      <c r="H384" s="4">
        <f t="shared" si="1"/>
        <v>0.561893744</v>
      </c>
      <c r="I384" s="4" t="str">
        <f t="shared" si="2"/>
        <v>A</v>
      </c>
    </row>
    <row r="385">
      <c r="A385" s="2">
        <v>384.0</v>
      </c>
      <c r="B385" s="2">
        <v>21428.0</v>
      </c>
      <c r="C385" s="2" t="s">
        <v>497</v>
      </c>
      <c r="D385" s="2">
        <v>4.25</v>
      </c>
      <c r="E385" s="2">
        <v>1438.0</v>
      </c>
      <c r="F385" s="2">
        <v>5868.72</v>
      </c>
      <c r="G385" s="4">
        <f t="shared" si="3"/>
        <v>5368817.49</v>
      </c>
      <c r="H385" s="4">
        <f t="shared" si="1"/>
        <v>0.5625086291</v>
      </c>
      <c r="I385" s="4" t="str">
        <f t="shared" si="2"/>
        <v>A</v>
      </c>
    </row>
    <row r="386">
      <c r="A386" s="2">
        <v>385.0</v>
      </c>
      <c r="B386" s="2" t="s">
        <v>498</v>
      </c>
      <c r="C386" s="2" t="s">
        <v>499</v>
      </c>
      <c r="D386" s="2">
        <v>5.95</v>
      </c>
      <c r="E386" s="2">
        <v>1084.0</v>
      </c>
      <c r="F386" s="2">
        <v>5847.58</v>
      </c>
      <c r="G386" s="4">
        <f t="shared" si="3"/>
        <v>5374665.07</v>
      </c>
      <c r="H386" s="4">
        <f t="shared" si="1"/>
        <v>0.5631212992</v>
      </c>
      <c r="I386" s="4" t="str">
        <f t="shared" si="2"/>
        <v>A</v>
      </c>
    </row>
    <row r="387">
      <c r="A387" s="2">
        <v>386.0</v>
      </c>
      <c r="B387" s="2">
        <v>22943.0</v>
      </c>
      <c r="C387" s="2" t="s">
        <v>500</v>
      </c>
      <c r="D387" s="2">
        <v>4.95</v>
      </c>
      <c r="E387" s="2">
        <v>1189.0</v>
      </c>
      <c r="F387" s="2">
        <v>5840.9</v>
      </c>
      <c r="G387" s="4">
        <f t="shared" si="3"/>
        <v>5380505.97</v>
      </c>
      <c r="H387" s="4">
        <f t="shared" si="1"/>
        <v>0.5637332695</v>
      </c>
      <c r="I387" s="4" t="str">
        <f t="shared" si="2"/>
        <v>A</v>
      </c>
    </row>
    <row r="388">
      <c r="A388" s="2">
        <v>387.0</v>
      </c>
      <c r="B388" s="2">
        <v>22791.0</v>
      </c>
      <c r="C388" s="2" t="s">
        <v>501</v>
      </c>
      <c r="D388" s="2">
        <v>1.25</v>
      </c>
      <c r="E388" s="2">
        <v>4695.0</v>
      </c>
      <c r="F388" s="2">
        <v>5835.52</v>
      </c>
      <c r="G388" s="4">
        <f t="shared" si="3"/>
        <v>5386341.49</v>
      </c>
      <c r="H388" s="4">
        <f t="shared" si="1"/>
        <v>0.5643446761</v>
      </c>
      <c r="I388" s="4" t="str">
        <f t="shared" si="2"/>
        <v>A</v>
      </c>
    </row>
    <row r="389">
      <c r="A389" s="2">
        <v>388.0</v>
      </c>
      <c r="B389" s="2">
        <v>22838.0</v>
      </c>
      <c r="C389" s="2" t="s">
        <v>502</v>
      </c>
      <c r="D389" s="2">
        <v>14.95</v>
      </c>
      <c r="E389" s="2">
        <v>400.0</v>
      </c>
      <c r="F389" s="2">
        <v>5817.28</v>
      </c>
      <c r="G389" s="4">
        <f t="shared" si="3"/>
        <v>5392158.77</v>
      </c>
      <c r="H389" s="4">
        <f t="shared" si="1"/>
        <v>0.5649541716</v>
      </c>
      <c r="I389" s="4" t="str">
        <f t="shared" si="2"/>
        <v>A</v>
      </c>
    </row>
    <row r="390">
      <c r="A390" s="2">
        <v>389.0</v>
      </c>
      <c r="B390" s="2">
        <v>21326.0</v>
      </c>
      <c r="C390" s="2" t="s">
        <v>503</v>
      </c>
      <c r="D390" s="2">
        <v>0.65</v>
      </c>
      <c r="E390" s="2">
        <v>8914.0</v>
      </c>
      <c r="F390" s="2">
        <v>5816.1</v>
      </c>
      <c r="G390" s="4">
        <f t="shared" si="3"/>
        <v>5397974.87</v>
      </c>
      <c r="H390" s="4">
        <f t="shared" si="1"/>
        <v>0.5655635435</v>
      </c>
      <c r="I390" s="4" t="str">
        <f t="shared" si="2"/>
        <v>A</v>
      </c>
    </row>
    <row r="391">
      <c r="A391" s="2">
        <v>390.0</v>
      </c>
      <c r="B391" s="2">
        <v>23300.0</v>
      </c>
      <c r="C391" s="2" t="s">
        <v>504</v>
      </c>
      <c r="D391" s="2">
        <v>1.65</v>
      </c>
      <c r="E391" s="2">
        <v>3342.0</v>
      </c>
      <c r="F391" s="2">
        <v>5798.64</v>
      </c>
      <c r="G391" s="4">
        <f t="shared" si="3"/>
        <v>5403773.51</v>
      </c>
      <c r="H391" s="4">
        <f t="shared" si="1"/>
        <v>0.566171086</v>
      </c>
      <c r="I391" s="4" t="str">
        <f t="shared" si="2"/>
        <v>A</v>
      </c>
    </row>
    <row r="392">
      <c r="A392" s="2">
        <v>391.0</v>
      </c>
      <c r="B392" s="2">
        <v>22508.0</v>
      </c>
      <c r="C392" s="2" t="s">
        <v>505</v>
      </c>
      <c r="D392" s="2">
        <v>3.75</v>
      </c>
      <c r="E392" s="2">
        <v>1435.0</v>
      </c>
      <c r="F392" s="2">
        <v>5762.22</v>
      </c>
      <c r="G392" s="4">
        <f t="shared" si="3"/>
        <v>5409535.73</v>
      </c>
      <c r="H392" s="4">
        <f t="shared" si="1"/>
        <v>0.5667748127</v>
      </c>
      <c r="I392" s="4" t="str">
        <f t="shared" si="2"/>
        <v>A</v>
      </c>
    </row>
    <row r="393">
      <c r="A393" s="2">
        <v>392.0</v>
      </c>
      <c r="B393" s="2">
        <v>21787.0</v>
      </c>
      <c r="C393" s="2" t="s">
        <v>506</v>
      </c>
      <c r="D393" s="2">
        <v>0.85</v>
      </c>
      <c r="E393" s="2">
        <v>7308.0</v>
      </c>
      <c r="F393" s="2">
        <v>5756.44</v>
      </c>
      <c r="G393" s="4">
        <f t="shared" si="3"/>
        <v>5415292.17</v>
      </c>
      <c r="H393" s="4">
        <f t="shared" si="1"/>
        <v>0.5673779338</v>
      </c>
      <c r="I393" s="4" t="str">
        <f t="shared" si="2"/>
        <v>A</v>
      </c>
    </row>
    <row r="394">
      <c r="A394" s="2">
        <v>393.0</v>
      </c>
      <c r="B394" s="2">
        <v>22637.0</v>
      </c>
      <c r="C394" s="2" t="s">
        <v>507</v>
      </c>
      <c r="D394" s="2">
        <v>2.55</v>
      </c>
      <c r="E394" s="2">
        <v>2241.0</v>
      </c>
      <c r="F394" s="2">
        <v>5751.51</v>
      </c>
      <c r="G394" s="4">
        <f t="shared" si="3"/>
        <v>5421043.68</v>
      </c>
      <c r="H394" s="4">
        <f t="shared" si="1"/>
        <v>0.5679805384</v>
      </c>
      <c r="I394" s="4" t="str">
        <f t="shared" si="2"/>
        <v>A</v>
      </c>
    </row>
    <row r="395">
      <c r="A395" s="2">
        <v>394.0</v>
      </c>
      <c r="B395" s="2">
        <v>22649.0</v>
      </c>
      <c r="C395" s="2" t="s">
        <v>508</v>
      </c>
      <c r="D395" s="2">
        <v>4.95</v>
      </c>
      <c r="E395" s="2">
        <v>1146.0</v>
      </c>
      <c r="F395" s="2">
        <v>5743.66</v>
      </c>
      <c r="G395" s="4">
        <f t="shared" si="3"/>
        <v>5426787.34</v>
      </c>
      <c r="H395" s="4">
        <f t="shared" si="1"/>
        <v>0.5685823205</v>
      </c>
      <c r="I395" s="4" t="str">
        <f t="shared" si="2"/>
        <v>A</v>
      </c>
    </row>
    <row r="396">
      <c r="A396" s="2">
        <v>395.0</v>
      </c>
      <c r="B396" s="2">
        <v>21154.0</v>
      </c>
      <c r="C396" s="2" t="s">
        <v>509</v>
      </c>
      <c r="D396" s="2">
        <v>1.25</v>
      </c>
      <c r="E396" s="2">
        <v>3940.0</v>
      </c>
      <c r="F396" s="2">
        <v>5732.1</v>
      </c>
      <c r="G396" s="4">
        <f t="shared" si="3"/>
        <v>5432519.44</v>
      </c>
      <c r="H396" s="4">
        <f t="shared" si="1"/>
        <v>0.5691828914</v>
      </c>
      <c r="I396" s="4" t="str">
        <f t="shared" si="2"/>
        <v>A</v>
      </c>
    </row>
    <row r="397">
      <c r="A397" s="2">
        <v>396.0</v>
      </c>
      <c r="B397" s="2">
        <v>22844.0</v>
      </c>
      <c r="C397" s="2" t="s">
        <v>510</v>
      </c>
      <c r="D397" s="2">
        <v>8.5</v>
      </c>
      <c r="E397" s="2">
        <v>605.0</v>
      </c>
      <c r="F397" s="2">
        <v>5729.49</v>
      </c>
      <c r="G397" s="4">
        <f t="shared" si="3"/>
        <v>5438248.93</v>
      </c>
      <c r="H397" s="4">
        <f t="shared" si="1"/>
        <v>0.5697831889</v>
      </c>
      <c r="I397" s="4" t="str">
        <f t="shared" si="2"/>
        <v>A</v>
      </c>
    </row>
    <row r="398">
      <c r="A398" s="2">
        <v>397.0</v>
      </c>
      <c r="B398" s="2">
        <v>21260.0</v>
      </c>
      <c r="C398" s="2" t="s">
        <v>511</v>
      </c>
      <c r="D398" s="2">
        <v>3.25</v>
      </c>
      <c r="E398" s="2">
        <v>1738.0</v>
      </c>
      <c r="F398" s="2">
        <v>5725.34</v>
      </c>
      <c r="G398" s="4">
        <f t="shared" si="3"/>
        <v>5443974.27</v>
      </c>
      <c r="H398" s="4">
        <f t="shared" si="1"/>
        <v>0.5703830516</v>
      </c>
      <c r="I398" s="4" t="str">
        <f t="shared" si="2"/>
        <v>A</v>
      </c>
    </row>
    <row r="399">
      <c r="A399" s="2">
        <v>398.0</v>
      </c>
      <c r="B399" s="2">
        <v>22663.0</v>
      </c>
      <c r="C399" s="2" t="s">
        <v>512</v>
      </c>
      <c r="D399" s="2">
        <v>2.08</v>
      </c>
      <c r="E399" s="2">
        <v>2878.0</v>
      </c>
      <c r="F399" s="2">
        <v>5724.91</v>
      </c>
      <c r="G399" s="4">
        <f t="shared" si="3"/>
        <v>5449699.18</v>
      </c>
      <c r="H399" s="4">
        <f t="shared" si="1"/>
        <v>0.5709828692</v>
      </c>
      <c r="I399" s="4" t="str">
        <f t="shared" si="2"/>
        <v>A</v>
      </c>
    </row>
    <row r="400">
      <c r="A400" s="2">
        <v>399.0</v>
      </c>
      <c r="B400" s="2">
        <v>22740.0</v>
      </c>
      <c r="C400" s="2" t="s">
        <v>513</v>
      </c>
      <c r="D400" s="2">
        <v>0.85</v>
      </c>
      <c r="E400" s="2">
        <v>6696.0</v>
      </c>
      <c r="F400" s="2">
        <v>5718.05</v>
      </c>
      <c r="G400" s="4">
        <f t="shared" si="3"/>
        <v>5455417.23</v>
      </c>
      <c r="H400" s="4">
        <f t="shared" si="1"/>
        <v>0.571581968</v>
      </c>
      <c r="I400" s="4" t="str">
        <f t="shared" si="2"/>
        <v>A</v>
      </c>
    </row>
    <row r="401">
      <c r="A401" s="2">
        <v>400.0</v>
      </c>
      <c r="B401" s="2">
        <v>23581.0</v>
      </c>
      <c r="C401" s="2" t="s">
        <v>514</v>
      </c>
      <c r="D401" s="2">
        <v>2.08</v>
      </c>
      <c r="E401" s="2">
        <v>2458.0</v>
      </c>
      <c r="F401" s="2">
        <v>5696.22</v>
      </c>
      <c r="G401" s="4">
        <f t="shared" si="3"/>
        <v>5461113.45</v>
      </c>
      <c r="H401" s="4">
        <f t="shared" si="1"/>
        <v>0.5721787797</v>
      </c>
      <c r="I401" s="4" t="str">
        <f t="shared" si="2"/>
        <v>A</v>
      </c>
    </row>
    <row r="402">
      <c r="A402" s="2">
        <v>401.0</v>
      </c>
      <c r="B402" s="2">
        <v>21429.0</v>
      </c>
      <c r="C402" s="2" t="s">
        <v>515</v>
      </c>
      <c r="D402" s="2">
        <v>1.65</v>
      </c>
      <c r="E402" s="2">
        <v>3184.0</v>
      </c>
      <c r="F402" s="2">
        <v>5678.32</v>
      </c>
      <c r="G402" s="4">
        <f t="shared" si="3"/>
        <v>5466791.77</v>
      </c>
      <c r="H402" s="4">
        <f t="shared" si="1"/>
        <v>0.5727737159</v>
      </c>
      <c r="I402" s="4" t="str">
        <f t="shared" si="2"/>
        <v>A</v>
      </c>
    </row>
    <row r="403">
      <c r="A403" s="2">
        <v>402.0</v>
      </c>
      <c r="B403" s="2">
        <v>21172.0</v>
      </c>
      <c r="C403" s="2" t="s">
        <v>516</v>
      </c>
      <c r="D403" s="2">
        <v>1.45</v>
      </c>
      <c r="E403" s="2">
        <v>3828.0</v>
      </c>
      <c r="F403" s="2">
        <v>5670.78</v>
      </c>
      <c r="G403" s="4">
        <f t="shared" si="3"/>
        <v>5472462.55</v>
      </c>
      <c r="H403" s="4">
        <f t="shared" si="1"/>
        <v>0.5733678622</v>
      </c>
      <c r="I403" s="4" t="str">
        <f t="shared" si="2"/>
        <v>A</v>
      </c>
    </row>
    <row r="404">
      <c r="A404" s="2">
        <v>403.0</v>
      </c>
      <c r="B404" s="2">
        <v>22151.0</v>
      </c>
      <c r="C404" s="2" t="s">
        <v>517</v>
      </c>
      <c r="D404" s="2">
        <v>0.42</v>
      </c>
      <c r="E404" s="2">
        <v>13398.0</v>
      </c>
      <c r="F404" s="2">
        <v>5669.86</v>
      </c>
      <c r="G404" s="4">
        <f t="shared" si="3"/>
        <v>5478132.41</v>
      </c>
      <c r="H404" s="4">
        <f t="shared" si="1"/>
        <v>0.573961912</v>
      </c>
      <c r="I404" s="4" t="str">
        <f t="shared" si="2"/>
        <v>A</v>
      </c>
    </row>
    <row r="405">
      <c r="A405" s="2">
        <v>404.0</v>
      </c>
      <c r="B405" s="2">
        <v>22468.0</v>
      </c>
      <c r="C405" s="2" t="s">
        <v>518</v>
      </c>
      <c r="D405" s="2">
        <v>6.75</v>
      </c>
      <c r="E405" s="2">
        <v>842.0</v>
      </c>
      <c r="F405" s="2">
        <v>5618.38</v>
      </c>
      <c r="G405" s="4">
        <f t="shared" si="3"/>
        <v>5483750.79</v>
      </c>
      <c r="H405" s="4">
        <f t="shared" si="1"/>
        <v>0.5745505681</v>
      </c>
      <c r="I405" s="4" t="str">
        <f t="shared" si="2"/>
        <v>A</v>
      </c>
    </row>
    <row r="406">
      <c r="A406" s="2">
        <v>405.0</v>
      </c>
      <c r="B406" s="2">
        <v>22988.0</v>
      </c>
      <c r="C406" s="2" t="s">
        <v>519</v>
      </c>
      <c r="D406" s="2">
        <v>1.25</v>
      </c>
      <c r="E406" s="2">
        <v>4678.0</v>
      </c>
      <c r="F406" s="2">
        <v>5614.22</v>
      </c>
      <c r="G406" s="4">
        <f t="shared" si="3"/>
        <v>5489365.01</v>
      </c>
      <c r="H406" s="4">
        <f t="shared" si="1"/>
        <v>0.5751387884</v>
      </c>
      <c r="I406" s="4" t="str">
        <f t="shared" si="2"/>
        <v>A</v>
      </c>
    </row>
    <row r="407">
      <c r="A407" s="2">
        <v>406.0</v>
      </c>
      <c r="B407" s="2">
        <v>21922.0</v>
      </c>
      <c r="C407" s="2" t="s">
        <v>520</v>
      </c>
      <c r="D407" s="2">
        <v>7.95</v>
      </c>
      <c r="E407" s="2">
        <v>723.0</v>
      </c>
      <c r="F407" s="2">
        <v>5611.52</v>
      </c>
      <c r="G407" s="4">
        <f t="shared" si="3"/>
        <v>5494976.53</v>
      </c>
      <c r="H407" s="4">
        <f t="shared" si="1"/>
        <v>0.5757267257</v>
      </c>
      <c r="I407" s="4" t="str">
        <f t="shared" si="2"/>
        <v>A</v>
      </c>
    </row>
    <row r="408">
      <c r="A408" s="2">
        <v>407.0</v>
      </c>
      <c r="B408" s="2" t="s">
        <v>521</v>
      </c>
      <c r="C408" s="2" t="s">
        <v>522</v>
      </c>
      <c r="D408" s="2">
        <v>2.1</v>
      </c>
      <c r="E408" s="2">
        <v>2887.0</v>
      </c>
      <c r="F408" s="2">
        <v>5580.9</v>
      </c>
      <c r="G408" s="4">
        <f t="shared" si="3"/>
        <v>5500557.43</v>
      </c>
      <c r="H408" s="4">
        <f t="shared" si="1"/>
        <v>0.576311455</v>
      </c>
      <c r="I408" s="4" t="str">
        <f t="shared" si="2"/>
        <v>A</v>
      </c>
    </row>
    <row r="409">
      <c r="A409" s="2">
        <v>408.0</v>
      </c>
      <c r="B409" s="2">
        <v>22968.0</v>
      </c>
      <c r="C409" s="2" t="s">
        <v>523</v>
      </c>
      <c r="D409" s="2">
        <v>9.95</v>
      </c>
      <c r="E409" s="2">
        <v>562.0</v>
      </c>
      <c r="F409" s="2">
        <v>5577.48</v>
      </c>
      <c r="G409" s="4">
        <f t="shared" si="3"/>
        <v>5506134.91</v>
      </c>
      <c r="H409" s="4">
        <f t="shared" si="1"/>
        <v>0.5768958258</v>
      </c>
      <c r="I409" s="4" t="str">
        <f t="shared" si="2"/>
        <v>A</v>
      </c>
    </row>
    <row r="410">
      <c r="A410" s="2">
        <v>409.0</v>
      </c>
      <c r="B410" s="2">
        <v>22417.0</v>
      </c>
      <c r="C410" s="2" t="s">
        <v>524</v>
      </c>
      <c r="D410" s="2">
        <v>0.55</v>
      </c>
      <c r="E410" s="2">
        <v>10698.0</v>
      </c>
      <c r="F410" s="2">
        <v>5564.55</v>
      </c>
      <c r="G410" s="4">
        <f t="shared" si="3"/>
        <v>5511699.46</v>
      </c>
      <c r="H410" s="4">
        <f t="shared" si="1"/>
        <v>0.577478842</v>
      </c>
      <c r="I410" s="4" t="str">
        <f t="shared" si="2"/>
        <v>A</v>
      </c>
    </row>
    <row r="411">
      <c r="A411" s="2">
        <v>410.0</v>
      </c>
      <c r="B411" s="2">
        <v>20969.0</v>
      </c>
      <c r="C411" s="2" t="s">
        <v>525</v>
      </c>
      <c r="D411" s="2">
        <v>3.75</v>
      </c>
      <c r="E411" s="2">
        <v>1476.0</v>
      </c>
      <c r="F411" s="2">
        <v>5552.6</v>
      </c>
      <c r="G411" s="4">
        <f t="shared" si="3"/>
        <v>5517252.06</v>
      </c>
      <c r="H411" s="4">
        <f t="shared" si="1"/>
        <v>0.5780606061</v>
      </c>
      <c r="I411" s="4" t="str">
        <f t="shared" si="2"/>
        <v>A</v>
      </c>
    </row>
    <row r="412">
      <c r="A412" s="2">
        <v>411.0</v>
      </c>
      <c r="B412" s="2">
        <v>22620.0</v>
      </c>
      <c r="C412" s="2" t="s">
        <v>526</v>
      </c>
      <c r="D412" s="2">
        <v>1.45</v>
      </c>
      <c r="E412" s="2">
        <v>4094.0</v>
      </c>
      <c r="F412" s="2">
        <v>5542.22</v>
      </c>
      <c r="G412" s="4">
        <f t="shared" si="3"/>
        <v>5522794.28</v>
      </c>
      <c r="H412" s="4">
        <f t="shared" si="1"/>
        <v>0.5786412827</v>
      </c>
      <c r="I412" s="4" t="str">
        <f t="shared" si="2"/>
        <v>A</v>
      </c>
    </row>
    <row r="413">
      <c r="A413" s="2">
        <v>412.0</v>
      </c>
      <c r="B413" s="2">
        <v>21868.0</v>
      </c>
      <c r="C413" s="2" t="s">
        <v>527</v>
      </c>
      <c r="D413" s="2">
        <v>1.25</v>
      </c>
      <c r="E413" s="2">
        <v>4506.0</v>
      </c>
      <c r="F413" s="2">
        <v>5541.82</v>
      </c>
      <c r="G413" s="4">
        <f t="shared" si="3"/>
        <v>5528336.1</v>
      </c>
      <c r="H413" s="4">
        <f t="shared" si="1"/>
        <v>0.5792219174</v>
      </c>
      <c r="I413" s="4" t="str">
        <f t="shared" si="2"/>
        <v>A</v>
      </c>
    </row>
    <row r="414">
      <c r="A414" s="2">
        <v>413.0</v>
      </c>
      <c r="B414" s="2">
        <v>22834.0</v>
      </c>
      <c r="C414" s="2" t="s">
        <v>528</v>
      </c>
      <c r="D414" s="2">
        <v>2.1</v>
      </c>
      <c r="E414" s="2">
        <v>3377.0</v>
      </c>
      <c r="F414" s="2">
        <v>5535.52</v>
      </c>
      <c r="G414" s="4">
        <f t="shared" si="3"/>
        <v>5533871.62</v>
      </c>
      <c r="H414" s="4">
        <f t="shared" si="1"/>
        <v>0.579801892</v>
      </c>
      <c r="I414" s="4" t="str">
        <f t="shared" si="2"/>
        <v>A</v>
      </c>
    </row>
    <row r="415">
      <c r="A415" s="2">
        <v>414.0</v>
      </c>
      <c r="B415" s="2">
        <v>22795.0</v>
      </c>
      <c r="C415" s="2" t="s">
        <v>529</v>
      </c>
      <c r="D415" s="2">
        <v>6.75</v>
      </c>
      <c r="E415" s="2">
        <v>790.0</v>
      </c>
      <c r="F415" s="2">
        <v>5533.9</v>
      </c>
      <c r="G415" s="4">
        <f t="shared" si="3"/>
        <v>5539405.52</v>
      </c>
      <c r="H415" s="4">
        <f t="shared" si="1"/>
        <v>0.5803816968</v>
      </c>
      <c r="I415" s="4" t="str">
        <f t="shared" si="2"/>
        <v>A</v>
      </c>
    </row>
    <row r="416">
      <c r="A416" s="2">
        <v>415.0</v>
      </c>
      <c r="B416" s="2">
        <v>20975.0</v>
      </c>
      <c r="C416" s="2" t="s">
        <v>530</v>
      </c>
      <c r="D416" s="2">
        <v>0.65</v>
      </c>
      <c r="E416" s="2">
        <v>8346.0</v>
      </c>
      <c r="F416" s="2">
        <v>5517.08</v>
      </c>
      <c r="G416" s="4">
        <f t="shared" si="3"/>
        <v>5544922.6</v>
      </c>
      <c r="H416" s="4">
        <f t="shared" si="1"/>
        <v>0.5809597394</v>
      </c>
      <c r="I416" s="4" t="str">
        <f t="shared" si="2"/>
        <v>A</v>
      </c>
    </row>
    <row r="417">
      <c r="A417" s="2">
        <v>416.0</v>
      </c>
      <c r="B417" s="2">
        <v>23170.0</v>
      </c>
      <c r="C417" s="2" t="s">
        <v>531</v>
      </c>
      <c r="D417" s="2">
        <v>1.65</v>
      </c>
      <c r="E417" s="2">
        <v>3380.0</v>
      </c>
      <c r="F417" s="2">
        <v>5479.02</v>
      </c>
      <c r="G417" s="4">
        <f t="shared" si="3"/>
        <v>5550401.62</v>
      </c>
      <c r="H417" s="4">
        <f t="shared" si="1"/>
        <v>0.5815337943</v>
      </c>
      <c r="I417" s="4" t="str">
        <f t="shared" si="2"/>
        <v>A</v>
      </c>
    </row>
    <row r="418">
      <c r="A418" s="2">
        <v>417.0</v>
      </c>
      <c r="B418" s="2" t="s">
        <v>532</v>
      </c>
      <c r="C418" s="2" t="s">
        <v>533</v>
      </c>
      <c r="D418" s="2">
        <v>2.1</v>
      </c>
      <c r="E418" s="2">
        <v>2907.0</v>
      </c>
      <c r="F418" s="2">
        <v>5473.14</v>
      </c>
      <c r="G418" s="4">
        <f t="shared" si="3"/>
        <v>5555874.76</v>
      </c>
      <c r="H418" s="4">
        <f t="shared" si="1"/>
        <v>0.5821072332</v>
      </c>
      <c r="I418" s="4" t="str">
        <f t="shared" si="2"/>
        <v>A</v>
      </c>
    </row>
    <row r="419">
      <c r="A419" s="2">
        <v>418.0</v>
      </c>
      <c r="B419" s="2">
        <v>22130.0</v>
      </c>
      <c r="C419" s="2" t="s">
        <v>534</v>
      </c>
      <c r="D419" s="2">
        <v>0.85</v>
      </c>
      <c r="E419" s="2">
        <v>4812.0</v>
      </c>
      <c r="F419" s="2">
        <v>5456.52</v>
      </c>
      <c r="G419" s="4">
        <f t="shared" si="3"/>
        <v>5561331.28</v>
      </c>
      <c r="H419" s="4">
        <f t="shared" si="1"/>
        <v>0.5826789307</v>
      </c>
      <c r="I419" s="4" t="str">
        <f t="shared" si="2"/>
        <v>A</v>
      </c>
    </row>
    <row r="420">
      <c r="A420" s="2">
        <v>419.0</v>
      </c>
      <c r="B420" s="2">
        <v>20828.0</v>
      </c>
      <c r="C420" s="2" t="s">
        <v>535</v>
      </c>
      <c r="D420" s="2">
        <v>2.55</v>
      </c>
      <c r="E420" s="2">
        <v>2206.0</v>
      </c>
      <c r="F420" s="2">
        <v>5456.22</v>
      </c>
      <c r="G420" s="4">
        <f t="shared" si="3"/>
        <v>5566787.5</v>
      </c>
      <c r="H420" s="4">
        <f t="shared" si="1"/>
        <v>0.5832505968</v>
      </c>
      <c r="I420" s="4" t="str">
        <f t="shared" si="2"/>
        <v>A</v>
      </c>
    </row>
    <row r="421">
      <c r="A421" s="2">
        <v>420.0</v>
      </c>
      <c r="B421" s="2">
        <v>21907.0</v>
      </c>
      <c r="C421" s="2" t="s">
        <v>536</v>
      </c>
      <c r="D421" s="2">
        <v>2.1</v>
      </c>
      <c r="E421" s="2">
        <v>2583.0</v>
      </c>
      <c r="F421" s="2">
        <v>5436.26</v>
      </c>
      <c r="G421" s="4">
        <f t="shared" si="3"/>
        <v>5572223.76</v>
      </c>
      <c r="H421" s="4">
        <f t="shared" si="1"/>
        <v>0.5838201716</v>
      </c>
      <c r="I421" s="4" t="str">
        <f t="shared" si="2"/>
        <v>A</v>
      </c>
    </row>
    <row r="422">
      <c r="A422" s="2">
        <v>421.0</v>
      </c>
      <c r="B422" s="2">
        <v>22768.0</v>
      </c>
      <c r="C422" s="2" t="s">
        <v>537</v>
      </c>
      <c r="D422" s="2">
        <v>9.95</v>
      </c>
      <c r="E422" s="2">
        <v>568.0</v>
      </c>
      <c r="F422" s="2">
        <v>5427.88</v>
      </c>
      <c r="G422" s="4">
        <f t="shared" si="3"/>
        <v>5577651.64</v>
      </c>
      <c r="H422" s="4">
        <f t="shared" si="1"/>
        <v>0.5843888684</v>
      </c>
      <c r="I422" s="4" t="str">
        <f t="shared" si="2"/>
        <v>A</v>
      </c>
    </row>
    <row r="423">
      <c r="A423" s="2">
        <v>422.0</v>
      </c>
      <c r="B423" s="2">
        <v>37370.0</v>
      </c>
      <c r="C423" s="2" t="s">
        <v>538</v>
      </c>
      <c r="D423" s="2">
        <v>1.25</v>
      </c>
      <c r="E423" s="2">
        <v>3578.0</v>
      </c>
      <c r="F423" s="2">
        <v>5418.54</v>
      </c>
      <c r="G423" s="4">
        <f t="shared" si="3"/>
        <v>5583070.18</v>
      </c>
      <c r="H423" s="4">
        <f t="shared" si="1"/>
        <v>0.5849565866</v>
      </c>
      <c r="I423" s="4" t="str">
        <f t="shared" si="2"/>
        <v>A</v>
      </c>
    </row>
    <row r="424">
      <c r="A424" s="2">
        <v>423.0</v>
      </c>
      <c r="B424" s="2">
        <v>21498.0</v>
      </c>
      <c r="C424" s="2" t="s">
        <v>539</v>
      </c>
      <c r="D424" s="2">
        <v>0.42</v>
      </c>
      <c r="E424" s="2">
        <v>13338.0</v>
      </c>
      <c r="F424" s="2">
        <v>5415.46</v>
      </c>
      <c r="G424" s="4">
        <f t="shared" si="3"/>
        <v>5588485.64</v>
      </c>
      <c r="H424" s="4">
        <f t="shared" si="1"/>
        <v>0.5855239821</v>
      </c>
      <c r="I424" s="4" t="str">
        <f t="shared" si="2"/>
        <v>A</v>
      </c>
    </row>
    <row r="425">
      <c r="A425" s="2">
        <v>424.0</v>
      </c>
      <c r="B425" s="2">
        <v>22668.0</v>
      </c>
      <c r="C425" s="2" t="s">
        <v>540</v>
      </c>
      <c r="D425" s="2">
        <v>2.95</v>
      </c>
      <c r="E425" s="2">
        <v>1766.0</v>
      </c>
      <c r="F425" s="2">
        <v>5379.38</v>
      </c>
      <c r="G425" s="4">
        <f t="shared" si="3"/>
        <v>5593865.02</v>
      </c>
      <c r="H425" s="4">
        <f t="shared" si="1"/>
        <v>0.5860875974</v>
      </c>
      <c r="I425" s="4" t="str">
        <f t="shared" si="2"/>
        <v>A</v>
      </c>
    </row>
    <row r="426">
      <c r="A426" s="2">
        <v>425.0</v>
      </c>
      <c r="B426" s="2">
        <v>22655.0</v>
      </c>
      <c r="C426" s="2" t="s">
        <v>541</v>
      </c>
      <c r="D426" s="2">
        <v>125.0</v>
      </c>
      <c r="E426" s="2">
        <v>33.0</v>
      </c>
      <c r="F426" s="2">
        <v>5372.5</v>
      </c>
      <c r="G426" s="4">
        <f t="shared" si="3"/>
        <v>5599237.52</v>
      </c>
      <c r="H426" s="4">
        <f t="shared" si="1"/>
        <v>0.5866504919</v>
      </c>
      <c r="I426" s="4" t="str">
        <f t="shared" si="2"/>
        <v>A</v>
      </c>
    </row>
    <row r="427">
      <c r="A427" s="2">
        <v>426.0</v>
      </c>
      <c r="B427" s="2">
        <v>22812.0</v>
      </c>
      <c r="C427" s="2" t="s">
        <v>542</v>
      </c>
      <c r="D427" s="2">
        <v>1.95</v>
      </c>
      <c r="E427" s="2">
        <v>2432.0</v>
      </c>
      <c r="F427" s="2">
        <v>5351.62</v>
      </c>
      <c r="G427" s="4">
        <f t="shared" si="3"/>
        <v>5604589.14</v>
      </c>
      <c r="H427" s="4">
        <f t="shared" si="1"/>
        <v>0.5872111986</v>
      </c>
      <c r="I427" s="4" t="str">
        <f t="shared" si="2"/>
        <v>A</v>
      </c>
    </row>
    <row r="428">
      <c r="A428" s="2">
        <v>427.0</v>
      </c>
      <c r="B428" s="2">
        <v>22950.0</v>
      </c>
      <c r="C428" s="2" t="s">
        <v>543</v>
      </c>
      <c r="D428" s="2">
        <v>1.45</v>
      </c>
      <c r="E428" s="2">
        <v>3861.0</v>
      </c>
      <c r="F428" s="2">
        <v>5340.94</v>
      </c>
      <c r="G428" s="4">
        <f t="shared" si="3"/>
        <v>5609930.08</v>
      </c>
      <c r="H428" s="4">
        <f t="shared" si="1"/>
        <v>0.5877707865</v>
      </c>
      <c r="I428" s="4" t="str">
        <f t="shared" si="2"/>
        <v>A</v>
      </c>
    </row>
    <row r="429">
      <c r="A429" s="2">
        <v>428.0</v>
      </c>
      <c r="B429" s="2">
        <v>22694.0</v>
      </c>
      <c r="C429" s="2" t="s">
        <v>544</v>
      </c>
      <c r="D429" s="2">
        <v>2.1</v>
      </c>
      <c r="E429" s="2">
        <v>2372.0</v>
      </c>
      <c r="F429" s="2">
        <v>5336.8</v>
      </c>
      <c r="G429" s="4">
        <f t="shared" si="3"/>
        <v>5615266.88</v>
      </c>
      <c r="H429" s="4">
        <f t="shared" si="1"/>
        <v>0.5883299405</v>
      </c>
      <c r="I429" s="4" t="str">
        <f t="shared" si="2"/>
        <v>A</v>
      </c>
    </row>
    <row r="430">
      <c r="A430" s="2">
        <v>429.0</v>
      </c>
      <c r="B430" s="2">
        <v>22274.0</v>
      </c>
      <c r="C430" s="2" t="s">
        <v>545</v>
      </c>
      <c r="D430" s="2">
        <v>2.95</v>
      </c>
      <c r="E430" s="2">
        <v>1862.0</v>
      </c>
      <c r="F430" s="2">
        <v>5322.36</v>
      </c>
      <c r="G430" s="4">
        <f t="shared" si="3"/>
        <v>5620589.24</v>
      </c>
      <c r="H430" s="4">
        <f t="shared" si="1"/>
        <v>0.5888875816</v>
      </c>
      <c r="I430" s="4" t="str">
        <f t="shared" si="2"/>
        <v>A</v>
      </c>
    </row>
    <row r="431">
      <c r="A431" s="2">
        <v>430.0</v>
      </c>
      <c r="B431" s="2">
        <v>22064.0</v>
      </c>
      <c r="C431" s="2" t="s">
        <v>546</v>
      </c>
      <c r="D431" s="2">
        <v>1.65</v>
      </c>
      <c r="E431" s="2">
        <v>3318.0</v>
      </c>
      <c r="F431" s="2">
        <v>5321.08</v>
      </c>
      <c r="G431" s="4">
        <f t="shared" si="3"/>
        <v>5625910.32</v>
      </c>
      <c r="H431" s="4">
        <f t="shared" si="1"/>
        <v>0.5894450886</v>
      </c>
      <c r="I431" s="4" t="str">
        <f t="shared" si="2"/>
        <v>A</v>
      </c>
    </row>
    <row r="432">
      <c r="A432" s="2">
        <v>431.0</v>
      </c>
      <c r="B432" s="2">
        <v>21558.0</v>
      </c>
      <c r="C432" s="2" t="s">
        <v>547</v>
      </c>
      <c r="D432" s="2">
        <v>2.55</v>
      </c>
      <c r="E432" s="2">
        <v>2060.0</v>
      </c>
      <c r="F432" s="2">
        <v>5315.63</v>
      </c>
      <c r="G432" s="4">
        <f t="shared" si="3"/>
        <v>5631225.95</v>
      </c>
      <c r="H432" s="4">
        <f t="shared" si="1"/>
        <v>0.5900020246</v>
      </c>
      <c r="I432" s="4" t="str">
        <f t="shared" si="2"/>
        <v>A</v>
      </c>
    </row>
    <row r="433">
      <c r="A433" s="2">
        <v>432.0</v>
      </c>
      <c r="B433" s="2">
        <v>21833.0</v>
      </c>
      <c r="C433" s="2" t="s">
        <v>548</v>
      </c>
      <c r="D433" s="2">
        <v>1.69</v>
      </c>
      <c r="E433" s="2">
        <v>3098.0</v>
      </c>
      <c r="F433" s="2">
        <v>5305.34</v>
      </c>
      <c r="G433" s="4">
        <f t="shared" si="3"/>
        <v>5636531.29</v>
      </c>
      <c r="H433" s="4">
        <f t="shared" si="1"/>
        <v>0.5905578825</v>
      </c>
      <c r="I433" s="4" t="str">
        <f t="shared" si="2"/>
        <v>A</v>
      </c>
    </row>
    <row r="434">
      <c r="A434" s="2">
        <v>433.0</v>
      </c>
      <c r="B434" s="2">
        <v>22349.0</v>
      </c>
      <c r="C434" s="2" t="s">
        <v>549</v>
      </c>
      <c r="D434" s="2">
        <v>3.75</v>
      </c>
      <c r="E434" s="2">
        <v>1284.0</v>
      </c>
      <c r="F434" s="2">
        <v>5270.21</v>
      </c>
      <c r="G434" s="4">
        <f t="shared" si="3"/>
        <v>5641801.5</v>
      </c>
      <c r="H434" s="4">
        <f t="shared" si="1"/>
        <v>0.5911100597</v>
      </c>
      <c r="I434" s="4" t="str">
        <f t="shared" si="2"/>
        <v>A</v>
      </c>
    </row>
    <row r="435">
      <c r="A435" s="2">
        <v>434.0</v>
      </c>
      <c r="B435" s="2">
        <v>21624.0</v>
      </c>
      <c r="C435" s="2" t="s">
        <v>550</v>
      </c>
      <c r="D435" s="2">
        <v>5.95</v>
      </c>
      <c r="E435" s="2">
        <v>875.0</v>
      </c>
      <c r="F435" s="2">
        <v>5268.1</v>
      </c>
      <c r="G435" s="4">
        <f t="shared" si="3"/>
        <v>5647069.6</v>
      </c>
      <c r="H435" s="4">
        <f t="shared" si="1"/>
        <v>0.5916620159</v>
      </c>
      <c r="I435" s="4" t="str">
        <f t="shared" si="2"/>
        <v>A</v>
      </c>
    </row>
    <row r="436">
      <c r="A436" s="2">
        <v>435.0</v>
      </c>
      <c r="B436" s="2">
        <v>21735.0</v>
      </c>
      <c r="C436" s="2" t="s">
        <v>551</v>
      </c>
      <c r="D436" s="2">
        <v>12.75</v>
      </c>
      <c r="E436" s="2">
        <v>402.0</v>
      </c>
      <c r="F436" s="2">
        <v>5266.62</v>
      </c>
      <c r="G436" s="4">
        <f t="shared" si="3"/>
        <v>5652336.22</v>
      </c>
      <c r="H436" s="4">
        <f t="shared" si="1"/>
        <v>0.5922138169</v>
      </c>
      <c r="I436" s="4" t="str">
        <f t="shared" si="2"/>
        <v>A</v>
      </c>
    </row>
    <row r="437">
      <c r="A437" s="2">
        <v>436.0</v>
      </c>
      <c r="B437" s="2">
        <v>22348.0</v>
      </c>
      <c r="C437" s="2" t="s">
        <v>552</v>
      </c>
      <c r="D437" s="2">
        <v>0.85</v>
      </c>
      <c r="E437" s="2">
        <v>6187.0</v>
      </c>
      <c r="F437" s="2">
        <v>5257.98</v>
      </c>
      <c r="G437" s="4">
        <f t="shared" si="3"/>
        <v>5657594.2</v>
      </c>
      <c r="H437" s="4">
        <f t="shared" si="1"/>
        <v>0.5927647127</v>
      </c>
      <c r="I437" s="4" t="str">
        <f t="shared" si="2"/>
        <v>A</v>
      </c>
    </row>
    <row r="438">
      <c r="A438" s="2">
        <v>437.0</v>
      </c>
      <c r="B438" s="2" t="s">
        <v>553</v>
      </c>
      <c r="C438" s="2" t="s">
        <v>554</v>
      </c>
      <c r="D438" s="2">
        <v>3.75</v>
      </c>
      <c r="E438" s="2">
        <v>1459.0</v>
      </c>
      <c r="F438" s="2">
        <v>5250.7</v>
      </c>
      <c r="G438" s="4">
        <f t="shared" si="3"/>
        <v>5662844.9</v>
      </c>
      <c r="H438" s="4">
        <f t="shared" si="1"/>
        <v>0.5933148458</v>
      </c>
      <c r="I438" s="4" t="str">
        <f t="shared" si="2"/>
        <v>A</v>
      </c>
    </row>
    <row r="439">
      <c r="A439" s="2">
        <v>438.0</v>
      </c>
      <c r="B439" s="2">
        <v>22302.0</v>
      </c>
      <c r="C439" s="2" t="s">
        <v>555</v>
      </c>
      <c r="D439" s="2">
        <v>2.55</v>
      </c>
      <c r="E439" s="2">
        <v>2463.0</v>
      </c>
      <c r="F439" s="2">
        <v>5246.22</v>
      </c>
      <c r="G439" s="4">
        <f t="shared" si="3"/>
        <v>5668091.12</v>
      </c>
      <c r="H439" s="4">
        <f t="shared" si="1"/>
        <v>0.5938645095</v>
      </c>
      <c r="I439" s="4" t="str">
        <f t="shared" si="2"/>
        <v>A</v>
      </c>
    </row>
    <row r="440">
      <c r="A440" s="2">
        <v>439.0</v>
      </c>
      <c r="B440" s="2">
        <v>21982.0</v>
      </c>
      <c r="C440" s="2" t="s">
        <v>556</v>
      </c>
      <c r="D440" s="2">
        <v>0.29</v>
      </c>
      <c r="E440" s="2">
        <v>16270.0</v>
      </c>
      <c r="F440" s="2">
        <v>5244.52</v>
      </c>
      <c r="G440" s="4">
        <f t="shared" si="3"/>
        <v>5673335.64</v>
      </c>
      <c r="H440" s="4">
        <f t="shared" si="1"/>
        <v>0.5944139951</v>
      </c>
      <c r="I440" s="4" t="str">
        <f t="shared" si="2"/>
        <v>A</v>
      </c>
    </row>
    <row r="441">
      <c r="A441" s="2">
        <v>440.0</v>
      </c>
      <c r="B441" s="2">
        <v>21890.0</v>
      </c>
      <c r="C441" s="2" t="s">
        <v>557</v>
      </c>
      <c r="D441" s="2">
        <v>2.95</v>
      </c>
      <c r="E441" s="2">
        <v>1750.0</v>
      </c>
      <c r="F441" s="2">
        <v>5242.32</v>
      </c>
      <c r="G441" s="4">
        <f t="shared" si="3"/>
        <v>5678577.96</v>
      </c>
      <c r="H441" s="4">
        <f t="shared" si="1"/>
        <v>0.5949632501</v>
      </c>
      <c r="I441" s="4" t="str">
        <f t="shared" si="2"/>
        <v>A</v>
      </c>
    </row>
    <row r="442">
      <c r="A442" s="2">
        <v>441.0</v>
      </c>
      <c r="B442" s="2">
        <v>23208.0</v>
      </c>
      <c r="C442" s="2" t="s">
        <v>558</v>
      </c>
      <c r="D442" s="2">
        <v>1.65</v>
      </c>
      <c r="E442" s="2">
        <v>3166.0</v>
      </c>
      <c r="F442" s="2">
        <v>5240.76</v>
      </c>
      <c r="G442" s="4">
        <f t="shared" si="3"/>
        <v>5683818.72</v>
      </c>
      <c r="H442" s="4">
        <f t="shared" si="1"/>
        <v>0.5955123418</v>
      </c>
      <c r="I442" s="4" t="str">
        <f t="shared" si="2"/>
        <v>A</v>
      </c>
    </row>
    <row r="443">
      <c r="A443" s="2">
        <v>442.0</v>
      </c>
      <c r="B443" s="2">
        <v>21974.0</v>
      </c>
      <c r="C443" s="2" t="s">
        <v>559</v>
      </c>
      <c r="D443" s="2">
        <v>1.45</v>
      </c>
      <c r="E443" s="2">
        <v>3468.0</v>
      </c>
      <c r="F443" s="2">
        <v>5232.05</v>
      </c>
      <c r="G443" s="4">
        <f t="shared" si="3"/>
        <v>5689050.77</v>
      </c>
      <c r="H443" s="4">
        <f t="shared" si="1"/>
        <v>0.5960605208</v>
      </c>
      <c r="I443" s="4" t="str">
        <f t="shared" si="2"/>
        <v>A</v>
      </c>
    </row>
    <row r="444">
      <c r="A444" s="2">
        <v>443.0</v>
      </c>
      <c r="B444" s="2">
        <v>22595.0</v>
      </c>
      <c r="C444" s="2" t="s">
        <v>560</v>
      </c>
      <c r="D444" s="2">
        <v>0.85</v>
      </c>
      <c r="E444" s="2">
        <v>6204.0</v>
      </c>
      <c r="F444" s="2">
        <v>5227.12</v>
      </c>
      <c r="G444" s="4">
        <f t="shared" si="3"/>
        <v>5694277.89</v>
      </c>
      <c r="H444" s="4">
        <f t="shared" si="1"/>
        <v>0.5966081833</v>
      </c>
      <c r="I444" s="4" t="str">
        <f t="shared" si="2"/>
        <v>A</v>
      </c>
    </row>
    <row r="445">
      <c r="A445" s="2">
        <v>444.0</v>
      </c>
      <c r="B445" s="2">
        <v>20754.0</v>
      </c>
      <c r="C445" s="2" t="s">
        <v>561</v>
      </c>
      <c r="D445" s="2">
        <v>2.1</v>
      </c>
      <c r="E445" s="2">
        <v>2541.0</v>
      </c>
      <c r="F445" s="2">
        <v>5209.81</v>
      </c>
      <c r="G445" s="4">
        <f t="shared" si="3"/>
        <v>5699487.7</v>
      </c>
      <c r="H445" s="4">
        <f t="shared" si="1"/>
        <v>0.5971540322</v>
      </c>
      <c r="I445" s="4" t="str">
        <f t="shared" si="2"/>
        <v>A</v>
      </c>
    </row>
    <row r="446">
      <c r="A446" s="2">
        <v>445.0</v>
      </c>
      <c r="B446" s="2">
        <v>22174.0</v>
      </c>
      <c r="C446" s="2" t="s">
        <v>562</v>
      </c>
      <c r="D446" s="2">
        <v>1.65</v>
      </c>
      <c r="E446" s="2">
        <v>2572.0</v>
      </c>
      <c r="F446" s="2">
        <v>5205.31</v>
      </c>
      <c r="G446" s="4">
        <f t="shared" si="3"/>
        <v>5704693.01</v>
      </c>
      <c r="H446" s="4">
        <f t="shared" si="1"/>
        <v>0.5976994096</v>
      </c>
      <c r="I446" s="4" t="str">
        <f t="shared" si="2"/>
        <v>A</v>
      </c>
    </row>
    <row r="447">
      <c r="A447" s="2">
        <v>446.0</v>
      </c>
      <c r="B447" s="2">
        <v>21086.0</v>
      </c>
      <c r="C447" s="2" t="s">
        <v>563</v>
      </c>
      <c r="D447" s="2">
        <v>0.65</v>
      </c>
      <c r="E447" s="2">
        <v>7953.0</v>
      </c>
      <c r="F447" s="2">
        <v>5192.58</v>
      </c>
      <c r="G447" s="4">
        <f t="shared" si="3"/>
        <v>5709885.59</v>
      </c>
      <c r="H447" s="4">
        <f t="shared" si="1"/>
        <v>0.5982434533</v>
      </c>
      <c r="I447" s="4" t="str">
        <f t="shared" si="2"/>
        <v>A</v>
      </c>
    </row>
    <row r="448">
      <c r="A448" s="2">
        <v>447.0</v>
      </c>
      <c r="B448" s="2">
        <v>22089.0</v>
      </c>
      <c r="C448" s="2" t="s">
        <v>564</v>
      </c>
      <c r="D448" s="2">
        <v>2.95</v>
      </c>
      <c r="E448" s="2">
        <v>1751.0</v>
      </c>
      <c r="F448" s="2">
        <v>5145.78</v>
      </c>
      <c r="G448" s="4">
        <f t="shared" si="3"/>
        <v>5715031.37</v>
      </c>
      <c r="H448" s="4">
        <f t="shared" si="1"/>
        <v>0.5987825936</v>
      </c>
      <c r="I448" s="4" t="str">
        <f t="shared" si="2"/>
        <v>A</v>
      </c>
    </row>
    <row r="449">
      <c r="A449" s="2">
        <v>448.0</v>
      </c>
      <c r="B449" s="2">
        <v>22418.0</v>
      </c>
      <c r="C449" s="2" t="s">
        <v>565</v>
      </c>
      <c r="D449" s="2">
        <v>0.85</v>
      </c>
      <c r="E449" s="2">
        <v>6069.0</v>
      </c>
      <c r="F449" s="2">
        <v>5134.06</v>
      </c>
      <c r="G449" s="4">
        <f t="shared" si="3"/>
        <v>5720165.43</v>
      </c>
      <c r="H449" s="4">
        <f t="shared" si="1"/>
        <v>0.5993205059</v>
      </c>
      <c r="I449" s="4" t="str">
        <f t="shared" si="2"/>
        <v>A</v>
      </c>
    </row>
    <row r="450">
      <c r="A450" s="2">
        <v>449.0</v>
      </c>
      <c r="B450" s="2">
        <v>22725.0</v>
      </c>
      <c r="C450" s="2" t="s">
        <v>566</v>
      </c>
      <c r="D450" s="2">
        <v>3.75</v>
      </c>
      <c r="E450" s="2">
        <v>1250.0</v>
      </c>
      <c r="F450" s="2">
        <v>5130.58</v>
      </c>
      <c r="G450" s="4">
        <f t="shared" si="3"/>
        <v>5725296.01</v>
      </c>
      <c r="H450" s="4">
        <f t="shared" si="1"/>
        <v>0.5998580536</v>
      </c>
      <c r="I450" s="4" t="str">
        <f t="shared" si="2"/>
        <v>A</v>
      </c>
    </row>
    <row r="451">
      <c r="A451" s="2">
        <v>450.0</v>
      </c>
      <c r="B451" s="2">
        <v>22771.0</v>
      </c>
      <c r="C451" s="2" t="s">
        <v>567</v>
      </c>
      <c r="D451" s="2">
        <v>1.25</v>
      </c>
      <c r="E451" s="2">
        <v>3786.0</v>
      </c>
      <c r="F451" s="2">
        <v>5126.04</v>
      </c>
      <c r="G451" s="4">
        <f t="shared" si="3"/>
        <v>5730422.05</v>
      </c>
      <c r="H451" s="4">
        <f t="shared" si="1"/>
        <v>0.6003951256</v>
      </c>
      <c r="I451" s="4" t="str">
        <f t="shared" si="2"/>
        <v>A</v>
      </c>
    </row>
    <row r="452">
      <c r="A452" s="2">
        <v>451.0</v>
      </c>
      <c r="B452" s="2">
        <v>22120.0</v>
      </c>
      <c r="C452" s="2" t="s">
        <v>568</v>
      </c>
      <c r="D452" s="2">
        <v>9.95</v>
      </c>
      <c r="E452" s="2">
        <v>505.0</v>
      </c>
      <c r="F452" s="2">
        <v>5117.3</v>
      </c>
      <c r="G452" s="4">
        <f t="shared" si="3"/>
        <v>5735539.35</v>
      </c>
      <c r="H452" s="4">
        <f t="shared" si="1"/>
        <v>0.6009312819</v>
      </c>
      <c r="I452" s="4" t="str">
        <f t="shared" si="2"/>
        <v>A</v>
      </c>
    </row>
    <row r="453">
      <c r="A453" s="2">
        <v>452.0</v>
      </c>
      <c r="B453" s="2">
        <v>22970.0</v>
      </c>
      <c r="C453" s="2" t="s">
        <v>569</v>
      </c>
      <c r="D453" s="2">
        <v>2.55</v>
      </c>
      <c r="E453" s="2">
        <v>2184.0</v>
      </c>
      <c r="F453" s="2">
        <v>5112.38</v>
      </c>
      <c r="G453" s="4">
        <f t="shared" si="3"/>
        <v>5740651.73</v>
      </c>
      <c r="H453" s="4">
        <f t="shared" si="1"/>
        <v>0.6014669228</v>
      </c>
      <c r="I453" s="4" t="str">
        <f t="shared" si="2"/>
        <v>A</v>
      </c>
    </row>
    <row r="454">
      <c r="A454" s="2">
        <v>453.0</v>
      </c>
      <c r="B454" s="2">
        <v>22380.0</v>
      </c>
      <c r="C454" s="2" t="s">
        <v>570</v>
      </c>
      <c r="D454" s="2">
        <v>2.1</v>
      </c>
      <c r="E454" s="2">
        <v>2480.0</v>
      </c>
      <c r="F454" s="2">
        <v>5104.63</v>
      </c>
      <c r="G454" s="4">
        <f t="shared" si="3"/>
        <v>5745756.36</v>
      </c>
      <c r="H454" s="4">
        <f t="shared" si="1"/>
        <v>0.6020017516</v>
      </c>
      <c r="I454" s="4" t="str">
        <f t="shared" si="2"/>
        <v>A</v>
      </c>
    </row>
    <row r="455">
      <c r="A455" s="2">
        <v>454.0</v>
      </c>
      <c r="B455" s="2">
        <v>20682.0</v>
      </c>
      <c r="C455" s="2" t="s">
        <v>571</v>
      </c>
      <c r="D455" s="2">
        <v>3.25</v>
      </c>
      <c r="E455" s="2">
        <v>1537.0</v>
      </c>
      <c r="F455" s="2">
        <v>5095.4</v>
      </c>
      <c r="G455" s="4">
        <f t="shared" si="3"/>
        <v>5750851.76</v>
      </c>
      <c r="H455" s="4">
        <f t="shared" si="1"/>
        <v>0.6025356134</v>
      </c>
      <c r="I455" s="4" t="str">
        <f t="shared" si="2"/>
        <v>A</v>
      </c>
    </row>
    <row r="456">
      <c r="A456" s="2">
        <v>455.0</v>
      </c>
      <c r="B456" s="2">
        <v>21531.0</v>
      </c>
      <c r="C456" s="2" t="s">
        <v>572</v>
      </c>
      <c r="D456" s="2">
        <v>2.55</v>
      </c>
      <c r="E456" s="2">
        <v>2038.0</v>
      </c>
      <c r="F456" s="2">
        <v>5089.61</v>
      </c>
      <c r="G456" s="4">
        <f t="shared" si="3"/>
        <v>5755941.37</v>
      </c>
      <c r="H456" s="4">
        <f t="shared" si="1"/>
        <v>0.6030688685</v>
      </c>
      <c r="I456" s="4" t="str">
        <f t="shared" si="2"/>
        <v>A</v>
      </c>
    </row>
    <row r="457">
      <c r="A457" s="2">
        <v>456.0</v>
      </c>
      <c r="B457" s="2">
        <v>22748.0</v>
      </c>
      <c r="C457" s="2" t="s">
        <v>573</v>
      </c>
      <c r="D457" s="2">
        <v>2.1</v>
      </c>
      <c r="E457" s="2">
        <v>2073.0</v>
      </c>
      <c r="F457" s="2">
        <v>5084.9</v>
      </c>
      <c r="G457" s="4">
        <f t="shared" si="3"/>
        <v>5761026.27</v>
      </c>
      <c r="H457" s="4">
        <f t="shared" si="1"/>
        <v>0.6036016302</v>
      </c>
      <c r="I457" s="4" t="str">
        <f t="shared" si="2"/>
        <v>A</v>
      </c>
    </row>
    <row r="458">
      <c r="A458" s="2">
        <v>457.0</v>
      </c>
      <c r="B458" s="2">
        <v>22966.0</v>
      </c>
      <c r="C458" s="2" t="s">
        <v>574</v>
      </c>
      <c r="D458" s="2">
        <v>1.25</v>
      </c>
      <c r="E458" s="2">
        <v>4117.0</v>
      </c>
      <c r="F458" s="2">
        <v>5075.0</v>
      </c>
      <c r="G458" s="4">
        <f t="shared" si="3"/>
        <v>5766101.27</v>
      </c>
      <c r="H458" s="4">
        <f t="shared" si="1"/>
        <v>0.6041333546</v>
      </c>
      <c r="I458" s="4" t="str">
        <f t="shared" si="2"/>
        <v>A</v>
      </c>
    </row>
    <row r="459">
      <c r="A459" s="2">
        <v>458.0</v>
      </c>
      <c r="B459" s="2">
        <v>21892.0</v>
      </c>
      <c r="C459" s="2" t="s">
        <v>575</v>
      </c>
      <c r="D459" s="2">
        <v>1.25</v>
      </c>
      <c r="E459" s="2">
        <v>3907.0</v>
      </c>
      <c r="F459" s="2">
        <v>5068.14</v>
      </c>
      <c r="G459" s="4">
        <f t="shared" si="3"/>
        <v>5771169.41</v>
      </c>
      <c r="H459" s="4">
        <f t="shared" si="1"/>
        <v>0.6046643603</v>
      </c>
      <c r="I459" s="4" t="str">
        <f t="shared" si="2"/>
        <v>A</v>
      </c>
    </row>
    <row r="460">
      <c r="A460" s="2">
        <v>459.0</v>
      </c>
      <c r="B460" s="2">
        <v>21033.0</v>
      </c>
      <c r="C460" s="2" t="s">
        <v>576</v>
      </c>
      <c r="D460" s="2">
        <v>2.95</v>
      </c>
      <c r="E460" s="2">
        <v>2294.0</v>
      </c>
      <c r="F460" s="2">
        <v>5063.11</v>
      </c>
      <c r="G460" s="4">
        <f t="shared" si="3"/>
        <v>5776232.52</v>
      </c>
      <c r="H460" s="4">
        <f t="shared" si="1"/>
        <v>0.6051948389</v>
      </c>
      <c r="I460" s="4" t="str">
        <f t="shared" si="2"/>
        <v>A</v>
      </c>
    </row>
    <row r="461">
      <c r="A461" s="2">
        <v>460.0</v>
      </c>
      <c r="B461" s="2">
        <v>21781.0</v>
      </c>
      <c r="C461" s="2" t="s">
        <v>577</v>
      </c>
      <c r="D461" s="2">
        <v>14.95</v>
      </c>
      <c r="E461" s="2">
        <v>327.0</v>
      </c>
      <c r="F461" s="2">
        <v>5055.38</v>
      </c>
      <c r="G461" s="4">
        <f t="shared" si="3"/>
        <v>5781287.9</v>
      </c>
      <c r="H461" s="4">
        <f t="shared" si="1"/>
        <v>0.6057245077</v>
      </c>
      <c r="I461" s="4" t="str">
        <f t="shared" si="2"/>
        <v>A</v>
      </c>
    </row>
    <row r="462">
      <c r="A462" s="2">
        <v>461.0</v>
      </c>
      <c r="B462" s="2">
        <v>23582.0</v>
      </c>
      <c r="C462" s="2" t="s">
        <v>578</v>
      </c>
      <c r="D462" s="2">
        <v>2.08</v>
      </c>
      <c r="E462" s="2">
        <v>2348.0</v>
      </c>
      <c r="F462" s="2">
        <v>5006.42</v>
      </c>
      <c r="G462" s="4">
        <f t="shared" si="3"/>
        <v>5786294.32</v>
      </c>
      <c r="H462" s="4">
        <f t="shared" si="1"/>
        <v>0.6062490467</v>
      </c>
      <c r="I462" s="4" t="str">
        <f t="shared" si="2"/>
        <v>A</v>
      </c>
    </row>
    <row r="463">
      <c r="A463" s="2">
        <v>462.0</v>
      </c>
      <c r="B463" s="2">
        <v>21756.0</v>
      </c>
      <c r="C463" s="2" t="s">
        <v>579</v>
      </c>
      <c r="D463" s="2">
        <v>5.95</v>
      </c>
      <c r="E463" s="2">
        <v>812.0</v>
      </c>
      <c r="F463" s="2">
        <v>5005.05</v>
      </c>
      <c r="G463" s="4">
        <f t="shared" si="3"/>
        <v>5791299.37</v>
      </c>
      <c r="H463" s="4">
        <f t="shared" si="1"/>
        <v>0.6067734422</v>
      </c>
      <c r="I463" s="4" t="str">
        <f t="shared" si="2"/>
        <v>A</v>
      </c>
    </row>
    <row r="464">
      <c r="A464" s="2">
        <v>463.0</v>
      </c>
      <c r="B464" s="2">
        <v>22180.0</v>
      </c>
      <c r="C464" s="2" t="s">
        <v>580</v>
      </c>
      <c r="D464" s="2">
        <v>9.95</v>
      </c>
      <c r="E464" s="2">
        <v>482.0</v>
      </c>
      <c r="F464" s="2">
        <v>4991.99</v>
      </c>
      <c r="G464" s="4">
        <f t="shared" si="3"/>
        <v>5796291.36</v>
      </c>
      <c r="H464" s="4">
        <f t="shared" si="1"/>
        <v>0.6072964694</v>
      </c>
      <c r="I464" s="4" t="str">
        <f t="shared" si="2"/>
        <v>A</v>
      </c>
    </row>
    <row r="465">
      <c r="A465" s="2">
        <v>464.0</v>
      </c>
      <c r="B465" s="2">
        <v>23171.0</v>
      </c>
      <c r="C465" s="2" t="s">
        <v>581</v>
      </c>
      <c r="D465" s="2">
        <v>1.65</v>
      </c>
      <c r="E465" s="2">
        <v>3100.0</v>
      </c>
      <c r="F465" s="2">
        <v>4991.2</v>
      </c>
      <c r="G465" s="4">
        <f t="shared" si="3"/>
        <v>5801282.56</v>
      </c>
      <c r="H465" s="4">
        <f t="shared" si="1"/>
        <v>0.6078194138</v>
      </c>
      <c r="I465" s="4" t="str">
        <f t="shared" si="2"/>
        <v>A</v>
      </c>
    </row>
    <row r="466">
      <c r="A466" s="2">
        <v>465.0</v>
      </c>
      <c r="B466" s="2">
        <v>22327.0</v>
      </c>
      <c r="C466" s="2" t="s">
        <v>582</v>
      </c>
      <c r="D466" s="2">
        <v>2.95</v>
      </c>
      <c r="E466" s="2">
        <v>1534.0</v>
      </c>
      <c r="F466" s="2">
        <v>4976.2</v>
      </c>
      <c r="G466" s="4">
        <f t="shared" si="3"/>
        <v>5806258.76</v>
      </c>
      <c r="H466" s="4">
        <f t="shared" si="1"/>
        <v>0.6083407866</v>
      </c>
      <c r="I466" s="4" t="str">
        <f t="shared" si="2"/>
        <v>A</v>
      </c>
    </row>
    <row r="467">
      <c r="A467" s="2">
        <v>466.0</v>
      </c>
      <c r="B467" s="2">
        <v>20979.0</v>
      </c>
      <c r="C467" s="2" t="s">
        <v>583</v>
      </c>
      <c r="D467" s="2">
        <v>1.25</v>
      </c>
      <c r="E467" s="2">
        <v>3936.0</v>
      </c>
      <c r="F467" s="2">
        <v>4969.94</v>
      </c>
      <c r="G467" s="4">
        <f t="shared" si="3"/>
        <v>5811228.7</v>
      </c>
      <c r="H467" s="4">
        <f t="shared" si="1"/>
        <v>0.6088615035</v>
      </c>
      <c r="I467" s="4" t="str">
        <f t="shared" si="2"/>
        <v>A</v>
      </c>
    </row>
    <row r="468">
      <c r="A468" s="2">
        <v>467.0</v>
      </c>
      <c r="B468" s="2">
        <v>22300.0</v>
      </c>
      <c r="C468" s="2" t="s">
        <v>584</v>
      </c>
      <c r="D468" s="2">
        <v>2.55</v>
      </c>
      <c r="E468" s="2">
        <v>2068.0</v>
      </c>
      <c r="F468" s="2">
        <v>4969.92</v>
      </c>
      <c r="G468" s="4">
        <f t="shared" si="3"/>
        <v>5816198.62</v>
      </c>
      <c r="H468" s="4">
        <f t="shared" si="1"/>
        <v>0.6093822184</v>
      </c>
      <c r="I468" s="4" t="str">
        <f t="shared" si="2"/>
        <v>A</v>
      </c>
    </row>
    <row r="469">
      <c r="A469" s="2">
        <v>468.0</v>
      </c>
      <c r="B469" s="2">
        <v>22131.0</v>
      </c>
      <c r="C469" s="2" t="s">
        <v>585</v>
      </c>
      <c r="D469" s="2">
        <v>1.95</v>
      </c>
      <c r="E469" s="2">
        <v>2628.0</v>
      </c>
      <c r="F469" s="2">
        <v>4969.14</v>
      </c>
      <c r="G469" s="4">
        <f t="shared" si="3"/>
        <v>5821167.76</v>
      </c>
      <c r="H469" s="4">
        <f t="shared" si="1"/>
        <v>0.6099028515</v>
      </c>
      <c r="I469" s="4" t="str">
        <f t="shared" si="2"/>
        <v>A</v>
      </c>
    </row>
    <row r="470">
      <c r="A470" s="2">
        <v>469.0</v>
      </c>
      <c r="B470" s="2">
        <v>23076.0</v>
      </c>
      <c r="C470" s="2" t="s">
        <v>586</v>
      </c>
      <c r="D470" s="2">
        <v>1.25</v>
      </c>
      <c r="E470" s="2">
        <v>4038.0</v>
      </c>
      <c r="F470" s="2">
        <v>4967.88</v>
      </c>
      <c r="G470" s="4">
        <f t="shared" si="3"/>
        <v>5826135.64</v>
      </c>
      <c r="H470" s="4">
        <f t="shared" si="1"/>
        <v>0.6104233526</v>
      </c>
      <c r="I470" s="4" t="str">
        <f t="shared" si="2"/>
        <v>A</v>
      </c>
    </row>
    <row r="471">
      <c r="A471" s="2">
        <v>470.0</v>
      </c>
      <c r="B471" s="2">
        <v>84880.0</v>
      </c>
      <c r="C471" s="2" t="s">
        <v>587</v>
      </c>
      <c r="D471" s="2">
        <v>5.95</v>
      </c>
      <c r="E471" s="2">
        <v>867.0</v>
      </c>
      <c r="F471" s="2">
        <v>4963.92</v>
      </c>
      <c r="G471" s="4">
        <f t="shared" si="3"/>
        <v>5831099.56</v>
      </c>
      <c r="H471" s="4">
        <f t="shared" si="1"/>
        <v>0.6109434388</v>
      </c>
      <c r="I471" s="4" t="str">
        <f t="shared" si="2"/>
        <v>A</v>
      </c>
    </row>
    <row r="472">
      <c r="A472" s="2">
        <v>471.0</v>
      </c>
      <c r="B472" s="2">
        <v>22904.0</v>
      </c>
      <c r="C472" s="2" t="s">
        <v>588</v>
      </c>
      <c r="D472" s="2">
        <v>2.95</v>
      </c>
      <c r="E472" s="2">
        <v>1582.0</v>
      </c>
      <c r="F472" s="2">
        <v>4961.12</v>
      </c>
      <c r="G472" s="4">
        <f t="shared" si="3"/>
        <v>5836060.68</v>
      </c>
      <c r="H472" s="4">
        <f t="shared" si="1"/>
        <v>0.6114632316</v>
      </c>
      <c r="I472" s="4" t="str">
        <f t="shared" si="2"/>
        <v>A</v>
      </c>
    </row>
    <row r="473">
      <c r="A473" s="2">
        <v>472.0</v>
      </c>
      <c r="B473" s="2">
        <v>22645.0</v>
      </c>
      <c r="C473" s="2" t="s">
        <v>589</v>
      </c>
      <c r="D473" s="2">
        <v>1.45</v>
      </c>
      <c r="E473" s="2">
        <v>2778.0</v>
      </c>
      <c r="F473" s="2">
        <v>4959.14</v>
      </c>
      <c r="G473" s="4">
        <f t="shared" si="3"/>
        <v>5841019.82</v>
      </c>
      <c r="H473" s="4">
        <f t="shared" si="1"/>
        <v>0.611982817</v>
      </c>
      <c r="I473" s="4" t="str">
        <f t="shared" si="2"/>
        <v>A</v>
      </c>
    </row>
    <row r="474">
      <c r="A474" s="2">
        <v>473.0</v>
      </c>
      <c r="B474" s="2">
        <v>22840.0</v>
      </c>
      <c r="C474" s="2" t="s">
        <v>590</v>
      </c>
      <c r="D474" s="2">
        <v>7.95</v>
      </c>
      <c r="E474" s="2">
        <v>654.0</v>
      </c>
      <c r="F474" s="2">
        <v>4956.18</v>
      </c>
      <c r="G474" s="4">
        <f t="shared" si="3"/>
        <v>5845976</v>
      </c>
      <c r="H474" s="4">
        <f t="shared" si="1"/>
        <v>0.6125020922</v>
      </c>
      <c r="I474" s="4" t="str">
        <f t="shared" si="2"/>
        <v>A</v>
      </c>
    </row>
    <row r="475">
      <c r="A475" s="2">
        <v>474.0</v>
      </c>
      <c r="B475" s="2">
        <v>84792.0</v>
      </c>
      <c r="C475" s="2" t="s">
        <v>591</v>
      </c>
      <c r="D475" s="2">
        <v>4.65</v>
      </c>
      <c r="E475" s="2">
        <v>1119.0</v>
      </c>
      <c r="F475" s="2">
        <v>4947.78</v>
      </c>
      <c r="G475" s="4">
        <f t="shared" si="3"/>
        <v>5850923.78</v>
      </c>
      <c r="H475" s="4">
        <f t="shared" si="1"/>
        <v>0.6130204874</v>
      </c>
      <c r="I475" s="4" t="str">
        <f t="shared" si="2"/>
        <v>A</v>
      </c>
    </row>
    <row r="476">
      <c r="A476" s="2">
        <v>475.0</v>
      </c>
      <c r="B476" s="2">
        <v>22429.0</v>
      </c>
      <c r="C476" s="2" t="s">
        <v>592</v>
      </c>
      <c r="D476" s="2">
        <v>4.25</v>
      </c>
      <c r="E476" s="2">
        <v>1143.0</v>
      </c>
      <c r="F476" s="2">
        <v>4934.77</v>
      </c>
      <c r="G476" s="4">
        <f t="shared" si="3"/>
        <v>5855858.55</v>
      </c>
      <c r="H476" s="4">
        <f t="shared" si="1"/>
        <v>0.6135375194</v>
      </c>
      <c r="I476" s="4" t="str">
        <f t="shared" si="2"/>
        <v>A</v>
      </c>
    </row>
    <row r="477">
      <c r="A477" s="2">
        <v>476.0</v>
      </c>
      <c r="B477" s="2">
        <v>22992.0</v>
      </c>
      <c r="C477" s="2" t="s">
        <v>593</v>
      </c>
      <c r="D477" s="2">
        <v>1.95</v>
      </c>
      <c r="E477" s="2">
        <v>2465.0</v>
      </c>
      <c r="F477" s="2">
        <v>4932.97</v>
      </c>
      <c r="G477" s="4">
        <f t="shared" si="3"/>
        <v>5860791.52</v>
      </c>
      <c r="H477" s="4">
        <f t="shared" si="1"/>
        <v>0.6140543629</v>
      </c>
      <c r="I477" s="4" t="str">
        <f t="shared" si="2"/>
        <v>A</v>
      </c>
    </row>
    <row r="478">
      <c r="A478" s="2">
        <v>477.0</v>
      </c>
      <c r="B478" s="2">
        <v>22466.0</v>
      </c>
      <c r="C478" s="2" t="s">
        <v>594</v>
      </c>
      <c r="D478" s="2">
        <v>1.95</v>
      </c>
      <c r="E478" s="2">
        <v>2652.0</v>
      </c>
      <c r="F478" s="2">
        <v>4919.81</v>
      </c>
      <c r="G478" s="4">
        <f t="shared" si="3"/>
        <v>5865711.33</v>
      </c>
      <c r="H478" s="4">
        <f t="shared" si="1"/>
        <v>0.6145698275</v>
      </c>
      <c r="I478" s="4" t="str">
        <f t="shared" si="2"/>
        <v>A</v>
      </c>
    </row>
    <row r="479">
      <c r="A479" s="2">
        <v>478.0</v>
      </c>
      <c r="B479" s="2">
        <v>20677.0</v>
      </c>
      <c r="C479" s="2" t="s">
        <v>595</v>
      </c>
      <c r="D479" s="2">
        <v>1.25</v>
      </c>
      <c r="E479" s="2">
        <v>3894.0</v>
      </c>
      <c r="F479" s="2">
        <v>4907.78</v>
      </c>
      <c r="G479" s="4">
        <f t="shared" si="3"/>
        <v>5870619.11</v>
      </c>
      <c r="H479" s="4">
        <f t="shared" si="1"/>
        <v>0.6150840317</v>
      </c>
      <c r="I479" s="4" t="str">
        <f t="shared" si="2"/>
        <v>A</v>
      </c>
    </row>
    <row r="480">
      <c r="A480" s="2">
        <v>479.0</v>
      </c>
      <c r="B480" s="2">
        <v>21488.0</v>
      </c>
      <c r="C480" s="2" t="s">
        <v>596</v>
      </c>
      <c r="D480" s="2">
        <v>3.95</v>
      </c>
      <c r="E480" s="2">
        <v>1194.0</v>
      </c>
      <c r="F480" s="2">
        <v>4902.16</v>
      </c>
      <c r="G480" s="4">
        <f t="shared" si="3"/>
        <v>5875521.27</v>
      </c>
      <c r="H480" s="4">
        <f t="shared" si="1"/>
        <v>0.6155976471</v>
      </c>
      <c r="I480" s="4" t="str">
        <f t="shared" si="2"/>
        <v>A</v>
      </c>
    </row>
    <row r="481">
      <c r="A481" s="2">
        <v>480.0</v>
      </c>
      <c r="B481" s="2">
        <v>22745.0</v>
      </c>
      <c r="C481" s="2" t="s">
        <v>597</v>
      </c>
      <c r="D481" s="2">
        <v>2.1</v>
      </c>
      <c r="E481" s="2">
        <v>1992.0</v>
      </c>
      <c r="F481" s="2">
        <v>4889.67</v>
      </c>
      <c r="G481" s="4">
        <f t="shared" si="3"/>
        <v>5880410.94</v>
      </c>
      <c r="H481" s="4">
        <f t="shared" si="1"/>
        <v>0.6161099539</v>
      </c>
      <c r="I481" s="4" t="str">
        <f t="shared" si="2"/>
        <v>A</v>
      </c>
    </row>
    <row r="482">
      <c r="A482" s="2">
        <v>481.0</v>
      </c>
      <c r="B482" s="2">
        <v>22549.0</v>
      </c>
      <c r="C482" s="2" t="s">
        <v>598</v>
      </c>
      <c r="D482" s="2">
        <v>1.45</v>
      </c>
      <c r="E482" s="2">
        <v>3264.0</v>
      </c>
      <c r="F482" s="2">
        <v>4864.28</v>
      </c>
      <c r="G482" s="4">
        <f t="shared" si="3"/>
        <v>5885275.22</v>
      </c>
      <c r="H482" s="4">
        <f t="shared" si="1"/>
        <v>0.6166196005</v>
      </c>
      <c r="I482" s="4" t="str">
        <f t="shared" si="2"/>
        <v>A</v>
      </c>
    </row>
    <row r="483">
      <c r="A483" s="2">
        <v>482.0</v>
      </c>
      <c r="B483" s="2">
        <v>79000.0</v>
      </c>
      <c r="C483" s="2" t="s">
        <v>599</v>
      </c>
      <c r="D483" s="2">
        <v>0.85</v>
      </c>
      <c r="E483" s="2">
        <v>5932.0</v>
      </c>
      <c r="F483" s="2">
        <v>4848.46</v>
      </c>
      <c r="G483" s="4">
        <f t="shared" si="3"/>
        <v>5890123.68</v>
      </c>
      <c r="H483" s="4">
        <f t="shared" si="1"/>
        <v>0.6171275895</v>
      </c>
      <c r="I483" s="4" t="str">
        <f t="shared" si="2"/>
        <v>A</v>
      </c>
    </row>
    <row r="484">
      <c r="A484" s="2">
        <v>483.0</v>
      </c>
      <c r="B484" s="2">
        <v>21749.0</v>
      </c>
      <c r="C484" s="2" t="s">
        <v>600</v>
      </c>
      <c r="D484" s="2">
        <v>2.1</v>
      </c>
      <c r="E484" s="2">
        <v>2466.0</v>
      </c>
      <c r="F484" s="2">
        <v>4818.19</v>
      </c>
      <c r="G484" s="4">
        <f t="shared" si="3"/>
        <v>5894941.87</v>
      </c>
      <c r="H484" s="4">
        <f t="shared" si="1"/>
        <v>0.6176324071</v>
      </c>
      <c r="I484" s="4" t="str">
        <f t="shared" si="2"/>
        <v>A</v>
      </c>
    </row>
    <row r="485">
      <c r="A485" s="2">
        <v>484.0</v>
      </c>
      <c r="B485" s="2" t="s">
        <v>601</v>
      </c>
      <c r="C485" s="2" t="s">
        <v>602</v>
      </c>
      <c r="D485" s="2">
        <v>10.65</v>
      </c>
      <c r="E485" s="2">
        <v>486.0</v>
      </c>
      <c r="F485" s="2">
        <v>4811.14</v>
      </c>
      <c r="G485" s="4">
        <f t="shared" si="3"/>
        <v>5899753.01</v>
      </c>
      <c r="H485" s="4">
        <f t="shared" si="1"/>
        <v>0.618136486</v>
      </c>
      <c r="I485" s="4" t="str">
        <f t="shared" si="2"/>
        <v>A</v>
      </c>
    </row>
    <row r="486">
      <c r="A486" s="2">
        <v>485.0</v>
      </c>
      <c r="B486" s="2">
        <v>35961.0</v>
      </c>
      <c r="C486" s="2" t="s">
        <v>603</v>
      </c>
      <c r="D486" s="2">
        <v>0.85</v>
      </c>
      <c r="E486" s="2">
        <v>5736.0</v>
      </c>
      <c r="F486" s="2">
        <v>4775.24</v>
      </c>
      <c r="G486" s="4">
        <f t="shared" si="3"/>
        <v>5904528.25</v>
      </c>
      <c r="H486" s="4">
        <f t="shared" si="1"/>
        <v>0.6186368036</v>
      </c>
      <c r="I486" s="4" t="str">
        <f t="shared" si="2"/>
        <v>A</v>
      </c>
    </row>
    <row r="487">
      <c r="A487" s="2">
        <v>486.0</v>
      </c>
      <c r="B487" s="2">
        <v>22665.0</v>
      </c>
      <c r="C487" s="2" t="s">
        <v>604</v>
      </c>
      <c r="D487" s="2">
        <v>2.95</v>
      </c>
      <c r="E487" s="2">
        <v>1470.0</v>
      </c>
      <c r="F487" s="2">
        <v>4771.32</v>
      </c>
      <c r="G487" s="4">
        <f t="shared" si="3"/>
        <v>5909299.57</v>
      </c>
      <c r="H487" s="4">
        <f t="shared" si="1"/>
        <v>0.6191367105</v>
      </c>
      <c r="I487" s="4" t="str">
        <f t="shared" si="2"/>
        <v>A</v>
      </c>
    </row>
    <row r="488">
      <c r="A488" s="2">
        <v>487.0</v>
      </c>
      <c r="B488" s="2">
        <v>82552.0</v>
      </c>
      <c r="C488" s="2" t="s">
        <v>605</v>
      </c>
      <c r="D488" s="2">
        <v>1.45</v>
      </c>
      <c r="E488" s="2">
        <v>3482.0</v>
      </c>
      <c r="F488" s="2">
        <v>4770.53</v>
      </c>
      <c r="G488" s="4">
        <f t="shared" si="3"/>
        <v>5914070.1</v>
      </c>
      <c r="H488" s="4">
        <f t="shared" si="1"/>
        <v>0.6196365345</v>
      </c>
      <c r="I488" s="4" t="str">
        <f t="shared" si="2"/>
        <v>A</v>
      </c>
    </row>
    <row r="489">
      <c r="A489" s="2">
        <v>488.0</v>
      </c>
      <c r="B489" s="2">
        <v>16014.0</v>
      </c>
      <c r="C489" s="2" t="s">
        <v>606</v>
      </c>
      <c r="D489" s="2">
        <v>0.42</v>
      </c>
      <c r="E489" s="2">
        <v>14678.0</v>
      </c>
      <c r="F489" s="2">
        <v>4756.55</v>
      </c>
      <c r="G489" s="4">
        <f t="shared" si="3"/>
        <v>5918826.65</v>
      </c>
      <c r="H489" s="4">
        <f t="shared" si="1"/>
        <v>0.6201348939</v>
      </c>
      <c r="I489" s="4" t="str">
        <f t="shared" si="2"/>
        <v>A</v>
      </c>
    </row>
    <row r="490">
      <c r="A490" s="2">
        <v>489.0</v>
      </c>
      <c r="B490" s="2">
        <v>23175.0</v>
      </c>
      <c r="C490" s="2" t="s">
        <v>607</v>
      </c>
      <c r="D490" s="2">
        <v>3.25</v>
      </c>
      <c r="E490" s="2">
        <v>1558.0</v>
      </c>
      <c r="F490" s="2">
        <v>4734.08</v>
      </c>
      <c r="G490" s="4">
        <f t="shared" si="3"/>
        <v>5923560.73</v>
      </c>
      <c r="H490" s="4">
        <f t="shared" si="1"/>
        <v>0.620630899</v>
      </c>
      <c r="I490" s="4" t="str">
        <f t="shared" si="2"/>
        <v>A</v>
      </c>
    </row>
    <row r="491">
      <c r="A491" s="2">
        <v>490.0</v>
      </c>
      <c r="B491" s="2">
        <v>21716.0</v>
      </c>
      <c r="C491" s="2" t="s">
        <v>608</v>
      </c>
      <c r="D491" s="2">
        <v>2.55</v>
      </c>
      <c r="E491" s="2">
        <v>1862.0</v>
      </c>
      <c r="F491" s="2">
        <v>4716.38</v>
      </c>
      <c r="G491" s="4">
        <f t="shared" si="3"/>
        <v>5928277.11</v>
      </c>
      <c r="H491" s="4">
        <f t="shared" si="1"/>
        <v>0.6211250496</v>
      </c>
      <c r="I491" s="4" t="str">
        <f t="shared" si="2"/>
        <v>A</v>
      </c>
    </row>
    <row r="492">
      <c r="A492" s="2">
        <v>491.0</v>
      </c>
      <c r="B492" s="2">
        <v>21385.0</v>
      </c>
      <c r="C492" s="2" t="s">
        <v>609</v>
      </c>
      <c r="D492" s="2">
        <v>0.85</v>
      </c>
      <c r="E492" s="2">
        <v>5456.0</v>
      </c>
      <c r="F492" s="2">
        <v>4713.47</v>
      </c>
      <c r="G492" s="4">
        <f t="shared" si="3"/>
        <v>5932990.58</v>
      </c>
      <c r="H492" s="4">
        <f t="shared" si="1"/>
        <v>0.6216188953</v>
      </c>
      <c r="I492" s="4" t="str">
        <f t="shared" si="2"/>
        <v>A</v>
      </c>
    </row>
    <row r="493">
      <c r="A493" s="2">
        <v>492.0</v>
      </c>
      <c r="B493" s="2">
        <v>20970.0</v>
      </c>
      <c r="C493" s="2" t="s">
        <v>610</v>
      </c>
      <c r="D493" s="2">
        <v>3.75</v>
      </c>
      <c r="E493" s="2">
        <v>1246.0</v>
      </c>
      <c r="F493" s="2">
        <v>4699.27</v>
      </c>
      <c r="G493" s="4">
        <f t="shared" si="3"/>
        <v>5937689.85</v>
      </c>
      <c r="H493" s="4">
        <f t="shared" si="1"/>
        <v>0.6221112533</v>
      </c>
      <c r="I493" s="4" t="str">
        <f t="shared" si="2"/>
        <v>A</v>
      </c>
    </row>
    <row r="494">
      <c r="A494" s="2">
        <v>493.0</v>
      </c>
      <c r="B494" s="2">
        <v>22767.0</v>
      </c>
      <c r="C494" s="2" t="s">
        <v>611</v>
      </c>
      <c r="D494" s="2">
        <v>9.95</v>
      </c>
      <c r="E494" s="2">
        <v>497.0</v>
      </c>
      <c r="F494" s="2">
        <v>4689.36</v>
      </c>
      <c r="G494" s="4">
        <f t="shared" si="3"/>
        <v>5942379.21</v>
      </c>
      <c r="H494" s="4">
        <f t="shared" si="1"/>
        <v>0.6226025729</v>
      </c>
      <c r="I494" s="4" t="str">
        <f t="shared" si="2"/>
        <v>A</v>
      </c>
    </row>
    <row r="495">
      <c r="A495" s="2">
        <v>494.0</v>
      </c>
      <c r="B495" s="2">
        <v>22978.0</v>
      </c>
      <c r="C495" s="2" t="s">
        <v>612</v>
      </c>
      <c r="D495" s="2">
        <v>3.75</v>
      </c>
      <c r="E495" s="2">
        <v>1206.0</v>
      </c>
      <c r="F495" s="2">
        <v>4687.43</v>
      </c>
      <c r="G495" s="4">
        <f t="shared" si="3"/>
        <v>5947066.64</v>
      </c>
      <c r="H495" s="4">
        <f t="shared" si="1"/>
        <v>0.6230936903</v>
      </c>
      <c r="I495" s="4" t="str">
        <f t="shared" si="2"/>
        <v>A</v>
      </c>
    </row>
    <row r="496">
      <c r="A496" s="2">
        <v>495.0</v>
      </c>
      <c r="B496" s="2">
        <v>84692.0</v>
      </c>
      <c r="C496" s="2" t="s">
        <v>613</v>
      </c>
      <c r="D496" s="2">
        <v>0.42</v>
      </c>
      <c r="E496" s="2">
        <v>9548.0</v>
      </c>
      <c r="F496" s="2">
        <v>4670.86</v>
      </c>
      <c r="G496" s="4">
        <f t="shared" si="3"/>
        <v>5951737.5</v>
      </c>
      <c r="H496" s="4">
        <f t="shared" si="1"/>
        <v>0.6235830717</v>
      </c>
      <c r="I496" s="4" t="str">
        <f t="shared" si="2"/>
        <v>A</v>
      </c>
    </row>
    <row r="497">
      <c r="A497" s="2">
        <v>496.0</v>
      </c>
      <c r="B497" s="2">
        <v>21243.0</v>
      </c>
      <c r="C497" s="2" t="s">
        <v>614</v>
      </c>
      <c r="D497" s="2">
        <v>1.69</v>
      </c>
      <c r="E497" s="2">
        <v>2812.0</v>
      </c>
      <c r="F497" s="2">
        <v>4632.86</v>
      </c>
      <c r="G497" s="4">
        <f t="shared" si="3"/>
        <v>5956370.36</v>
      </c>
      <c r="H497" s="4">
        <f t="shared" si="1"/>
        <v>0.6240684716</v>
      </c>
      <c r="I497" s="4" t="str">
        <f t="shared" si="2"/>
        <v>A</v>
      </c>
    </row>
    <row r="498">
      <c r="A498" s="2">
        <v>497.0</v>
      </c>
      <c r="B498" s="2">
        <v>22357.0</v>
      </c>
      <c r="C498" s="2" t="s">
        <v>615</v>
      </c>
      <c r="D498" s="2">
        <v>4.25</v>
      </c>
      <c r="E498" s="2">
        <v>1026.0</v>
      </c>
      <c r="F498" s="2">
        <v>4632.46</v>
      </c>
      <c r="G498" s="4">
        <f t="shared" si="3"/>
        <v>5961002.82</v>
      </c>
      <c r="H498" s="4">
        <f t="shared" si="1"/>
        <v>0.6245538297</v>
      </c>
      <c r="I498" s="4" t="str">
        <f t="shared" si="2"/>
        <v>A</v>
      </c>
    </row>
    <row r="499">
      <c r="A499" s="2">
        <v>498.0</v>
      </c>
      <c r="B499" s="2">
        <v>22219.0</v>
      </c>
      <c r="C499" s="2" t="s">
        <v>616</v>
      </c>
      <c r="D499" s="2">
        <v>0.85</v>
      </c>
      <c r="E499" s="2">
        <v>4882.0</v>
      </c>
      <c r="F499" s="2">
        <v>4631.84</v>
      </c>
      <c r="G499" s="4">
        <f t="shared" si="3"/>
        <v>5965634.66</v>
      </c>
      <c r="H499" s="4">
        <f t="shared" si="1"/>
        <v>0.6250391227</v>
      </c>
      <c r="I499" s="4" t="str">
        <f t="shared" si="2"/>
        <v>A</v>
      </c>
    </row>
    <row r="500">
      <c r="A500" s="2">
        <v>499.0</v>
      </c>
      <c r="B500" s="2">
        <v>21658.0</v>
      </c>
      <c r="C500" s="2" t="s">
        <v>617</v>
      </c>
      <c r="D500" s="2">
        <v>3.95</v>
      </c>
      <c r="E500" s="2">
        <v>1110.0</v>
      </c>
      <c r="F500" s="2">
        <v>4628.04</v>
      </c>
      <c r="G500" s="4">
        <f t="shared" si="3"/>
        <v>5970262.7</v>
      </c>
      <c r="H500" s="4">
        <f t="shared" si="1"/>
        <v>0.6255240177</v>
      </c>
      <c r="I500" s="4" t="str">
        <f t="shared" si="2"/>
        <v>A</v>
      </c>
    </row>
    <row r="501">
      <c r="A501" s="2">
        <v>500.0</v>
      </c>
      <c r="B501" s="2">
        <v>22072.0</v>
      </c>
      <c r="C501" s="2" t="s">
        <v>618</v>
      </c>
      <c r="D501" s="2">
        <v>3.75</v>
      </c>
      <c r="E501" s="2">
        <v>1204.0</v>
      </c>
      <c r="F501" s="2">
        <v>4621.76</v>
      </c>
      <c r="G501" s="4">
        <f t="shared" si="3"/>
        <v>5974884.46</v>
      </c>
      <c r="H501" s="4">
        <f t="shared" si="1"/>
        <v>0.6260082546</v>
      </c>
      <c r="I501" s="4" t="str">
        <f t="shared" si="2"/>
        <v>A</v>
      </c>
    </row>
    <row r="502">
      <c r="A502" s="2">
        <v>501.0</v>
      </c>
      <c r="B502" s="2">
        <v>20747.0</v>
      </c>
      <c r="C502" s="2" t="s">
        <v>619</v>
      </c>
      <c r="D502" s="2">
        <v>14.95</v>
      </c>
      <c r="E502" s="2">
        <v>341.0</v>
      </c>
      <c r="F502" s="2">
        <v>4604.98</v>
      </c>
      <c r="G502" s="4">
        <f t="shared" si="3"/>
        <v>5979489.44</v>
      </c>
      <c r="H502" s="4">
        <f t="shared" si="1"/>
        <v>0.6264907335</v>
      </c>
      <c r="I502" s="4" t="str">
        <f t="shared" si="2"/>
        <v>A</v>
      </c>
    </row>
    <row r="503">
      <c r="A503" s="2">
        <v>502.0</v>
      </c>
      <c r="B503" s="2">
        <v>22121.0</v>
      </c>
      <c r="C503" s="2" t="s">
        <v>620</v>
      </c>
      <c r="D503" s="2">
        <v>5.95</v>
      </c>
      <c r="E503" s="2">
        <v>744.0</v>
      </c>
      <c r="F503" s="2">
        <v>4604.63</v>
      </c>
      <c r="G503" s="4">
        <f t="shared" si="3"/>
        <v>5984094.07</v>
      </c>
      <c r="H503" s="4">
        <f t="shared" si="1"/>
        <v>0.6269731757</v>
      </c>
      <c r="I503" s="4" t="str">
        <f t="shared" si="2"/>
        <v>A</v>
      </c>
    </row>
    <row r="504">
      <c r="A504" s="2">
        <v>503.0</v>
      </c>
      <c r="B504" s="2">
        <v>22195.0</v>
      </c>
      <c r="C504" s="2" t="s">
        <v>621</v>
      </c>
      <c r="D504" s="2">
        <v>1.65</v>
      </c>
      <c r="E504" s="2">
        <v>2568.0</v>
      </c>
      <c r="F504" s="2">
        <v>4580.37</v>
      </c>
      <c r="G504" s="4">
        <f t="shared" si="3"/>
        <v>5988674.44</v>
      </c>
      <c r="H504" s="4">
        <f t="shared" si="1"/>
        <v>0.6274530761</v>
      </c>
      <c r="I504" s="4" t="str">
        <f t="shared" si="2"/>
        <v>A</v>
      </c>
    </row>
    <row r="505">
      <c r="A505" s="2">
        <v>504.0</v>
      </c>
      <c r="B505" s="2">
        <v>21745.0</v>
      </c>
      <c r="C505" s="2" t="s">
        <v>622</v>
      </c>
      <c r="D505" s="2">
        <v>3.75</v>
      </c>
      <c r="E505" s="2">
        <v>1344.0</v>
      </c>
      <c r="F505" s="2">
        <v>4580.12</v>
      </c>
      <c r="G505" s="4">
        <f t="shared" si="3"/>
        <v>5993254.56</v>
      </c>
      <c r="H505" s="4">
        <f t="shared" si="1"/>
        <v>0.6279329503</v>
      </c>
      <c r="I505" s="4" t="str">
        <f t="shared" si="2"/>
        <v>A</v>
      </c>
    </row>
    <row r="506">
      <c r="A506" s="2">
        <v>505.0</v>
      </c>
      <c r="B506" s="2">
        <v>22741.0</v>
      </c>
      <c r="C506" s="2" t="s">
        <v>623</v>
      </c>
      <c r="D506" s="2">
        <v>0.85</v>
      </c>
      <c r="E506" s="2">
        <v>5302.0</v>
      </c>
      <c r="F506" s="2">
        <v>4566.12</v>
      </c>
      <c r="G506" s="4">
        <f t="shared" si="3"/>
        <v>5997820.68</v>
      </c>
      <c r="H506" s="4">
        <f t="shared" si="1"/>
        <v>0.6284113577</v>
      </c>
      <c r="I506" s="4" t="str">
        <f t="shared" si="2"/>
        <v>A</v>
      </c>
    </row>
    <row r="507">
      <c r="A507" s="2">
        <v>506.0</v>
      </c>
      <c r="B507" s="2" t="s">
        <v>624</v>
      </c>
      <c r="C507" s="2" t="s">
        <v>625</v>
      </c>
      <c r="D507" s="2">
        <v>4.25</v>
      </c>
      <c r="E507" s="2">
        <v>1068.0</v>
      </c>
      <c r="F507" s="2">
        <v>4550.82</v>
      </c>
      <c r="G507" s="4">
        <f t="shared" si="3"/>
        <v>6002371.5</v>
      </c>
      <c r="H507" s="4">
        <f t="shared" si="1"/>
        <v>0.628888162</v>
      </c>
      <c r="I507" s="4" t="str">
        <f t="shared" si="2"/>
        <v>A</v>
      </c>
    </row>
    <row r="508">
      <c r="A508" s="2">
        <v>507.0</v>
      </c>
      <c r="B508" s="2">
        <v>23080.0</v>
      </c>
      <c r="C508" s="2" t="s">
        <v>626</v>
      </c>
      <c r="D508" s="2">
        <v>8.25</v>
      </c>
      <c r="E508" s="2">
        <v>536.0</v>
      </c>
      <c r="F508" s="2">
        <v>4550.56</v>
      </c>
      <c r="G508" s="4">
        <f t="shared" si="3"/>
        <v>6006922.06</v>
      </c>
      <c r="H508" s="4">
        <f t="shared" si="1"/>
        <v>0.6293649391</v>
      </c>
      <c r="I508" s="4" t="str">
        <f t="shared" si="2"/>
        <v>A</v>
      </c>
    </row>
    <row r="509">
      <c r="A509" s="2">
        <v>508.0</v>
      </c>
      <c r="B509" s="2">
        <v>21777.0</v>
      </c>
      <c r="C509" s="2" t="s">
        <v>627</v>
      </c>
      <c r="D509" s="2">
        <v>7.95</v>
      </c>
      <c r="E509" s="2">
        <v>564.0</v>
      </c>
      <c r="F509" s="2">
        <v>4549.68</v>
      </c>
      <c r="G509" s="4">
        <f t="shared" si="3"/>
        <v>6011471.74</v>
      </c>
      <c r="H509" s="4">
        <f t="shared" si="1"/>
        <v>0.629841624</v>
      </c>
      <c r="I509" s="4" t="str">
        <f t="shared" si="2"/>
        <v>A</v>
      </c>
    </row>
    <row r="510">
      <c r="A510" s="2">
        <v>509.0</v>
      </c>
      <c r="B510" s="2">
        <v>21933.0</v>
      </c>
      <c r="C510" s="2" t="s">
        <v>628</v>
      </c>
      <c r="D510" s="2">
        <v>2.46</v>
      </c>
      <c r="E510" s="2">
        <v>2060.0</v>
      </c>
      <c r="F510" s="2">
        <v>4547.77</v>
      </c>
      <c r="G510" s="4">
        <f t="shared" si="3"/>
        <v>6016019.51</v>
      </c>
      <c r="H510" s="4">
        <f t="shared" si="1"/>
        <v>0.6303181088</v>
      </c>
      <c r="I510" s="4" t="str">
        <f t="shared" si="2"/>
        <v>A</v>
      </c>
    </row>
    <row r="511">
      <c r="A511" s="2">
        <v>510.0</v>
      </c>
      <c r="B511" s="2">
        <v>23319.0</v>
      </c>
      <c r="C511" s="2" t="s">
        <v>629</v>
      </c>
      <c r="D511" s="2">
        <v>2.49</v>
      </c>
      <c r="E511" s="2">
        <v>1822.0</v>
      </c>
      <c r="F511" s="2">
        <v>4533.58</v>
      </c>
      <c r="G511" s="4">
        <f t="shared" si="3"/>
        <v>6020553.09</v>
      </c>
      <c r="H511" s="4">
        <f t="shared" si="1"/>
        <v>0.6307931069</v>
      </c>
      <c r="I511" s="4" t="str">
        <f t="shared" si="2"/>
        <v>A</v>
      </c>
    </row>
    <row r="512">
      <c r="A512" s="2">
        <v>511.0</v>
      </c>
      <c r="B512" s="2">
        <v>21041.0</v>
      </c>
      <c r="C512" s="2" t="s">
        <v>630</v>
      </c>
      <c r="D512" s="2">
        <v>2.95</v>
      </c>
      <c r="E512" s="2">
        <v>1334.0</v>
      </c>
      <c r="F512" s="2">
        <v>4527.6</v>
      </c>
      <c r="G512" s="4">
        <f t="shared" si="3"/>
        <v>6025080.69</v>
      </c>
      <c r="H512" s="4">
        <f t="shared" si="1"/>
        <v>0.6312674784</v>
      </c>
      <c r="I512" s="4" t="str">
        <f t="shared" si="2"/>
        <v>A</v>
      </c>
    </row>
    <row r="513">
      <c r="A513" s="2">
        <v>512.0</v>
      </c>
      <c r="B513" s="2">
        <v>22244.0</v>
      </c>
      <c r="C513" s="2" t="s">
        <v>631</v>
      </c>
      <c r="D513" s="2">
        <v>1.95</v>
      </c>
      <c r="E513" s="2">
        <v>2368.0</v>
      </c>
      <c r="F513" s="2">
        <v>4527.58</v>
      </c>
      <c r="G513" s="4">
        <f t="shared" si="3"/>
        <v>6029608.27</v>
      </c>
      <c r="H513" s="4">
        <f t="shared" si="1"/>
        <v>0.6317418478</v>
      </c>
      <c r="I513" s="4" t="str">
        <f t="shared" si="2"/>
        <v>A</v>
      </c>
    </row>
    <row r="514">
      <c r="A514" s="2">
        <v>513.0</v>
      </c>
      <c r="B514" s="2">
        <v>21985.0</v>
      </c>
      <c r="C514" s="2" t="s">
        <v>632</v>
      </c>
      <c r="D514" s="2">
        <v>0.29</v>
      </c>
      <c r="E514" s="2">
        <v>12762.0</v>
      </c>
      <c r="F514" s="2">
        <v>4486.05</v>
      </c>
      <c r="G514" s="4">
        <f t="shared" si="3"/>
        <v>6034094.32</v>
      </c>
      <c r="H514" s="4">
        <f t="shared" si="1"/>
        <v>0.632211866</v>
      </c>
      <c r="I514" s="4" t="str">
        <f t="shared" si="2"/>
        <v>A</v>
      </c>
    </row>
    <row r="515">
      <c r="A515" s="2">
        <v>514.0</v>
      </c>
      <c r="B515" s="2">
        <v>22942.0</v>
      </c>
      <c r="C515" s="2" t="s">
        <v>633</v>
      </c>
      <c r="D515" s="2">
        <v>8.5</v>
      </c>
      <c r="E515" s="2">
        <v>578.0</v>
      </c>
      <c r="F515" s="2">
        <v>4473.11</v>
      </c>
      <c r="G515" s="4">
        <f t="shared" si="3"/>
        <v>6038567.43</v>
      </c>
      <c r="H515" s="4">
        <f t="shared" si="1"/>
        <v>0.6326805284</v>
      </c>
      <c r="I515" s="4" t="str">
        <f t="shared" si="2"/>
        <v>A</v>
      </c>
    </row>
    <row r="516">
      <c r="A516" s="2">
        <v>515.0</v>
      </c>
      <c r="B516" s="2">
        <v>23439.0</v>
      </c>
      <c r="C516" s="2" t="s">
        <v>634</v>
      </c>
      <c r="D516" s="2">
        <v>2.1</v>
      </c>
      <c r="E516" s="2">
        <v>2014.0</v>
      </c>
      <c r="F516" s="2">
        <v>4470.8</v>
      </c>
      <c r="G516" s="4">
        <f t="shared" si="3"/>
        <v>6043038.23</v>
      </c>
      <c r="H516" s="4">
        <f t="shared" si="1"/>
        <v>0.6331489488</v>
      </c>
      <c r="I516" s="4" t="str">
        <f t="shared" si="2"/>
        <v>A</v>
      </c>
    </row>
    <row r="517">
      <c r="A517" s="2">
        <v>516.0</v>
      </c>
      <c r="B517" s="2">
        <v>22371.0</v>
      </c>
      <c r="C517" s="2" t="s">
        <v>635</v>
      </c>
      <c r="D517" s="2">
        <v>4.25</v>
      </c>
      <c r="E517" s="2">
        <v>914.0</v>
      </c>
      <c r="F517" s="2">
        <v>4467.85</v>
      </c>
      <c r="G517" s="4">
        <f t="shared" si="3"/>
        <v>6047506.08</v>
      </c>
      <c r="H517" s="4">
        <f t="shared" si="1"/>
        <v>0.6336170601</v>
      </c>
      <c r="I517" s="4" t="str">
        <f t="shared" si="2"/>
        <v>A</v>
      </c>
    </row>
    <row r="518">
      <c r="A518" s="2">
        <v>517.0</v>
      </c>
      <c r="B518" s="2">
        <v>22989.0</v>
      </c>
      <c r="C518" s="2" t="s">
        <v>636</v>
      </c>
      <c r="D518" s="2">
        <v>3.25</v>
      </c>
      <c r="E518" s="2">
        <v>1396.0</v>
      </c>
      <c r="F518" s="2">
        <v>4467.14</v>
      </c>
      <c r="G518" s="4">
        <f t="shared" si="3"/>
        <v>6051973.22</v>
      </c>
      <c r="H518" s="4">
        <f t="shared" si="1"/>
        <v>0.634085097</v>
      </c>
      <c r="I518" s="4" t="str">
        <f t="shared" si="2"/>
        <v>A</v>
      </c>
    </row>
    <row r="519">
      <c r="A519" s="2">
        <v>518.0</v>
      </c>
      <c r="B519" s="2">
        <v>21715.0</v>
      </c>
      <c r="C519" s="2" t="s">
        <v>637</v>
      </c>
      <c r="D519" s="2">
        <v>2.55</v>
      </c>
      <c r="E519" s="2">
        <v>1760.0</v>
      </c>
      <c r="F519" s="2">
        <v>4460.02</v>
      </c>
      <c r="G519" s="4">
        <f t="shared" si="3"/>
        <v>6056433.24</v>
      </c>
      <c r="H519" s="4">
        <f t="shared" si="1"/>
        <v>0.634552388</v>
      </c>
      <c r="I519" s="4" t="str">
        <f t="shared" si="2"/>
        <v>A</v>
      </c>
    </row>
    <row r="520">
      <c r="A520" s="2">
        <v>519.0</v>
      </c>
      <c r="B520" s="2">
        <v>22839.0</v>
      </c>
      <c r="C520" s="2" t="s">
        <v>638</v>
      </c>
      <c r="D520" s="2">
        <v>14.95</v>
      </c>
      <c r="E520" s="2">
        <v>288.0</v>
      </c>
      <c r="F520" s="2">
        <v>4455.68</v>
      </c>
      <c r="G520" s="4">
        <f t="shared" si="3"/>
        <v>6060888.92</v>
      </c>
      <c r="H520" s="4">
        <f t="shared" si="1"/>
        <v>0.6350192242</v>
      </c>
      <c r="I520" s="4" t="str">
        <f t="shared" si="2"/>
        <v>A</v>
      </c>
    </row>
    <row r="521">
      <c r="A521" s="2">
        <v>520.0</v>
      </c>
      <c r="B521" s="2">
        <v>22141.0</v>
      </c>
      <c r="C521" s="2" t="s">
        <v>639</v>
      </c>
      <c r="D521" s="2">
        <v>2.1</v>
      </c>
      <c r="E521" s="2">
        <v>1835.0</v>
      </c>
      <c r="F521" s="2">
        <v>4454.96</v>
      </c>
      <c r="G521" s="4">
        <f t="shared" si="3"/>
        <v>6065343.88</v>
      </c>
      <c r="H521" s="4">
        <f t="shared" si="1"/>
        <v>0.635485985</v>
      </c>
      <c r="I521" s="4" t="str">
        <f t="shared" si="2"/>
        <v>A</v>
      </c>
    </row>
    <row r="522">
      <c r="A522" s="2">
        <v>521.0</v>
      </c>
      <c r="B522" s="2">
        <v>23318.0</v>
      </c>
      <c r="C522" s="2" t="s">
        <v>640</v>
      </c>
      <c r="D522" s="2">
        <v>2.49</v>
      </c>
      <c r="E522" s="2">
        <v>1836.0</v>
      </c>
      <c r="F522" s="2">
        <v>4429.08</v>
      </c>
      <c r="G522" s="4">
        <f t="shared" si="3"/>
        <v>6069772.96</v>
      </c>
      <c r="H522" s="4">
        <f t="shared" si="1"/>
        <v>0.6359500342</v>
      </c>
      <c r="I522" s="4" t="str">
        <f t="shared" si="2"/>
        <v>A</v>
      </c>
    </row>
    <row r="523">
      <c r="A523" s="2">
        <v>522.0</v>
      </c>
      <c r="B523" s="2">
        <v>23322.0</v>
      </c>
      <c r="C523" s="2" t="s">
        <v>641</v>
      </c>
      <c r="D523" s="2">
        <v>2.95</v>
      </c>
      <c r="E523" s="2">
        <v>1522.0</v>
      </c>
      <c r="F523" s="2">
        <v>4411.71</v>
      </c>
      <c r="G523" s="4">
        <f t="shared" si="3"/>
        <v>6074184.67</v>
      </c>
      <c r="H523" s="4">
        <f t="shared" si="1"/>
        <v>0.6364122635</v>
      </c>
      <c r="I523" s="4" t="str">
        <f t="shared" si="2"/>
        <v>A</v>
      </c>
    </row>
    <row r="524">
      <c r="A524" s="2">
        <v>523.0</v>
      </c>
      <c r="B524" s="2">
        <v>84839.0</v>
      </c>
      <c r="C524" s="2" t="s">
        <v>642</v>
      </c>
      <c r="D524" s="2">
        <v>6.75</v>
      </c>
      <c r="E524" s="2">
        <v>767.0</v>
      </c>
      <c r="F524" s="2">
        <v>4410.65</v>
      </c>
      <c r="G524" s="4">
        <f t="shared" si="3"/>
        <v>6078595.32</v>
      </c>
      <c r="H524" s="4">
        <f t="shared" si="1"/>
        <v>0.6368743818</v>
      </c>
      <c r="I524" s="4" t="str">
        <f t="shared" si="2"/>
        <v>A</v>
      </c>
    </row>
    <row r="525">
      <c r="A525" s="2">
        <v>524.0</v>
      </c>
      <c r="B525" s="2">
        <v>21042.0</v>
      </c>
      <c r="C525" s="2" t="s">
        <v>643</v>
      </c>
      <c r="D525" s="2">
        <v>5.95</v>
      </c>
      <c r="E525" s="2">
        <v>735.0</v>
      </c>
      <c r="F525" s="2">
        <v>4349.73</v>
      </c>
      <c r="G525" s="4">
        <f t="shared" si="3"/>
        <v>6082945.05</v>
      </c>
      <c r="H525" s="4">
        <f t="shared" si="1"/>
        <v>0.6373301173</v>
      </c>
      <c r="I525" s="4" t="str">
        <f t="shared" si="2"/>
        <v>A</v>
      </c>
    </row>
    <row r="526">
      <c r="A526" s="2">
        <v>525.0</v>
      </c>
      <c r="B526" s="2">
        <v>22895.0</v>
      </c>
      <c r="C526" s="2" t="s">
        <v>644</v>
      </c>
      <c r="D526" s="2">
        <v>3.25</v>
      </c>
      <c r="E526" s="2">
        <v>1426.0</v>
      </c>
      <c r="F526" s="2">
        <v>4332.07</v>
      </c>
      <c r="G526" s="4">
        <f t="shared" si="3"/>
        <v>6087277.12</v>
      </c>
      <c r="H526" s="4">
        <f t="shared" si="1"/>
        <v>0.6377840025</v>
      </c>
      <c r="I526" s="4" t="str">
        <f t="shared" si="2"/>
        <v>A</v>
      </c>
    </row>
    <row r="527">
      <c r="A527" s="2">
        <v>526.0</v>
      </c>
      <c r="B527" s="2">
        <v>22212.0</v>
      </c>
      <c r="C527" s="2" t="s">
        <v>645</v>
      </c>
      <c r="D527" s="2">
        <v>2.1</v>
      </c>
      <c r="E527" s="2">
        <v>2016.0</v>
      </c>
      <c r="F527" s="2">
        <v>4328.5</v>
      </c>
      <c r="G527" s="4">
        <f t="shared" si="3"/>
        <v>6091605.62</v>
      </c>
      <c r="H527" s="4">
        <f t="shared" si="1"/>
        <v>0.6382375137</v>
      </c>
      <c r="I527" s="4" t="str">
        <f t="shared" si="2"/>
        <v>A</v>
      </c>
    </row>
    <row r="528">
      <c r="A528" s="2">
        <v>527.0</v>
      </c>
      <c r="B528" s="2">
        <v>20974.0</v>
      </c>
      <c r="C528" s="2" t="s">
        <v>646</v>
      </c>
      <c r="D528" s="2">
        <v>0.65</v>
      </c>
      <c r="E528" s="2">
        <v>6571.0</v>
      </c>
      <c r="F528" s="2">
        <v>4318.24</v>
      </c>
      <c r="G528" s="4">
        <f t="shared" si="3"/>
        <v>6095923.86</v>
      </c>
      <c r="H528" s="4">
        <f t="shared" si="1"/>
        <v>0.6386899498</v>
      </c>
      <c r="I528" s="4" t="str">
        <f t="shared" si="2"/>
        <v>A</v>
      </c>
    </row>
    <row r="529">
      <c r="A529" s="2">
        <v>528.0</v>
      </c>
      <c r="B529" s="2">
        <v>22110.0</v>
      </c>
      <c r="C529" s="2" t="s">
        <v>647</v>
      </c>
      <c r="D529" s="2">
        <v>2.55</v>
      </c>
      <c r="E529" s="2">
        <v>1314.0</v>
      </c>
      <c r="F529" s="2">
        <v>4307.83</v>
      </c>
      <c r="G529" s="4">
        <f t="shared" si="3"/>
        <v>6100231.69</v>
      </c>
      <c r="H529" s="4">
        <f t="shared" si="1"/>
        <v>0.6391412953</v>
      </c>
      <c r="I529" s="4" t="str">
        <f t="shared" si="2"/>
        <v>A</v>
      </c>
    </row>
    <row r="530">
      <c r="A530" s="2">
        <v>529.0</v>
      </c>
      <c r="B530" s="2">
        <v>21980.0</v>
      </c>
      <c r="C530" s="2" t="s">
        <v>648</v>
      </c>
      <c r="D530" s="2">
        <v>0.29</v>
      </c>
      <c r="E530" s="2">
        <v>15605.0</v>
      </c>
      <c r="F530" s="2">
        <v>4306.66</v>
      </c>
      <c r="G530" s="4">
        <f t="shared" si="3"/>
        <v>6104538.35</v>
      </c>
      <c r="H530" s="4">
        <f t="shared" si="1"/>
        <v>0.6395925182</v>
      </c>
      <c r="I530" s="4" t="str">
        <f t="shared" si="2"/>
        <v>A</v>
      </c>
    </row>
    <row r="531">
      <c r="A531" s="2">
        <v>530.0</v>
      </c>
      <c r="B531" s="2">
        <v>23256.0</v>
      </c>
      <c r="C531" s="2" t="s">
        <v>649</v>
      </c>
      <c r="D531" s="2">
        <v>4.15</v>
      </c>
      <c r="E531" s="2">
        <v>1049.0</v>
      </c>
      <c r="F531" s="2">
        <v>4302.41</v>
      </c>
      <c r="G531" s="4">
        <f t="shared" si="3"/>
        <v>6108840.76</v>
      </c>
      <c r="H531" s="4">
        <f t="shared" si="1"/>
        <v>0.6400432958</v>
      </c>
      <c r="I531" s="4" t="str">
        <f t="shared" si="2"/>
        <v>A</v>
      </c>
    </row>
    <row r="532">
      <c r="A532" s="2">
        <v>531.0</v>
      </c>
      <c r="B532" s="2">
        <v>23534.0</v>
      </c>
      <c r="C532" s="2" t="s">
        <v>650</v>
      </c>
      <c r="D532" s="2">
        <v>5.95</v>
      </c>
      <c r="E532" s="2">
        <v>692.0</v>
      </c>
      <c r="F532" s="2">
        <v>4298.5</v>
      </c>
      <c r="G532" s="4">
        <f t="shared" si="3"/>
        <v>6113139.26</v>
      </c>
      <c r="H532" s="4">
        <f t="shared" si="1"/>
        <v>0.6404936638</v>
      </c>
      <c r="I532" s="4" t="str">
        <f t="shared" si="2"/>
        <v>A</v>
      </c>
    </row>
    <row r="533">
      <c r="A533" s="2">
        <v>532.0</v>
      </c>
      <c r="B533" s="2">
        <v>23082.0</v>
      </c>
      <c r="C533" s="2" t="s">
        <v>651</v>
      </c>
      <c r="D533" s="2">
        <v>3.75</v>
      </c>
      <c r="E533" s="2">
        <v>1166.0</v>
      </c>
      <c r="F533" s="2">
        <v>4288.76</v>
      </c>
      <c r="G533" s="4">
        <f t="shared" si="3"/>
        <v>6117428.02</v>
      </c>
      <c r="H533" s="4">
        <f t="shared" si="1"/>
        <v>0.6409430113</v>
      </c>
      <c r="I533" s="4" t="str">
        <f t="shared" si="2"/>
        <v>A</v>
      </c>
    </row>
    <row r="534">
      <c r="A534" s="2">
        <v>533.0</v>
      </c>
      <c r="B534" s="2" t="s">
        <v>652</v>
      </c>
      <c r="C534" s="2" t="s">
        <v>653</v>
      </c>
      <c r="D534" s="2">
        <v>2.95</v>
      </c>
      <c r="E534" s="2">
        <v>1608.0</v>
      </c>
      <c r="F534" s="2">
        <v>4286.98</v>
      </c>
      <c r="G534" s="4">
        <f t="shared" si="3"/>
        <v>6121715</v>
      </c>
      <c r="H534" s="4">
        <f t="shared" si="1"/>
        <v>0.6413921722</v>
      </c>
      <c r="I534" s="4" t="str">
        <f t="shared" si="2"/>
        <v>A</v>
      </c>
    </row>
    <row r="535">
      <c r="A535" s="2">
        <v>534.0</v>
      </c>
      <c r="B535" s="2">
        <v>21186.0</v>
      </c>
      <c r="C535" s="2" t="s">
        <v>654</v>
      </c>
      <c r="D535" s="2">
        <v>1.65</v>
      </c>
      <c r="E535" s="2">
        <v>2638.0</v>
      </c>
      <c r="F535" s="2">
        <v>4270.21</v>
      </c>
      <c r="G535" s="4">
        <f t="shared" si="3"/>
        <v>6125985.21</v>
      </c>
      <c r="H535" s="4">
        <f t="shared" si="1"/>
        <v>0.6418395761</v>
      </c>
      <c r="I535" s="4" t="str">
        <f t="shared" si="2"/>
        <v>A</v>
      </c>
    </row>
    <row r="536">
      <c r="A536" s="2">
        <v>535.0</v>
      </c>
      <c r="B536" s="2">
        <v>22215.0</v>
      </c>
      <c r="C536" s="2" t="s">
        <v>655</v>
      </c>
      <c r="D536" s="2">
        <v>8.5</v>
      </c>
      <c r="E536" s="2">
        <v>526.0</v>
      </c>
      <c r="F536" s="2">
        <v>4265.57</v>
      </c>
      <c r="G536" s="4">
        <f t="shared" si="3"/>
        <v>6130250.78</v>
      </c>
      <c r="H536" s="4">
        <f t="shared" si="1"/>
        <v>0.6422864939</v>
      </c>
      <c r="I536" s="4" t="str">
        <f t="shared" si="2"/>
        <v>A</v>
      </c>
    </row>
    <row r="537">
      <c r="A537" s="2">
        <v>536.0</v>
      </c>
      <c r="B537" s="2">
        <v>23493.0</v>
      </c>
      <c r="C537" s="2" t="s">
        <v>656</v>
      </c>
      <c r="D537" s="2">
        <v>1.95</v>
      </c>
      <c r="E537" s="2">
        <v>1985.0</v>
      </c>
      <c r="F537" s="2">
        <v>4254.84</v>
      </c>
      <c r="G537" s="4">
        <f t="shared" si="3"/>
        <v>6134505.62</v>
      </c>
      <c r="H537" s="4">
        <f t="shared" si="1"/>
        <v>0.6427322875</v>
      </c>
      <c r="I537" s="4" t="str">
        <f t="shared" si="2"/>
        <v>A</v>
      </c>
    </row>
    <row r="538">
      <c r="A538" s="2">
        <v>537.0</v>
      </c>
      <c r="B538" s="2">
        <v>23078.0</v>
      </c>
      <c r="C538" s="2" t="s">
        <v>657</v>
      </c>
      <c r="D538" s="2">
        <v>1.25</v>
      </c>
      <c r="E538" s="2">
        <v>3392.0</v>
      </c>
      <c r="F538" s="2">
        <v>4246.67</v>
      </c>
      <c r="G538" s="4">
        <f t="shared" si="3"/>
        <v>6138752.29</v>
      </c>
      <c r="H538" s="4">
        <f t="shared" si="1"/>
        <v>0.643177225</v>
      </c>
      <c r="I538" s="4" t="str">
        <f t="shared" si="2"/>
        <v>A</v>
      </c>
    </row>
    <row r="539">
      <c r="A539" s="2">
        <v>538.0</v>
      </c>
      <c r="B539" s="2">
        <v>22283.0</v>
      </c>
      <c r="C539" s="2" t="s">
        <v>658</v>
      </c>
      <c r="D539" s="2">
        <v>7.95</v>
      </c>
      <c r="E539" s="2">
        <v>512.0</v>
      </c>
      <c r="F539" s="2">
        <v>4234.74</v>
      </c>
      <c r="G539" s="4">
        <f t="shared" si="3"/>
        <v>6142987.03</v>
      </c>
      <c r="H539" s="4">
        <f t="shared" si="1"/>
        <v>0.6436209126</v>
      </c>
      <c r="I539" s="4" t="str">
        <f t="shared" si="2"/>
        <v>A</v>
      </c>
    </row>
    <row r="540">
      <c r="A540" s="2">
        <v>539.0</v>
      </c>
      <c r="B540" s="2">
        <v>23535.0</v>
      </c>
      <c r="C540" s="2" t="s">
        <v>659</v>
      </c>
      <c r="D540" s="2">
        <v>5.95</v>
      </c>
      <c r="E540" s="2">
        <v>664.0</v>
      </c>
      <c r="F540" s="2">
        <v>4232.02</v>
      </c>
      <c r="G540" s="4">
        <f t="shared" si="3"/>
        <v>6147219.05</v>
      </c>
      <c r="H540" s="4">
        <f t="shared" si="1"/>
        <v>0.6440643152</v>
      </c>
      <c r="I540" s="4" t="str">
        <f t="shared" si="2"/>
        <v>A</v>
      </c>
    </row>
    <row r="541">
      <c r="A541" s="2">
        <v>540.0</v>
      </c>
      <c r="B541" s="2">
        <v>21135.0</v>
      </c>
      <c r="C541" s="2" t="s">
        <v>660</v>
      </c>
      <c r="D541" s="2">
        <v>1.69</v>
      </c>
      <c r="E541" s="2">
        <v>2852.0</v>
      </c>
      <c r="F541" s="2">
        <v>4231.09</v>
      </c>
      <c r="G541" s="4">
        <f t="shared" si="3"/>
        <v>6151450.14</v>
      </c>
      <c r="H541" s="4">
        <f t="shared" si="1"/>
        <v>0.6445076204</v>
      </c>
      <c r="I541" s="4" t="str">
        <f t="shared" si="2"/>
        <v>A</v>
      </c>
    </row>
    <row r="542">
      <c r="A542" s="2">
        <v>541.0</v>
      </c>
      <c r="B542" s="2">
        <v>21932.0</v>
      </c>
      <c r="C542" s="2" t="s">
        <v>661</v>
      </c>
      <c r="D542" s="2">
        <v>2.46</v>
      </c>
      <c r="E542" s="2">
        <v>1923.0</v>
      </c>
      <c r="F542" s="2">
        <v>4229.33</v>
      </c>
      <c r="G542" s="4">
        <f t="shared" si="3"/>
        <v>6155679.47</v>
      </c>
      <c r="H542" s="4">
        <f t="shared" si="1"/>
        <v>0.6449507412</v>
      </c>
      <c r="I542" s="4" t="str">
        <f t="shared" si="2"/>
        <v>A</v>
      </c>
    </row>
    <row r="543">
      <c r="A543" s="2">
        <v>542.0</v>
      </c>
      <c r="B543" s="2">
        <v>22354.0</v>
      </c>
      <c r="C543" s="2" t="s">
        <v>662</v>
      </c>
      <c r="D543" s="2">
        <v>3.75</v>
      </c>
      <c r="E543" s="2">
        <v>1114.0</v>
      </c>
      <c r="F543" s="2">
        <v>4229.16</v>
      </c>
      <c r="G543" s="4">
        <f t="shared" si="3"/>
        <v>6159908.63</v>
      </c>
      <c r="H543" s="4">
        <f t="shared" si="1"/>
        <v>0.6453938442</v>
      </c>
      <c r="I543" s="4" t="str">
        <f t="shared" si="2"/>
        <v>A</v>
      </c>
    </row>
    <row r="544">
      <c r="A544" s="2">
        <v>543.0</v>
      </c>
      <c r="B544" s="2">
        <v>22073.0</v>
      </c>
      <c r="C544" s="2" t="s">
        <v>663</v>
      </c>
      <c r="D544" s="2">
        <v>3.75</v>
      </c>
      <c r="E544" s="2">
        <v>1062.0</v>
      </c>
      <c r="F544" s="2">
        <v>4228.94</v>
      </c>
      <c r="G544" s="4">
        <f t="shared" si="3"/>
        <v>6164137.57</v>
      </c>
      <c r="H544" s="4">
        <f t="shared" si="1"/>
        <v>0.6458369241</v>
      </c>
      <c r="I544" s="4" t="str">
        <f t="shared" si="2"/>
        <v>A</v>
      </c>
    </row>
    <row r="545">
      <c r="A545" s="2">
        <v>544.0</v>
      </c>
      <c r="B545" s="2">
        <v>22751.0</v>
      </c>
      <c r="C545" s="2" t="s">
        <v>664</v>
      </c>
      <c r="D545" s="2">
        <v>3.75</v>
      </c>
      <c r="E545" s="2">
        <v>1132.0</v>
      </c>
      <c r="F545" s="2">
        <v>4224.86</v>
      </c>
      <c r="G545" s="4">
        <f t="shared" si="3"/>
        <v>6168362.43</v>
      </c>
      <c r="H545" s="4">
        <f t="shared" si="1"/>
        <v>0.6462795766</v>
      </c>
      <c r="I545" s="4" t="str">
        <f t="shared" si="2"/>
        <v>A</v>
      </c>
    </row>
    <row r="546">
      <c r="A546" s="2">
        <v>545.0</v>
      </c>
      <c r="B546" s="2">
        <v>22078.0</v>
      </c>
      <c r="C546" s="2" t="s">
        <v>665</v>
      </c>
      <c r="D546" s="2">
        <v>2.1</v>
      </c>
      <c r="E546" s="2">
        <v>1991.0</v>
      </c>
      <c r="F546" s="2">
        <v>4222.87</v>
      </c>
      <c r="G546" s="4">
        <f t="shared" si="3"/>
        <v>6172585.3</v>
      </c>
      <c r="H546" s="4">
        <f t="shared" si="1"/>
        <v>0.6467220205</v>
      </c>
      <c r="I546" s="4" t="str">
        <f t="shared" si="2"/>
        <v>A</v>
      </c>
    </row>
    <row r="547">
      <c r="A547" s="2">
        <v>546.0</v>
      </c>
      <c r="B547" s="2">
        <v>23321.0</v>
      </c>
      <c r="C547" s="2" t="s">
        <v>666</v>
      </c>
      <c r="D547" s="2">
        <v>1.65</v>
      </c>
      <c r="E547" s="2">
        <v>2360.0</v>
      </c>
      <c r="F547" s="2">
        <v>4222.61</v>
      </c>
      <c r="G547" s="4">
        <f t="shared" si="3"/>
        <v>6176807.91</v>
      </c>
      <c r="H547" s="4">
        <f t="shared" si="1"/>
        <v>0.6471644372</v>
      </c>
      <c r="I547" s="4" t="str">
        <f t="shared" si="2"/>
        <v>A</v>
      </c>
    </row>
    <row r="548">
      <c r="A548" s="2">
        <v>547.0</v>
      </c>
      <c r="B548" s="2" t="s">
        <v>667</v>
      </c>
      <c r="C548" s="2" t="s">
        <v>668</v>
      </c>
      <c r="D548" s="2">
        <v>1.25</v>
      </c>
      <c r="E548" s="2">
        <v>3152.0</v>
      </c>
      <c r="F548" s="2">
        <v>4219.23</v>
      </c>
      <c r="G548" s="4">
        <f t="shared" si="3"/>
        <v>6181027.14</v>
      </c>
      <c r="H548" s="4">
        <f t="shared" si="1"/>
        <v>0.6476064998</v>
      </c>
      <c r="I548" s="4" t="str">
        <f t="shared" si="2"/>
        <v>A</v>
      </c>
    </row>
    <row r="549">
      <c r="A549" s="2">
        <v>548.0</v>
      </c>
      <c r="B549" s="2">
        <v>48189.0</v>
      </c>
      <c r="C549" s="2" t="s">
        <v>669</v>
      </c>
      <c r="D549" s="2">
        <v>7.49</v>
      </c>
      <c r="E549" s="2">
        <v>656.0</v>
      </c>
      <c r="F549" s="2">
        <v>4204.77</v>
      </c>
      <c r="G549" s="4">
        <f t="shared" si="3"/>
        <v>6185231.91</v>
      </c>
      <c r="H549" s="4">
        <f t="shared" si="1"/>
        <v>0.6480470473</v>
      </c>
      <c r="I549" s="4" t="str">
        <f t="shared" si="2"/>
        <v>A</v>
      </c>
    </row>
    <row r="550">
      <c r="A550" s="2">
        <v>549.0</v>
      </c>
      <c r="B550" s="2">
        <v>22329.0</v>
      </c>
      <c r="C550" s="2" t="s">
        <v>670</v>
      </c>
      <c r="D550" s="2">
        <v>1.65</v>
      </c>
      <c r="E550" s="2">
        <v>2572.0</v>
      </c>
      <c r="F550" s="2">
        <v>4202.85</v>
      </c>
      <c r="G550" s="4">
        <f t="shared" si="3"/>
        <v>6189434.76</v>
      </c>
      <c r="H550" s="4">
        <f t="shared" si="1"/>
        <v>0.6484873937</v>
      </c>
      <c r="I550" s="4" t="str">
        <f t="shared" si="2"/>
        <v>A</v>
      </c>
    </row>
    <row r="551">
      <c r="A551" s="2">
        <v>550.0</v>
      </c>
      <c r="B551" s="2">
        <v>22079.0</v>
      </c>
      <c r="C551" s="2" t="s">
        <v>671</v>
      </c>
      <c r="D551" s="2">
        <v>1.65</v>
      </c>
      <c r="E551" s="2">
        <v>2496.0</v>
      </c>
      <c r="F551" s="2">
        <v>4200.04</v>
      </c>
      <c r="G551" s="4">
        <f t="shared" si="3"/>
        <v>6193634.8</v>
      </c>
      <c r="H551" s="4">
        <f t="shared" si="1"/>
        <v>0.6489274457</v>
      </c>
      <c r="I551" s="4" t="str">
        <f t="shared" si="2"/>
        <v>A</v>
      </c>
    </row>
    <row r="552">
      <c r="A552" s="2">
        <v>551.0</v>
      </c>
      <c r="B552" s="2">
        <v>21411.0</v>
      </c>
      <c r="C552" s="2" t="s">
        <v>672</v>
      </c>
      <c r="D552" s="2">
        <v>4.25</v>
      </c>
      <c r="E552" s="2">
        <v>1048.0</v>
      </c>
      <c r="F552" s="2">
        <v>4182.32</v>
      </c>
      <c r="G552" s="4">
        <f t="shared" si="3"/>
        <v>6197817.12</v>
      </c>
      <c r="H552" s="4">
        <f t="shared" si="1"/>
        <v>0.6493656411</v>
      </c>
      <c r="I552" s="4" t="str">
        <f t="shared" si="2"/>
        <v>A</v>
      </c>
    </row>
    <row r="553">
      <c r="A553" s="2">
        <v>552.0</v>
      </c>
      <c r="B553" s="2">
        <v>22628.0</v>
      </c>
      <c r="C553" s="2" t="s">
        <v>673</v>
      </c>
      <c r="D553" s="2">
        <v>4.95</v>
      </c>
      <c r="E553" s="2">
        <v>868.0</v>
      </c>
      <c r="F553" s="2">
        <v>4161.62</v>
      </c>
      <c r="G553" s="4">
        <f t="shared" si="3"/>
        <v>6201978.74</v>
      </c>
      <c r="H553" s="4">
        <f t="shared" si="1"/>
        <v>0.6498016677</v>
      </c>
      <c r="I553" s="4" t="str">
        <f t="shared" si="2"/>
        <v>A</v>
      </c>
    </row>
    <row r="554">
      <c r="A554" s="2">
        <v>553.0</v>
      </c>
      <c r="B554" s="2">
        <v>22358.0</v>
      </c>
      <c r="C554" s="2" t="s">
        <v>674</v>
      </c>
      <c r="D554" s="2">
        <v>2.95</v>
      </c>
      <c r="E554" s="2">
        <v>1308.0</v>
      </c>
      <c r="F554" s="2">
        <v>4148.5</v>
      </c>
      <c r="G554" s="4">
        <f t="shared" si="3"/>
        <v>6206127.24</v>
      </c>
      <c r="H554" s="4">
        <f t="shared" si="1"/>
        <v>0.6502363196</v>
      </c>
      <c r="I554" s="4" t="str">
        <f t="shared" si="2"/>
        <v>A</v>
      </c>
    </row>
    <row r="555">
      <c r="A555" s="2">
        <v>554.0</v>
      </c>
      <c r="B555" s="2">
        <v>21934.0</v>
      </c>
      <c r="C555" s="2" t="s">
        <v>675</v>
      </c>
      <c r="D555" s="2">
        <v>1.65</v>
      </c>
      <c r="E555" s="2">
        <v>2296.0</v>
      </c>
      <c r="F555" s="2">
        <v>4133.48</v>
      </c>
      <c r="G555" s="4">
        <f t="shared" si="3"/>
        <v>6210260.72</v>
      </c>
      <c r="H555" s="4">
        <f t="shared" si="1"/>
        <v>0.6506693979</v>
      </c>
      <c r="I555" s="4" t="str">
        <f t="shared" si="2"/>
        <v>A</v>
      </c>
    </row>
    <row r="556">
      <c r="A556" s="2">
        <v>555.0</v>
      </c>
      <c r="B556" s="2">
        <v>21244.0</v>
      </c>
      <c r="C556" s="2" t="s">
        <v>676</v>
      </c>
      <c r="D556" s="2">
        <v>1.69</v>
      </c>
      <c r="E556" s="2">
        <v>2516.0</v>
      </c>
      <c r="F556" s="2">
        <v>4129.39</v>
      </c>
      <c r="G556" s="4">
        <f t="shared" si="3"/>
        <v>6214390.11</v>
      </c>
      <c r="H556" s="4">
        <f t="shared" si="1"/>
        <v>0.6511020477</v>
      </c>
      <c r="I556" s="4" t="str">
        <f t="shared" si="2"/>
        <v>A</v>
      </c>
    </row>
    <row r="557">
      <c r="A557" s="2">
        <v>556.0</v>
      </c>
      <c r="B557" s="2">
        <v>21874.0</v>
      </c>
      <c r="C557" s="2" t="s">
        <v>677</v>
      </c>
      <c r="D557" s="2">
        <v>1.25</v>
      </c>
      <c r="E557" s="2">
        <v>3166.0</v>
      </c>
      <c r="F557" s="2">
        <v>4105.21</v>
      </c>
      <c r="G557" s="4">
        <f t="shared" si="3"/>
        <v>6218495.32</v>
      </c>
      <c r="H557" s="4">
        <f t="shared" si="1"/>
        <v>0.651532164</v>
      </c>
      <c r="I557" s="4" t="str">
        <f t="shared" si="2"/>
        <v>A</v>
      </c>
    </row>
    <row r="558">
      <c r="A558" s="2">
        <v>557.0</v>
      </c>
      <c r="B558" s="2">
        <v>22055.0</v>
      </c>
      <c r="C558" s="2" t="s">
        <v>678</v>
      </c>
      <c r="D558" s="2">
        <v>1.65</v>
      </c>
      <c r="E558" s="2">
        <v>2466.0</v>
      </c>
      <c r="F558" s="2">
        <v>4094.54</v>
      </c>
      <c r="G558" s="4">
        <f t="shared" si="3"/>
        <v>6222589.86</v>
      </c>
      <c r="H558" s="4">
        <f t="shared" si="1"/>
        <v>0.6519611624</v>
      </c>
      <c r="I558" s="4" t="str">
        <f t="shared" si="2"/>
        <v>A</v>
      </c>
    </row>
    <row r="559">
      <c r="A559" s="2">
        <v>558.0</v>
      </c>
      <c r="B559" s="2">
        <v>21238.0</v>
      </c>
      <c r="C559" s="2" t="s">
        <v>679</v>
      </c>
      <c r="D559" s="2">
        <v>0.85</v>
      </c>
      <c r="E559" s="2">
        <v>4703.0</v>
      </c>
      <c r="F559" s="2">
        <v>4051.82</v>
      </c>
      <c r="G559" s="4">
        <f t="shared" si="3"/>
        <v>6226641.68</v>
      </c>
      <c r="H559" s="4">
        <f t="shared" si="1"/>
        <v>0.6523856849</v>
      </c>
      <c r="I559" s="4" t="str">
        <f t="shared" si="2"/>
        <v>A</v>
      </c>
    </row>
    <row r="560">
      <c r="A560" s="2">
        <v>559.0</v>
      </c>
      <c r="B560" s="2" t="s">
        <v>680</v>
      </c>
      <c r="C560" s="2" t="s">
        <v>681</v>
      </c>
      <c r="D560" s="2">
        <v>2.55</v>
      </c>
      <c r="E560" s="2">
        <v>1904.0</v>
      </c>
      <c r="F560" s="2">
        <v>4044.46</v>
      </c>
      <c r="G560" s="4">
        <f t="shared" si="3"/>
        <v>6230686.14</v>
      </c>
      <c r="H560" s="4">
        <f t="shared" si="1"/>
        <v>0.6528094362</v>
      </c>
      <c r="I560" s="4" t="str">
        <f t="shared" si="2"/>
        <v>A</v>
      </c>
    </row>
    <row r="561">
      <c r="A561" s="2">
        <v>560.0</v>
      </c>
      <c r="B561" s="2">
        <v>85067.0</v>
      </c>
      <c r="C561" s="2" t="s">
        <v>682</v>
      </c>
      <c r="D561" s="2">
        <v>18.95</v>
      </c>
      <c r="E561" s="2">
        <v>245.0</v>
      </c>
      <c r="F561" s="2">
        <v>4044.14</v>
      </c>
      <c r="G561" s="4">
        <f t="shared" si="3"/>
        <v>6234730.28</v>
      </c>
      <c r="H561" s="4">
        <f t="shared" si="1"/>
        <v>0.653233154</v>
      </c>
      <c r="I561" s="4" t="str">
        <f t="shared" si="2"/>
        <v>A</v>
      </c>
    </row>
    <row r="562">
      <c r="A562" s="2">
        <v>561.0</v>
      </c>
      <c r="B562" s="2">
        <v>82551.0</v>
      </c>
      <c r="C562" s="2" t="s">
        <v>683</v>
      </c>
      <c r="D562" s="2">
        <v>1.45</v>
      </c>
      <c r="E562" s="2">
        <v>2821.0</v>
      </c>
      <c r="F562" s="2">
        <v>4041.3</v>
      </c>
      <c r="G562" s="4">
        <f t="shared" si="3"/>
        <v>6238771.58</v>
      </c>
      <c r="H562" s="4">
        <f t="shared" si="1"/>
        <v>0.6536565743</v>
      </c>
      <c r="I562" s="4" t="str">
        <f t="shared" si="2"/>
        <v>A</v>
      </c>
    </row>
    <row r="563">
      <c r="A563" s="2">
        <v>562.0</v>
      </c>
      <c r="B563" s="2" t="s">
        <v>684</v>
      </c>
      <c r="C563" s="2" t="s">
        <v>685</v>
      </c>
      <c r="D563" s="2">
        <v>1.25</v>
      </c>
      <c r="E563" s="2">
        <v>3060.0</v>
      </c>
      <c r="F563" s="2">
        <v>4038.64</v>
      </c>
      <c r="G563" s="4">
        <f t="shared" si="3"/>
        <v>6242810.22</v>
      </c>
      <c r="H563" s="4">
        <f t="shared" si="1"/>
        <v>0.6540797159</v>
      </c>
      <c r="I563" s="4" t="str">
        <f t="shared" si="2"/>
        <v>A</v>
      </c>
    </row>
    <row r="564">
      <c r="A564" s="2">
        <v>563.0</v>
      </c>
      <c r="B564" s="2">
        <v>20675.0</v>
      </c>
      <c r="C564" s="2" t="s">
        <v>686</v>
      </c>
      <c r="D564" s="2">
        <v>1.25</v>
      </c>
      <c r="E564" s="2">
        <v>3230.0</v>
      </c>
      <c r="F564" s="2">
        <v>4031.42</v>
      </c>
      <c r="G564" s="4">
        <f t="shared" si="3"/>
        <v>6246841.64</v>
      </c>
      <c r="H564" s="4">
        <f t="shared" si="1"/>
        <v>0.654502101</v>
      </c>
      <c r="I564" s="4" t="str">
        <f t="shared" si="2"/>
        <v>A</v>
      </c>
    </row>
    <row r="565">
      <c r="A565" s="2">
        <v>564.0</v>
      </c>
      <c r="B565" s="2" t="s">
        <v>687</v>
      </c>
      <c r="C565" s="2" t="s">
        <v>688</v>
      </c>
      <c r="D565" s="2">
        <v>4.25</v>
      </c>
      <c r="E565" s="2">
        <v>930.0</v>
      </c>
      <c r="F565" s="2">
        <v>4009.61</v>
      </c>
      <c r="G565" s="4">
        <f t="shared" si="3"/>
        <v>6250851.25</v>
      </c>
      <c r="H565" s="4">
        <f t="shared" si="1"/>
        <v>0.654922201</v>
      </c>
      <c r="I565" s="4" t="str">
        <f t="shared" si="2"/>
        <v>A</v>
      </c>
    </row>
    <row r="566">
      <c r="A566" s="2">
        <v>565.0</v>
      </c>
      <c r="B566" s="2">
        <v>22689.0</v>
      </c>
      <c r="C566" s="2" t="s">
        <v>689</v>
      </c>
      <c r="D566" s="2">
        <v>7.95</v>
      </c>
      <c r="E566" s="2">
        <v>520.0</v>
      </c>
      <c r="F566" s="2">
        <v>4006.36</v>
      </c>
      <c r="G566" s="4">
        <f t="shared" si="3"/>
        <v>6254857.61</v>
      </c>
      <c r="H566" s="4">
        <f t="shared" si="1"/>
        <v>0.6553419604</v>
      </c>
      <c r="I566" s="4" t="str">
        <f t="shared" si="2"/>
        <v>A</v>
      </c>
    </row>
    <row r="567">
      <c r="A567" s="2">
        <v>566.0</v>
      </c>
      <c r="B567" s="2">
        <v>21115.0</v>
      </c>
      <c r="C567" s="2" t="s">
        <v>690</v>
      </c>
      <c r="D567" s="2">
        <v>6.75</v>
      </c>
      <c r="E567" s="2">
        <v>626.0</v>
      </c>
      <c r="F567" s="2">
        <v>3987.6</v>
      </c>
      <c r="G567" s="4">
        <f t="shared" si="3"/>
        <v>6258845.21</v>
      </c>
      <c r="H567" s="4">
        <f t="shared" si="1"/>
        <v>0.6557597544</v>
      </c>
      <c r="I567" s="4" t="str">
        <f t="shared" si="2"/>
        <v>A</v>
      </c>
    </row>
    <row r="568">
      <c r="A568" s="2">
        <v>567.0</v>
      </c>
      <c r="B568" s="2">
        <v>84568.0</v>
      </c>
      <c r="C568" s="2" t="s">
        <v>691</v>
      </c>
      <c r="D568" s="2">
        <v>0.42</v>
      </c>
      <c r="E568" s="2">
        <v>19108.0</v>
      </c>
      <c r="F568" s="2">
        <v>3986.39</v>
      </c>
      <c r="G568" s="4">
        <f t="shared" si="3"/>
        <v>6262831.6</v>
      </c>
      <c r="H568" s="4">
        <f t="shared" si="1"/>
        <v>0.6561774216</v>
      </c>
      <c r="I568" s="4" t="str">
        <f t="shared" si="2"/>
        <v>A</v>
      </c>
    </row>
    <row r="569">
      <c r="A569" s="2">
        <v>568.0</v>
      </c>
      <c r="B569" s="2">
        <v>22592.0</v>
      </c>
      <c r="C569" s="2" t="s">
        <v>692</v>
      </c>
      <c r="D569" s="2">
        <v>3.75</v>
      </c>
      <c r="E569" s="2">
        <v>991.0</v>
      </c>
      <c r="F569" s="2">
        <v>3982.17</v>
      </c>
      <c r="G569" s="4">
        <f t="shared" si="3"/>
        <v>6266813.77</v>
      </c>
      <c r="H569" s="4">
        <f t="shared" si="1"/>
        <v>0.6565946466</v>
      </c>
      <c r="I569" s="4" t="str">
        <f t="shared" si="2"/>
        <v>A</v>
      </c>
    </row>
    <row r="570">
      <c r="A570" s="2">
        <v>569.0</v>
      </c>
      <c r="B570" s="2">
        <v>22353.0</v>
      </c>
      <c r="C570" s="2" t="s">
        <v>693</v>
      </c>
      <c r="D570" s="2">
        <v>2.55</v>
      </c>
      <c r="E570" s="2">
        <v>1522.0</v>
      </c>
      <c r="F570" s="2">
        <v>3966.6</v>
      </c>
      <c r="G570" s="4">
        <f t="shared" si="3"/>
        <v>6270780.37</v>
      </c>
      <c r="H570" s="4">
        <f t="shared" si="1"/>
        <v>0.6570102403</v>
      </c>
      <c r="I570" s="4" t="str">
        <f t="shared" si="2"/>
        <v>A</v>
      </c>
    </row>
    <row r="571">
      <c r="A571" s="2">
        <v>570.0</v>
      </c>
      <c r="B571" s="2">
        <v>21116.0</v>
      </c>
      <c r="C571" s="2" t="s">
        <v>694</v>
      </c>
      <c r="D571" s="2">
        <v>8.29</v>
      </c>
      <c r="E571" s="2">
        <v>678.0</v>
      </c>
      <c r="F571" s="2">
        <v>3952.48</v>
      </c>
      <c r="G571" s="4">
        <f t="shared" si="3"/>
        <v>6274732.85</v>
      </c>
      <c r="H571" s="4">
        <f t="shared" si="1"/>
        <v>0.6574243546</v>
      </c>
      <c r="I571" s="4" t="str">
        <f t="shared" si="2"/>
        <v>A</v>
      </c>
    </row>
    <row r="572">
      <c r="A572" s="2">
        <v>571.0</v>
      </c>
      <c r="B572" s="2">
        <v>20829.0</v>
      </c>
      <c r="C572" s="2" t="s">
        <v>695</v>
      </c>
      <c r="D572" s="2">
        <v>2.1</v>
      </c>
      <c r="E572" s="2">
        <v>1926.0</v>
      </c>
      <c r="F572" s="2">
        <v>3951.46</v>
      </c>
      <c r="G572" s="4">
        <f t="shared" si="3"/>
        <v>6278684.31</v>
      </c>
      <c r="H572" s="4">
        <f t="shared" si="1"/>
        <v>0.657838362</v>
      </c>
      <c r="I572" s="4" t="str">
        <f t="shared" si="2"/>
        <v>A</v>
      </c>
    </row>
    <row r="573">
      <c r="A573" s="2">
        <v>572.0</v>
      </c>
      <c r="B573" s="2">
        <v>22350.0</v>
      </c>
      <c r="C573" s="2" t="s">
        <v>696</v>
      </c>
      <c r="D573" s="2">
        <v>2.55</v>
      </c>
      <c r="E573" s="2">
        <v>1420.0</v>
      </c>
      <c r="F573" s="2">
        <v>3941.72</v>
      </c>
      <c r="G573" s="4">
        <f t="shared" si="3"/>
        <v>6282626.03</v>
      </c>
      <c r="H573" s="4">
        <f t="shared" si="1"/>
        <v>0.6582513489</v>
      </c>
      <c r="I573" s="4" t="str">
        <f t="shared" si="2"/>
        <v>A</v>
      </c>
    </row>
    <row r="574">
      <c r="A574" s="2">
        <v>573.0</v>
      </c>
      <c r="B574" s="2">
        <v>22275.0</v>
      </c>
      <c r="C574" s="2" t="s">
        <v>697</v>
      </c>
      <c r="D574" s="2">
        <v>8.5</v>
      </c>
      <c r="E574" s="2">
        <v>473.0</v>
      </c>
      <c r="F574" s="2">
        <v>3937.66</v>
      </c>
      <c r="G574" s="4">
        <f t="shared" si="3"/>
        <v>6286563.69</v>
      </c>
      <c r="H574" s="4">
        <f t="shared" si="1"/>
        <v>0.6586639105</v>
      </c>
      <c r="I574" s="4" t="str">
        <f t="shared" si="2"/>
        <v>A</v>
      </c>
    </row>
    <row r="575">
      <c r="A575" s="2">
        <v>574.0</v>
      </c>
      <c r="B575" s="2">
        <v>21875.0</v>
      </c>
      <c r="C575" s="2" t="s">
        <v>698</v>
      </c>
      <c r="D575" s="2">
        <v>1.25</v>
      </c>
      <c r="E575" s="2">
        <v>3400.0</v>
      </c>
      <c r="F575" s="2">
        <v>3929.79</v>
      </c>
      <c r="G575" s="4">
        <f t="shared" si="3"/>
        <v>6290493.48</v>
      </c>
      <c r="H575" s="4">
        <f t="shared" si="1"/>
        <v>0.6590756475</v>
      </c>
      <c r="I575" s="4" t="str">
        <f t="shared" si="2"/>
        <v>A</v>
      </c>
    </row>
    <row r="576">
      <c r="A576" s="2">
        <v>575.0</v>
      </c>
      <c r="B576" s="2">
        <v>22738.0</v>
      </c>
      <c r="C576" s="2" t="s">
        <v>699</v>
      </c>
      <c r="D576" s="2">
        <v>1.65</v>
      </c>
      <c r="E576" s="2">
        <v>2164.0</v>
      </c>
      <c r="F576" s="2">
        <v>3920.11</v>
      </c>
      <c r="G576" s="4">
        <f t="shared" si="3"/>
        <v>6294413.59</v>
      </c>
      <c r="H576" s="4">
        <f t="shared" si="1"/>
        <v>0.6594863703</v>
      </c>
      <c r="I576" s="4" t="str">
        <f t="shared" si="2"/>
        <v>A</v>
      </c>
    </row>
    <row r="577">
      <c r="A577" s="2">
        <v>576.0</v>
      </c>
      <c r="B577" s="2">
        <v>21976.0</v>
      </c>
      <c r="C577" s="2" t="s">
        <v>700</v>
      </c>
      <c r="D577" s="2">
        <v>0.55</v>
      </c>
      <c r="E577" s="2">
        <v>7298.0</v>
      </c>
      <c r="F577" s="2">
        <v>3903.06</v>
      </c>
      <c r="G577" s="4">
        <f t="shared" si="3"/>
        <v>6298316.65</v>
      </c>
      <c r="H577" s="4">
        <f t="shared" si="1"/>
        <v>0.6598953067</v>
      </c>
      <c r="I577" s="4" t="str">
        <f t="shared" si="2"/>
        <v>A</v>
      </c>
    </row>
    <row r="578">
      <c r="A578" s="2">
        <v>577.0</v>
      </c>
      <c r="B578" s="2">
        <v>22504.0</v>
      </c>
      <c r="C578" s="2" t="s">
        <v>701</v>
      </c>
      <c r="D578" s="2">
        <v>29.95</v>
      </c>
      <c r="E578" s="2">
        <v>180.0</v>
      </c>
      <c r="F578" s="2">
        <v>3902.66</v>
      </c>
      <c r="G578" s="4">
        <f t="shared" si="3"/>
        <v>6302219.31</v>
      </c>
      <c r="H578" s="4">
        <f t="shared" si="1"/>
        <v>0.6603042012</v>
      </c>
      <c r="I578" s="4" t="str">
        <f t="shared" si="2"/>
        <v>A</v>
      </c>
    </row>
    <row r="579">
      <c r="A579" s="2">
        <v>578.0</v>
      </c>
      <c r="B579" s="2">
        <v>22588.0</v>
      </c>
      <c r="C579" s="2" t="s">
        <v>702</v>
      </c>
      <c r="D579" s="2">
        <v>2.55</v>
      </c>
      <c r="E579" s="2">
        <v>1430.0</v>
      </c>
      <c r="F579" s="2">
        <v>3902.62</v>
      </c>
      <c r="G579" s="4">
        <f t="shared" si="3"/>
        <v>6306121.93</v>
      </c>
      <c r="H579" s="4">
        <f t="shared" si="1"/>
        <v>0.6607130915</v>
      </c>
      <c r="I579" s="4" t="str">
        <f t="shared" si="2"/>
        <v>A</v>
      </c>
    </row>
    <row r="580">
      <c r="A580" s="2">
        <v>579.0</v>
      </c>
      <c r="B580" s="2">
        <v>23238.0</v>
      </c>
      <c r="C580" s="2" t="s">
        <v>703</v>
      </c>
      <c r="D580" s="2">
        <v>4.15</v>
      </c>
      <c r="E580" s="2">
        <v>928.0</v>
      </c>
      <c r="F580" s="2">
        <v>3900.33</v>
      </c>
      <c r="G580" s="4">
        <f t="shared" si="3"/>
        <v>6310022.26</v>
      </c>
      <c r="H580" s="4">
        <f t="shared" si="1"/>
        <v>0.6611217419</v>
      </c>
      <c r="I580" s="4" t="str">
        <f t="shared" si="2"/>
        <v>A</v>
      </c>
    </row>
    <row r="581">
      <c r="A581" s="2">
        <v>580.0</v>
      </c>
      <c r="B581" s="2" t="s">
        <v>704</v>
      </c>
      <c r="C581" s="2" t="s">
        <v>705</v>
      </c>
      <c r="D581" s="2">
        <v>6.75</v>
      </c>
      <c r="E581" s="2">
        <v>659.0</v>
      </c>
      <c r="F581" s="2">
        <v>3899.27</v>
      </c>
      <c r="G581" s="4">
        <f t="shared" si="3"/>
        <v>6313921.53</v>
      </c>
      <c r="H581" s="4">
        <f t="shared" si="1"/>
        <v>0.6615302812</v>
      </c>
      <c r="I581" s="4" t="str">
        <f t="shared" si="2"/>
        <v>A</v>
      </c>
    </row>
    <row r="582">
      <c r="A582" s="2">
        <v>581.0</v>
      </c>
      <c r="B582" s="2">
        <v>21769.0</v>
      </c>
      <c r="C582" s="2" t="s">
        <v>706</v>
      </c>
      <c r="D582" s="2">
        <v>79.95</v>
      </c>
      <c r="E582" s="2">
        <v>60.0</v>
      </c>
      <c r="F582" s="2">
        <v>3897.48</v>
      </c>
      <c r="G582" s="4">
        <f t="shared" si="3"/>
        <v>6317819.01</v>
      </c>
      <c r="H582" s="4">
        <f t="shared" si="1"/>
        <v>0.661938633</v>
      </c>
      <c r="I582" s="4" t="str">
        <f t="shared" si="2"/>
        <v>A</v>
      </c>
    </row>
    <row r="583">
      <c r="A583" s="2">
        <v>582.0</v>
      </c>
      <c r="B583" s="2">
        <v>20717.0</v>
      </c>
      <c r="C583" s="2" t="s">
        <v>707</v>
      </c>
      <c r="D583" s="2">
        <v>1.25</v>
      </c>
      <c r="E583" s="2">
        <v>3146.0</v>
      </c>
      <c r="F583" s="2">
        <v>3880.62</v>
      </c>
      <c r="G583" s="4">
        <f t="shared" si="3"/>
        <v>6321699.63</v>
      </c>
      <c r="H583" s="4">
        <f t="shared" si="1"/>
        <v>0.6623452183</v>
      </c>
      <c r="I583" s="4" t="str">
        <f t="shared" si="2"/>
        <v>A</v>
      </c>
    </row>
    <row r="584">
      <c r="A584" s="2">
        <v>583.0</v>
      </c>
      <c r="B584" s="2">
        <v>22784.0</v>
      </c>
      <c r="C584" s="2" t="s">
        <v>708</v>
      </c>
      <c r="D584" s="2">
        <v>4.95</v>
      </c>
      <c r="E584" s="2">
        <v>776.0</v>
      </c>
      <c r="F584" s="2">
        <v>3863.57</v>
      </c>
      <c r="G584" s="4">
        <f t="shared" si="3"/>
        <v>6325563.2</v>
      </c>
      <c r="H584" s="4">
        <f t="shared" si="1"/>
        <v>0.6627500172</v>
      </c>
      <c r="I584" s="4" t="str">
        <f t="shared" si="2"/>
        <v>A</v>
      </c>
    </row>
    <row r="585">
      <c r="A585" s="2">
        <v>584.0</v>
      </c>
      <c r="B585" s="2">
        <v>21110.0</v>
      </c>
      <c r="C585" s="2" t="s">
        <v>709</v>
      </c>
      <c r="D585" s="2">
        <v>6.75</v>
      </c>
      <c r="E585" s="2">
        <v>818.0</v>
      </c>
      <c r="F585" s="2">
        <v>3854.56</v>
      </c>
      <c r="G585" s="4">
        <f t="shared" si="3"/>
        <v>6329417.76</v>
      </c>
      <c r="H585" s="4">
        <f t="shared" si="1"/>
        <v>0.6631538721</v>
      </c>
      <c r="I585" s="4" t="str">
        <f t="shared" si="2"/>
        <v>A</v>
      </c>
    </row>
    <row r="586">
      <c r="A586" s="2">
        <v>585.0</v>
      </c>
      <c r="B586" s="2">
        <v>23007.0</v>
      </c>
      <c r="C586" s="2" t="s">
        <v>710</v>
      </c>
      <c r="D586" s="2">
        <v>16.95</v>
      </c>
      <c r="E586" s="2">
        <v>248.0</v>
      </c>
      <c r="F586" s="2">
        <v>3853.92</v>
      </c>
      <c r="G586" s="4">
        <f t="shared" si="3"/>
        <v>6333271.68</v>
      </c>
      <c r="H586" s="4">
        <f t="shared" si="1"/>
        <v>0.6635576599</v>
      </c>
      <c r="I586" s="4" t="str">
        <f t="shared" si="2"/>
        <v>A</v>
      </c>
    </row>
    <row r="587">
      <c r="A587" s="2">
        <v>586.0</v>
      </c>
      <c r="B587" s="2">
        <v>21588.0</v>
      </c>
      <c r="C587" s="2" t="s">
        <v>711</v>
      </c>
      <c r="D587" s="2">
        <v>2.55</v>
      </c>
      <c r="E587" s="2">
        <v>1667.0</v>
      </c>
      <c r="F587" s="2">
        <v>3852.6</v>
      </c>
      <c r="G587" s="4">
        <f t="shared" si="3"/>
        <v>6337124.28</v>
      </c>
      <c r="H587" s="4">
        <f t="shared" si="1"/>
        <v>0.6639613095</v>
      </c>
      <c r="I587" s="4" t="str">
        <f t="shared" si="2"/>
        <v>A</v>
      </c>
    </row>
    <row r="588">
      <c r="A588" s="2">
        <v>587.0</v>
      </c>
      <c r="B588" s="2">
        <v>22809.0</v>
      </c>
      <c r="C588" s="2" t="s">
        <v>712</v>
      </c>
      <c r="D588" s="2">
        <v>2.95</v>
      </c>
      <c r="E588" s="2">
        <v>1290.0</v>
      </c>
      <c r="F588" s="2">
        <v>3850.06</v>
      </c>
      <c r="G588" s="4">
        <f t="shared" si="3"/>
        <v>6340974.34</v>
      </c>
      <c r="H588" s="4">
        <f t="shared" si="1"/>
        <v>0.6643646929</v>
      </c>
      <c r="I588" s="4" t="str">
        <f t="shared" si="2"/>
        <v>A</v>
      </c>
    </row>
    <row r="589">
      <c r="A589" s="2">
        <v>588.0</v>
      </c>
      <c r="B589" s="2">
        <v>22813.0</v>
      </c>
      <c r="C589" s="2" t="s">
        <v>713</v>
      </c>
      <c r="D589" s="2">
        <v>1.95</v>
      </c>
      <c r="E589" s="2">
        <v>1976.0</v>
      </c>
      <c r="F589" s="2">
        <v>3839.71</v>
      </c>
      <c r="G589" s="4">
        <f t="shared" si="3"/>
        <v>6344814.05</v>
      </c>
      <c r="H589" s="4">
        <f t="shared" si="1"/>
        <v>0.6647669919</v>
      </c>
      <c r="I589" s="4" t="str">
        <f t="shared" si="2"/>
        <v>A</v>
      </c>
    </row>
    <row r="590">
      <c r="A590" s="2">
        <v>589.0</v>
      </c>
      <c r="B590" s="2">
        <v>22796.0</v>
      </c>
      <c r="C590" s="2" t="s">
        <v>714</v>
      </c>
      <c r="D590" s="2">
        <v>9.95</v>
      </c>
      <c r="E590" s="2">
        <v>384.0</v>
      </c>
      <c r="F590" s="2">
        <v>3834.85</v>
      </c>
      <c r="G590" s="4">
        <f t="shared" si="3"/>
        <v>6348648.9</v>
      </c>
      <c r="H590" s="4">
        <f t="shared" si="1"/>
        <v>0.6651687817</v>
      </c>
      <c r="I590" s="4" t="str">
        <f t="shared" si="2"/>
        <v>A</v>
      </c>
    </row>
    <row r="591">
      <c r="A591" s="2">
        <v>590.0</v>
      </c>
      <c r="B591" s="2">
        <v>23204.0</v>
      </c>
      <c r="C591" s="2" t="s">
        <v>715</v>
      </c>
      <c r="D591" s="2">
        <v>0.85</v>
      </c>
      <c r="E591" s="2">
        <v>3936.0</v>
      </c>
      <c r="F591" s="2">
        <v>3832.84</v>
      </c>
      <c r="G591" s="4">
        <f t="shared" si="3"/>
        <v>6352481.74</v>
      </c>
      <c r="H591" s="4">
        <f t="shared" si="1"/>
        <v>0.665570361</v>
      </c>
      <c r="I591" s="4" t="str">
        <f t="shared" si="2"/>
        <v>A</v>
      </c>
    </row>
    <row r="592">
      <c r="A592" s="2">
        <v>591.0</v>
      </c>
      <c r="B592" s="2">
        <v>21381.0</v>
      </c>
      <c r="C592" s="2" t="s">
        <v>716</v>
      </c>
      <c r="D592" s="2">
        <v>1.69</v>
      </c>
      <c r="E592" s="2">
        <v>2256.0</v>
      </c>
      <c r="F592" s="2">
        <v>3818.32</v>
      </c>
      <c r="G592" s="4">
        <f t="shared" si="3"/>
        <v>6356300.06</v>
      </c>
      <c r="H592" s="4">
        <f t="shared" si="1"/>
        <v>0.6659704189</v>
      </c>
      <c r="I592" s="4" t="str">
        <f t="shared" si="2"/>
        <v>A</v>
      </c>
    </row>
    <row r="593">
      <c r="A593" s="2">
        <v>592.0</v>
      </c>
      <c r="B593" s="2">
        <v>22493.0</v>
      </c>
      <c r="C593" s="2" t="s">
        <v>717</v>
      </c>
      <c r="D593" s="2">
        <v>1.65</v>
      </c>
      <c r="E593" s="2">
        <v>2375.0</v>
      </c>
      <c r="F593" s="2">
        <v>3813.96</v>
      </c>
      <c r="G593" s="4">
        <f t="shared" si="3"/>
        <v>6360114.02</v>
      </c>
      <c r="H593" s="4">
        <f t="shared" si="1"/>
        <v>0.66637002</v>
      </c>
      <c r="I593" s="4" t="str">
        <f t="shared" si="2"/>
        <v>A</v>
      </c>
    </row>
    <row r="594">
      <c r="A594" s="2">
        <v>593.0</v>
      </c>
      <c r="B594" s="2" t="s">
        <v>718</v>
      </c>
      <c r="C594" s="2" t="s">
        <v>719</v>
      </c>
      <c r="D594" s="2">
        <v>2.95</v>
      </c>
      <c r="E594" s="2">
        <v>1616.0</v>
      </c>
      <c r="F594" s="2">
        <v>3800.58</v>
      </c>
      <c r="G594" s="4">
        <f t="shared" si="3"/>
        <v>6363914.6</v>
      </c>
      <c r="H594" s="4">
        <f t="shared" si="1"/>
        <v>0.6667682192</v>
      </c>
      <c r="I594" s="4" t="str">
        <f t="shared" si="2"/>
        <v>A</v>
      </c>
    </row>
    <row r="595">
      <c r="A595" s="2">
        <v>594.0</v>
      </c>
      <c r="B595" s="2">
        <v>22165.0</v>
      </c>
      <c r="C595" s="2" t="s">
        <v>720</v>
      </c>
      <c r="D595" s="2">
        <v>11.02</v>
      </c>
      <c r="E595" s="2">
        <v>485.0</v>
      </c>
      <c r="F595" s="2">
        <v>3798.62</v>
      </c>
      <c r="G595" s="4">
        <f t="shared" si="3"/>
        <v>6367713.22</v>
      </c>
      <c r="H595" s="4">
        <f t="shared" si="1"/>
        <v>0.6671662131</v>
      </c>
      <c r="I595" s="4" t="str">
        <f t="shared" si="2"/>
        <v>A</v>
      </c>
    </row>
    <row r="596">
      <c r="A596" s="2">
        <v>595.0</v>
      </c>
      <c r="B596" s="2">
        <v>21870.0</v>
      </c>
      <c r="C596" s="2" t="s">
        <v>721</v>
      </c>
      <c r="D596" s="2">
        <v>1.25</v>
      </c>
      <c r="E596" s="2">
        <v>3024.0</v>
      </c>
      <c r="F596" s="2">
        <v>3791.87</v>
      </c>
      <c r="G596" s="4">
        <f t="shared" si="3"/>
        <v>6371505.09</v>
      </c>
      <c r="H596" s="4">
        <f t="shared" si="1"/>
        <v>0.6675634998</v>
      </c>
      <c r="I596" s="4" t="str">
        <f t="shared" si="2"/>
        <v>A</v>
      </c>
    </row>
    <row r="597">
      <c r="A597" s="2">
        <v>596.0</v>
      </c>
      <c r="B597" s="2">
        <v>22890.0</v>
      </c>
      <c r="C597" s="2" t="s">
        <v>722</v>
      </c>
      <c r="D597" s="2">
        <v>9.95</v>
      </c>
      <c r="E597" s="2">
        <v>387.0</v>
      </c>
      <c r="F597" s="2">
        <v>3790.33</v>
      </c>
      <c r="G597" s="4">
        <f t="shared" si="3"/>
        <v>6375295.42</v>
      </c>
      <c r="H597" s="4">
        <f t="shared" si="1"/>
        <v>0.6679606251</v>
      </c>
      <c r="I597" s="4" t="str">
        <f t="shared" si="2"/>
        <v>A</v>
      </c>
    </row>
    <row r="598">
      <c r="A598" s="2">
        <v>597.0</v>
      </c>
      <c r="B598" s="2">
        <v>22528.0</v>
      </c>
      <c r="C598" s="2" t="s">
        <v>723</v>
      </c>
      <c r="D598" s="2">
        <v>1.25</v>
      </c>
      <c r="E598" s="2">
        <v>2894.0</v>
      </c>
      <c r="F598" s="2">
        <v>3789.2</v>
      </c>
      <c r="G598" s="4">
        <f t="shared" si="3"/>
        <v>6379084.62</v>
      </c>
      <c r="H598" s="4">
        <f t="shared" si="1"/>
        <v>0.668357632</v>
      </c>
      <c r="I598" s="4" t="str">
        <f t="shared" si="2"/>
        <v>A</v>
      </c>
    </row>
    <row r="599">
      <c r="A599" s="2">
        <v>598.0</v>
      </c>
      <c r="B599" s="2" t="s">
        <v>724</v>
      </c>
      <c r="C599" s="2" t="s">
        <v>725</v>
      </c>
      <c r="D599" s="2">
        <v>12.75</v>
      </c>
      <c r="E599" s="2">
        <v>316.0</v>
      </c>
      <c r="F599" s="2">
        <v>3789.12</v>
      </c>
      <c r="G599" s="4">
        <f t="shared" si="3"/>
        <v>6382873.74</v>
      </c>
      <c r="H599" s="4">
        <f t="shared" si="1"/>
        <v>0.6687546305</v>
      </c>
      <c r="I599" s="4" t="str">
        <f t="shared" si="2"/>
        <v>A</v>
      </c>
    </row>
    <row r="600">
      <c r="A600" s="2">
        <v>599.0</v>
      </c>
      <c r="B600" s="2">
        <v>22242.0</v>
      </c>
      <c r="C600" s="2" t="s">
        <v>726</v>
      </c>
      <c r="D600" s="2">
        <v>1.65</v>
      </c>
      <c r="E600" s="2">
        <v>2378.0</v>
      </c>
      <c r="F600" s="2">
        <v>3777.93</v>
      </c>
      <c r="G600" s="4">
        <f t="shared" si="3"/>
        <v>6386651.67</v>
      </c>
      <c r="H600" s="4">
        <f t="shared" si="1"/>
        <v>0.6691504567</v>
      </c>
      <c r="I600" s="4" t="str">
        <f t="shared" si="2"/>
        <v>A</v>
      </c>
    </row>
    <row r="601">
      <c r="A601" s="2">
        <v>600.0</v>
      </c>
      <c r="B601" s="2">
        <v>85064.0</v>
      </c>
      <c r="C601" s="2" t="s">
        <v>727</v>
      </c>
      <c r="D601" s="2">
        <v>5.45</v>
      </c>
      <c r="E601" s="2">
        <v>798.0</v>
      </c>
      <c r="F601" s="2">
        <v>3751.98</v>
      </c>
      <c r="G601" s="4">
        <f t="shared" si="3"/>
        <v>6390403.65</v>
      </c>
      <c r="H601" s="4">
        <f t="shared" si="1"/>
        <v>0.6695435639</v>
      </c>
      <c r="I601" s="4" t="str">
        <f t="shared" si="2"/>
        <v>A</v>
      </c>
    </row>
    <row r="602">
      <c r="A602" s="2">
        <v>601.0</v>
      </c>
      <c r="B602" s="2">
        <v>51008.0</v>
      </c>
      <c r="C602" s="2" t="s">
        <v>728</v>
      </c>
      <c r="D602" s="2">
        <v>3.45</v>
      </c>
      <c r="E602" s="2">
        <v>1152.0</v>
      </c>
      <c r="F602" s="2">
        <v>3746.9</v>
      </c>
      <c r="G602" s="4">
        <f t="shared" si="3"/>
        <v>6394150.55</v>
      </c>
      <c r="H602" s="4">
        <f t="shared" si="1"/>
        <v>0.6699361389</v>
      </c>
      <c r="I602" s="4" t="str">
        <f t="shared" si="2"/>
        <v>A</v>
      </c>
    </row>
    <row r="603">
      <c r="A603" s="2">
        <v>602.0</v>
      </c>
      <c r="B603" s="2">
        <v>22669.0</v>
      </c>
      <c r="C603" s="2" t="s">
        <v>729</v>
      </c>
      <c r="D603" s="2">
        <v>2.95</v>
      </c>
      <c r="E603" s="2">
        <v>1168.0</v>
      </c>
      <c r="F603" s="2">
        <v>3743.22</v>
      </c>
      <c r="G603" s="4">
        <f t="shared" si="3"/>
        <v>6397893.77</v>
      </c>
      <c r="H603" s="4">
        <f t="shared" si="1"/>
        <v>0.6703283284</v>
      </c>
      <c r="I603" s="4" t="str">
        <f t="shared" si="2"/>
        <v>A</v>
      </c>
    </row>
    <row r="604">
      <c r="A604" s="2">
        <v>603.0</v>
      </c>
      <c r="B604" s="2">
        <v>22224.0</v>
      </c>
      <c r="C604" s="2" t="s">
        <v>730</v>
      </c>
      <c r="D604" s="2">
        <v>2.95</v>
      </c>
      <c r="E604" s="2">
        <v>1178.0</v>
      </c>
      <c r="F604" s="2">
        <v>3738.9</v>
      </c>
      <c r="G604" s="4">
        <f t="shared" si="3"/>
        <v>6401632.67</v>
      </c>
      <c r="H604" s="4">
        <f t="shared" si="1"/>
        <v>0.6707200652</v>
      </c>
      <c r="I604" s="4" t="str">
        <f t="shared" si="2"/>
        <v>A</v>
      </c>
    </row>
    <row r="605">
      <c r="A605" s="2">
        <v>604.0</v>
      </c>
      <c r="B605" s="2">
        <v>21746.0</v>
      </c>
      <c r="C605" s="2" t="s">
        <v>731</v>
      </c>
      <c r="D605" s="2">
        <v>1.25</v>
      </c>
      <c r="E605" s="2">
        <v>2974.0</v>
      </c>
      <c r="F605" s="2">
        <v>3723.54</v>
      </c>
      <c r="G605" s="4">
        <f t="shared" si="3"/>
        <v>6405356.21</v>
      </c>
      <c r="H605" s="4">
        <f t="shared" si="1"/>
        <v>0.6711101927</v>
      </c>
      <c r="I605" s="4" t="str">
        <f t="shared" si="2"/>
        <v>A</v>
      </c>
    </row>
    <row r="606">
      <c r="A606" s="2">
        <v>605.0</v>
      </c>
      <c r="B606" s="2">
        <v>22489.0</v>
      </c>
      <c r="C606" s="2" t="s">
        <v>732</v>
      </c>
      <c r="D606" s="2">
        <v>0.42</v>
      </c>
      <c r="E606" s="2">
        <v>8798.0</v>
      </c>
      <c r="F606" s="2">
        <v>3715.78</v>
      </c>
      <c r="G606" s="4">
        <f t="shared" si="3"/>
        <v>6409071.99</v>
      </c>
      <c r="H606" s="4">
        <f t="shared" si="1"/>
        <v>0.6714995072</v>
      </c>
      <c r="I606" s="4" t="str">
        <f t="shared" si="2"/>
        <v>A</v>
      </c>
    </row>
    <row r="607">
      <c r="A607" s="2">
        <v>606.0</v>
      </c>
      <c r="B607" s="2">
        <v>22550.0</v>
      </c>
      <c r="C607" s="2" t="s">
        <v>733</v>
      </c>
      <c r="D607" s="2">
        <v>3.75</v>
      </c>
      <c r="E607" s="2">
        <v>996.0</v>
      </c>
      <c r="F607" s="2">
        <v>3711.07</v>
      </c>
      <c r="G607" s="4">
        <f t="shared" si="3"/>
        <v>6412783.06</v>
      </c>
      <c r="H607" s="4">
        <f t="shared" si="1"/>
        <v>0.6718883282</v>
      </c>
      <c r="I607" s="4" t="str">
        <f t="shared" si="2"/>
        <v>A</v>
      </c>
    </row>
    <row r="608">
      <c r="A608" s="2">
        <v>607.0</v>
      </c>
      <c r="B608" s="2">
        <v>22360.0</v>
      </c>
      <c r="C608" s="2" t="s">
        <v>734</v>
      </c>
      <c r="D608" s="2">
        <v>2.95</v>
      </c>
      <c r="E608" s="2">
        <v>1232.0</v>
      </c>
      <c r="F608" s="2">
        <v>3710.22</v>
      </c>
      <c r="G608" s="4">
        <f t="shared" si="3"/>
        <v>6416493.28</v>
      </c>
      <c r="H608" s="4">
        <f t="shared" si="1"/>
        <v>0.6722770601</v>
      </c>
      <c r="I608" s="4" t="str">
        <f t="shared" si="2"/>
        <v>A</v>
      </c>
    </row>
    <row r="609">
      <c r="A609" s="2">
        <v>608.0</v>
      </c>
      <c r="B609" s="2">
        <v>21737.0</v>
      </c>
      <c r="C609" s="2" t="s">
        <v>735</v>
      </c>
      <c r="D609" s="2">
        <v>19.95</v>
      </c>
      <c r="E609" s="2">
        <v>200.0</v>
      </c>
      <c r="F609" s="2">
        <v>3701.28</v>
      </c>
      <c r="G609" s="4">
        <f t="shared" si="3"/>
        <v>6420194.56</v>
      </c>
      <c r="H609" s="4">
        <f t="shared" si="1"/>
        <v>0.6726648553</v>
      </c>
      <c r="I609" s="4" t="str">
        <f t="shared" si="2"/>
        <v>A</v>
      </c>
    </row>
    <row r="610">
      <c r="A610" s="2">
        <v>609.0</v>
      </c>
      <c r="B610" s="2" t="s">
        <v>736</v>
      </c>
      <c r="C610" s="2" t="s">
        <v>737</v>
      </c>
      <c r="D610" s="2">
        <v>2.1</v>
      </c>
      <c r="E610" s="2">
        <v>1865.0</v>
      </c>
      <c r="F610" s="2">
        <v>3686.44</v>
      </c>
      <c r="G610" s="4">
        <f t="shared" si="3"/>
        <v>6423881</v>
      </c>
      <c r="H610" s="4">
        <f t="shared" si="1"/>
        <v>0.6730510958</v>
      </c>
      <c r="I610" s="4" t="str">
        <f t="shared" si="2"/>
        <v>A</v>
      </c>
    </row>
    <row r="611">
      <c r="A611" s="2">
        <v>610.0</v>
      </c>
      <c r="B611" s="2">
        <v>82580.0</v>
      </c>
      <c r="C611" s="2" t="s">
        <v>738</v>
      </c>
      <c r="D611" s="2">
        <v>0.55</v>
      </c>
      <c r="E611" s="2">
        <v>6492.0</v>
      </c>
      <c r="F611" s="2">
        <v>3672.64</v>
      </c>
      <c r="G611" s="4">
        <f t="shared" si="3"/>
        <v>6427553.64</v>
      </c>
      <c r="H611" s="4">
        <f t="shared" si="1"/>
        <v>0.6734358903</v>
      </c>
      <c r="I611" s="4" t="str">
        <f t="shared" si="2"/>
        <v>A</v>
      </c>
    </row>
    <row r="612">
      <c r="A612" s="2">
        <v>611.0</v>
      </c>
      <c r="B612" s="2">
        <v>21114.0</v>
      </c>
      <c r="C612" s="2" t="s">
        <v>739</v>
      </c>
      <c r="D612" s="2">
        <v>1.25</v>
      </c>
      <c r="E612" s="2">
        <v>2846.0</v>
      </c>
      <c r="F612" s="2">
        <v>3668.7</v>
      </c>
      <c r="G612" s="4">
        <f t="shared" si="3"/>
        <v>6431222.34</v>
      </c>
      <c r="H612" s="4">
        <f t="shared" si="1"/>
        <v>0.673820272</v>
      </c>
      <c r="I612" s="4" t="str">
        <f t="shared" si="2"/>
        <v>A</v>
      </c>
    </row>
    <row r="613">
      <c r="A613" s="2">
        <v>612.0</v>
      </c>
      <c r="B613" s="2">
        <v>21561.0</v>
      </c>
      <c r="C613" s="2" t="s">
        <v>740</v>
      </c>
      <c r="D613" s="2">
        <v>2.55</v>
      </c>
      <c r="E613" s="2">
        <v>1490.0</v>
      </c>
      <c r="F613" s="2">
        <v>3665.98</v>
      </c>
      <c r="G613" s="4">
        <f t="shared" si="3"/>
        <v>6434888.32</v>
      </c>
      <c r="H613" s="4">
        <f t="shared" si="1"/>
        <v>0.6742043688</v>
      </c>
      <c r="I613" s="4" t="str">
        <f t="shared" si="2"/>
        <v>A</v>
      </c>
    </row>
    <row r="614">
      <c r="A614" s="2">
        <v>613.0</v>
      </c>
      <c r="B614" s="2">
        <v>22798.0</v>
      </c>
      <c r="C614" s="2" t="s">
        <v>741</v>
      </c>
      <c r="D614" s="2">
        <v>2.95</v>
      </c>
      <c r="E614" s="2">
        <v>1182.0</v>
      </c>
      <c r="F614" s="2">
        <v>3663.62</v>
      </c>
      <c r="G614" s="4">
        <f t="shared" si="3"/>
        <v>6438551.94</v>
      </c>
      <c r="H614" s="4">
        <f t="shared" si="1"/>
        <v>0.6745882183</v>
      </c>
      <c r="I614" s="4" t="str">
        <f t="shared" si="2"/>
        <v>A</v>
      </c>
    </row>
    <row r="615">
      <c r="A615" s="2">
        <v>614.0</v>
      </c>
      <c r="B615" s="2">
        <v>23382.0</v>
      </c>
      <c r="C615" s="2" t="s">
        <v>742</v>
      </c>
      <c r="D615" s="2">
        <v>3.75</v>
      </c>
      <c r="E615" s="2">
        <v>932.0</v>
      </c>
      <c r="F615" s="2">
        <v>3655.59</v>
      </c>
      <c r="G615" s="4">
        <f t="shared" si="3"/>
        <v>6442207.53</v>
      </c>
      <c r="H615" s="4">
        <f t="shared" si="1"/>
        <v>0.6749712265</v>
      </c>
      <c r="I615" s="4" t="str">
        <f t="shared" si="2"/>
        <v>A</v>
      </c>
    </row>
    <row r="616">
      <c r="A616" s="2">
        <v>615.0</v>
      </c>
      <c r="B616" s="2">
        <v>85065.0</v>
      </c>
      <c r="C616" s="2" t="s">
        <v>743</v>
      </c>
      <c r="D616" s="2">
        <v>12.75</v>
      </c>
      <c r="E616" s="2">
        <v>299.0</v>
      </c>
      <c r="F616" s="2">
        <v>3654.17</v>
      </c>
      <c r="G616" s="4">
        <f t="shared" si="3"/>
        <v>6445861.7</v>
      </c>
      <c r="H616" s="4">
        <f t="shared" si="1"/>
        <v>0.6753540858</v>
      </c>
      <c r="I616" s="4" t="str">
        <f t="shared" si="2"/>
        <v>A</v>
      </c>
    </row>
    <row r="617">
      <c r="A617" s="2">
        <v>616.0</v>
      </c>
      <c r="B617" s="2">
        <v>21361.0</v>
      </c>
      <c r="C617" s="2" t="s">
        <v>744</v>
      </c>
      <c r="D617" s="2">
        <v>12.75</v>
      </c>
      <c r="E617" s="2">
        <v>276.0</v>
      </c>
      <c r="F617" s="2">
        <v>3649.0</v>
      </c>
      <c r="G617" s="4">
        <f t="shared" si="3"/>
        <v>6449510.7</v>
      </c>
      <c r="H617" s="4">
        <f t="shared" si="1"/>
        <v>0.6757364035</v>
      </c>
      <c r="I617" s="4" t="str">
        <f t="shared" si="2"/>
        <v>A</v>
      </c>
    </row>
    <row r="618">
      <c r="A618" s="2">
        <v>617.0</v>
      </c>
      <c r="B618" s="2">
        <v>22029.0</v>
      </c>
      <c r="C618" s="2" t="s">
        <v>745</v>
      </c>
      <c r="D618" s="2">
        <v>0.42</v>
      </c>
      <c r="E618" s="2">
        <v>8819.0</v>
      </c>
      <c r="F618" s="2">
        <v>3647.94</v>
      </c>
      <c r="G618" s="4">
        <f t="shared" si="3"/>
        <v>6453158.64</v>
      </c>
      <c r="H618" s="4">
        <f t="shared" si="1"/>
        <v>0.6761186102</v>
      </c>
      <c r="I618" s="4" t="str">
        <f t="shared" si="2"/>
        <v>A</v>
      </c>
    </row>
    <row r="619">
      <c r="A619" s="2">
        <v>618.0</v>
      </c>
      <c r="B619" s="2">
        <v>21876.0</v>
      </c>
      <c r="C619" s="2" t="s">
        <v>746</v>
      </c>
      <c r="D619" s="2">
        <v>1.25</v>
      </c>
      <c r="E619" s="2">
        <v>2811.0</v>
      </c>
      <c r="F619" s="2">
        <v>3647.8</v>
      </c>
      <c r="G619" s="4">
        <f t="shared" si="3"/>
        <v>6456806.44</v>
      </c>
      <c r="H619" s="4">
        <f t="shared" si="1"/>
        <v>0.6765008022</v>
      </c>
      <c r="I619" s="4" t="str">
        <f t="shared" si="2"/>
        <v>A</v>
      </c>
    </row>
    <row r="620">
      <c r="A620" s="2">
        <v>619.0</v>
      </c>
      <c r="B620" s="2">
        <v>22282.0</v>
      </c>
      <c r="C620" s="2" t="s">
        <v>747</v>
      </c>
      <c r="D620" s="2">
        <v>12.75</v>
      </c>
      <c r="E620" s="2">
        <v>280.0</v>
      </c>
      <c r="F620" s="2">
        <v>3645.97</v>
      </c>
      <c r="G620" s="4">
        <f t="shared" si="3"/>
        <v>6460452.41</v>
      </c>
      <c r="H620" s="4">
        <f t="shared" si="1"/>
        <v>0.6768828024</v>
      </c>
      <c r="I620" s="4" t="str">
        <f t="shared" si="2"/>
        <v>A</v>
      </c>
    </row>
    <row r="621">
      <c r="A621" s="2">
        <v>620.0</v>
      </c>
      <c r="B621" s="2">
        <v>22945.0</v>
      </c>
      <c r="C621" s="2" t="s">
        <v>748</v>
      </c>
      <c r="D621" s="2">
        <v>0.85</v>
      </c>
      <c r="E621" s="2">
        <v>3752.0</v>
      </c>
      <c r="F621" s="2">
        <v>3633.56</v>
      </c>
      <c r="G621" s="4">
        <f t="shared" si="3"/>
        <v>6464085.97</v>
      </c>
      <c r="H621" s="4">
        <f t="shared" si="1"/>
        <v>0.6772635024</v>
      </c>
      <c r="I621" s="4" t="str">
        <f t="shared" si="2"/>
        <v>A</v>
      </c>
    </row>
    <row r="622">
      <c r="A622" s="2">
        <v>621.0</v>
      </c>
      <c r="B622" s="2">
        <v>21463.0</v>
      </c>
      <c r="C622" s="2" t="s">
        <v>749</v>
      </c>
      <c r="D622" s="2">
        <v>5.95</v>
      </c>
      <c r="E622" s="2">
        <v>651.0</v>
      </c>
      <c r="F622" s="2">
        <v>3618.58</v>
      </c>
      <c r="G622" s="4">
        <f t="shared" si="3"/>
        <v>6467704.55</v>
      </c>
      <c r="H622" s="4">
        <f t="shared" si="1"/>
        <v>0.6776426329</v>
      </c>
      <c r="I622" s="4" t="str">
        <f t="shared" si="2"/>
        <v>A</v>
      </c>
    </row>
    <row r="623">
      <c r="A623" s="2">
        <v>622.0</v>
      </c>
      <c r="B623" s="2">
        <v>85174.0</v>
      </c>
      <c r="C623" s="2" t="s">
        <v>750</v>
      </c>
      <c r="D623" s="2">
        <v>4.95</v>
      </c>
      <c r="E623" s="2">
        <v>734.0</v>
      </c>
      <c r="F623" s="2">
        <v>3616.53</v>
      </c>
      <c r="G623" s="4">
        <f t="shared" si="3"/>
        <v>6471321.08</v>
      </c>
      <c r="H623" s="4">
        <f t="shared" si="1"/>
        <v>0.6780215486</v>
      </c>
      <c r="I623" s="4" t="str">
        <f t="shared" si="2"/>
        <v>A</v>
      </c>
    </row>
    <row r="624">
      <c r="A624" s="2">
        <v>623.0</v>
      </c>
      <c r="B624" s="2">
        <v>22739.0</v>
      </c>
      <c r="C624" s="2" t="s">
        <v>751</v>
      </c>
      <c r="D624" s="2">
        <v>1.65</v>
      </c>
      <c r="E624" s="2">
        <v>1963.0</v>
      </c>
      <c r="F624" s="2">
        <v>3612.34</v>
      </c>
      <c r="G624" s="4">
        <f t="shared" si="3"/>
        <v>6474933.42</v>
      </c>
      <c r="H624" s="4">
        <f t="shared" si="1"/>
        <v>0.6784000254</v>
      </c>
      <c r="I624" s="4" t="str">
        <f t="shared" si="2"/>
        <v>A</v>
      </c>
    </row>
    <row r="625">
      <c r="A625" s="2">
        <v>624.0</v>
      </c>
      <c r="B625" s="2">
        <v>22465.0</v>
      </c>
      <c r="C625" s="2" t="s">
        <v>752</v>
      </c>
      <c r="D625" s="2">
        <v>1.65</v>
      </c>
      <c r="E625" s="2">
        <v>2230.0</v>
      </c>
      <c r="F625" s="2">
        <v>3605.07</v>
      </c>
      <c r="G625" s="4">
        <f t="shared" si="3"/>
        <v>6478538.49</v>
      </c>
      <c r="H625" s="4">
        <f t="shared" si="1"/>
        <v>0.6787777404</v>
      </c>
      <c r="I625" s="4" t="str">
        <f t="shared" si="2"/>
        <v>A</v>
      </c>
    </row>
    <row r="626">
      <c r="A626" s="2">
        <v>625.0</v>
      </c>
      <c r="B626" s="2">
        <v>22414.0</v>
      </c>
      <c r="C626" s="2" t="s">
        <v>753</v>
      </c>
      <c r="D626" s="2">
        <v>7.95</v>
      </c>
      <c r="E626" s="2">
        <v>593.0</v>
      </c>
      <c r="F626" s="2">
        <v>3597.43</v>
      </c>
      <c r="G626" s="4">
        <f t="shared" si="3"/>
        <v>6482135.92</v>
      </c>
      <c r="H626" s="4">
        <f t="shared" si="1"/>
        <v>0.6791546549</v>
      </c>
      <c r="I626" s="4" t="str">
        <f t="shared" si="2"/>
        <v>A</v>
      </c>
    </row>
    <row r="627">
      <c r="A627" s="2">
        <v>626.0</v>
      </c>
      <c r="B627" s="2">
        <v>22907.0</v>
      </c>
      <c r="C627" s="2" t="s">
        <v>754</v>
      </c>
      <c r="D627" s="2">
        <v>0.85</v>
      </c>
      <c r="E627" s="2">
        <v>4244.0</v>
      </c>
      <c r="F627" s="2">
        <v>3575.52</v>
      </c>
      <c r="G627" s="4">
        <f t="shared" si="3"/>
        <v>6485711.44</v>
      </c>
      <c r="H627" s="4">
        <f t="shared" si="1"/>
        <v>0.6795292739</v>
      </c>
      <c r="I627" s="4" t="str">
        <f t="shared" si="2"/>
        <v>A</v>
      </c>
    </row>
    <row r="628">
      <c r="A628" s="2">
        <v>627.0</v>
      </c>
      <c r="B628" s="2">
        <v>22656.0</v>
      </c>
      <c r="C628" s="2" t="s">
        <v>755</v>
      </c>
      <c r="D628" s="2">
        <v>295.0</v>
      </c>
      <c r="E628" s="2">
        <v>18.0</v>
      </c>
      <c r="F628" s="2">
        <v>3572.5</v>
      </c>
      <c r="G628" s="4">
        <f t="shared" si="3"/>
        <v>6489283.94</v>
      </c>
      <c r="H628" s="4">
        <f t="shared" si="1"/>
        <v>0.6799035764</v>
      </c>
      <c r="I628" s="4" t="str">
        <f t="shared" si="2"/>
        <v>A</v>
      </c>
    </row>
    <row r="629">
      <c r="A629" s="2">
        <v>628.0</v>
      </c>
      <c r="B629" s="2">
        <v>21981.0</v>
      </c>
      <c r="C629" s="2" t="s">
        <v>756</v>
      </c>
      <c r="D629" s="2">
        <v>0.29</v>
      </c>
      <c r="E629" s="2">
        <v>13125.0</v>
      </c>
      <c r="F629" s="2">
        <v>3571.4</v>
      </c>
      <c r="G629" s="4">
        <f t="shared" si="3"/>
        <v>6492855.34</v>
      </c>
      <c r="H629" s="4">
        <f t="shared" si="1"/>
        <v>0.6802777637</v>
      </c>
      <c r="I629" s="4" t="str">
        <f t="shared" si="2"/>
        <v>A</v>
      </c>
    </row>
    <row r="630">
      <c r="A630" s="2">
        <v>629.0</v>
      </c>
      <c r="B630" s="2">
        <v>22626.0</v>
      </c>
      <c r="C630" s="2" t="s">
        <v>757</v>
      </c>
      <c r="D630" s="2">
        <v>8.5</v>
      </c>
      <c r="E630" s="2">
        <v>416.0</v>
      </c>
      <c r="F630" s="2">
        <v>3558.24</v>
      </c>
      <c r="G630" s="4">
        <f t="shared" si="3"/>
        <v>6496413.58</v>
      </c>
      <c r="H630" s="4">
        <f t="shared" si="1"/>
        <v>0.6806505722</v>
      </c>
      <c r="I630" s="4" t="str">
        <f t="shared" si="2"/>
        <v>A</v>
      </c>
    </row>
    <row r="631">
      <c r="A631" s="2">
        <v>630.0</v>
      </c>
      <c r="B631" s="2">
        <v>22991.0</v>
      </c>
      <c r="C631" s="2" t="s">
        <v>758</v>
      </c>
      <c r="D631" s="2">
        <v>1.95</v>
      </c>
      <c r="E631" s="2">
        <v>1792.0</v>
      </c>
      <c r="F631" s="2">
        <v>3549.24</v>
      </c>
      <c r="G631" s="4">
        <f t="shared" si="3"/>
        <v>6499962.82</v>
      </c>
      <c r="H631" s="4">
        <f t="shared" si="1"/>
        <v>0.6810224377</v>
      </c>
      <c r="I631" s="4" t="str">
        <f t="shared" si="2"/>
        <v>A</v>
      </c>
    </row>
    <row r="632">
      <c r="A632" s="2">
        <v>631.0</v>
      </c>
      <c r="B632" s="2">
        <v>23083.0</v>
      </c>
      <c r="C632" s="2" t="s">
        <v>759</v>
      </c>
      <c r="D632" s="2">
        <v>3.75</v>
      </c>
      <c r="E632" s="2">
        <v>942.0</v>
      </c>
      <c r="F632" s="2">
        <v>3548.36</v>
      </c>
      <c r="G632" s="4">
        <f t="shared" si="3"/>
        <v>6503511.18</v>
      </c>
      <c r="H632" s="4">
        <f t="shared" si="1"/>
        <v>0.6813942111</v>
      </c>
      <c r="I632" s="4" t="str">
        <f t="shared" si="2"/>
        <v>A</v>
      </c>
    </row>
    <row r="633">
      <c r="A633" s="2">
        <v>632.0</v>
      </c>
      <c r="B633" s="2">
        <v>21625.0</v>
      </c>
      <c r="C633" s="2" t="s">
        <v>760</v>
      </c>
      <c r="D633" s="2">
        <v>6.95</v>
      </c>
      <c r="E633" s="2">
        <v>496.0</v>
      </c>
      <c r="F633" s="2">
        <v>3543.14</v>
      </c>
      <c r="G633" s="4">
        <f t="shared" si="3"/>
        <v>6507054.32</v>
      </c>
      <c r="H633" s="4">
        <f t="shared" si="1"/>
        <v>0.6817654375</v>
      </c>
      <c r="I633" s="4" t="str">
        <f t="shared" si="2"/>
        <v>A</v>
      </c>
    </row>
    <row r="634">
      <c r="A634" s="2">
        <v>633.0</v>
      </c>
      <c r="B634" s="2">
        <v>23236.0</v>
      </c>
      <c r="C634" s="2" t="s">
        <v>761</v>
      </c>
      <c r="D634" s="2">
        <v>2.89</v>
      </c>
      <c r="E634" s="2">
        <v>1251.0</v>
      </c>
      <c r="F634" s="2">
        <v>3542.99</v>
      </c>
      <c r="G634" s="4">
        <f t="shared" si="3"/>
        <v>6510597.31</v>
      </c>
      <c r="H634" s="4">
        <f t="shared" si="1"/>
        <v>0.6821366482</v>
      </c>
      <c r="I634" s="4" t="str">
        <f t="shared" si="2"/>
        <v>A</v>
      </c>
    </row>
    <row r="635">
      <c r="A635" s="2">
        <v>634.0</v>
      </c>
      <c r="B635" s="2">
        <v>22577.0</v>
      </c>
      <c r="C635" s="2" t="s">
        <v>762</v>
      </c>
      <c r="D635" s="2">
        <v>0.83</v>
      </c>
      <c r="E635" s="2">
        <v>6966.0</v>
      </c>
      <c r="F635" s="2">
        <v>3538.03</v>
      </c>
      <c r="G635" s="4">
        <f t="shared" si="3"/>
        <v>6514135.34</v>
      </c>
      <c r="H635" s="4">
        <f t="shared" si="1"/>
        <v>0.6825073392</v>
      </c>
      <c r="I635" s="4" t="str">
        <f t="shared" si="2"/>
        <v>A</v>
      </c>
    </row>
    <row r="636">
      <c r="A636" s="2">
        <v>635.0</v>
      </c>
      <c r="B636" s="2">
        <v>23215.0</v>
      </c>
      <c r="C636" s="2" t="s">
        <v>763</v>
      </c>
      <c r="D636" s="2">
        <v>2.08</v>
      </c>
      <c r="E636" s="2">
        <v>1784.0</v>
      </c>
      <c r="F636" s="2">
        <v>3522.32</v>
      </c>
      <c r="G636" s="4">
        <f t="shared" si="3"/>
        <v>6517657.66</v>
      </c>
      <c r="H636" s="4">
        <f t="shared" si="1"/>
        <v>0.6828763842</v>
      </c>
      <c r="I636" s="4" t="str">
        <f t="shared" si="2"/>
        <v>A</v>
      </c>
    </row>
    <row r="637">
      <c r="A637" s="2">
        <v>636.0</v>
      </c>
      <c r="B637" s="2">
        <v>23320.0</v>
      </c>
      <c r="C637" s="2" t="s">
        <v>764</v>
      </c>
      <c r="D637" s="2">
        <v>2.89</v>
      </c>
      <c r="E637" s="2">
        <v>1328.0</v>
      </c>
      <c r="F637" s="2">
        <v>3518.74</v>
      </c>
      <c r="G637" s="4">
        <f t="shared" si="3"/>
        <v>6521176.4</v>
      </c>
      <c r="H637" s="4">
        <f t="shared" si="1"/>
        <v>0.6832450541</v>
      </c>
      <c r="I637" s="4" t="str">
        <f t="shared" si="2"/>
        <v>A</v>
      </c>
    </row>
    <row r="638">
      <c r="A638" s="2">
        <v>637.0</v>
      </c>
      <c r="B638" s="2">
        <v>21700.0</v>
      </c>
      <c r="C638" s="2" t="s">
        <v>765</v>
      </c>
      <c r="D638" s="2">
        <v>0.85</v>
      </c>
      <c r="E638" s="2">
        <v>3168.0</v>
      </c>
      <c r="F638" s="2">
        <v>3514.68</v>
      </c>
      <c r="G638" s="4">
        <f t="shared" si="3"/>
        <v>6524691.08</v>
      </c>
      <c r="H638" s="4">
        <f t="shared" si="1"/>
        <v>0.6836132987</v>
      </c>
      <c r="I638" s="4" t="str">
        <f t="shared" si="2"/>
        <v>A</v>
      </c>
    </row>
    <row r="639">
      <c r="A639" s="2">
        <v>638.0</v>
      </c>
      <c r="B639" s="2">
        <v>37450.0</v>
      </c>
      <c r="C639" s="2" t="s">
        <v>766</v>
      </c>
      <c r="D639" s="2">
        <v>2.95</v>
      </c>
      <c r="E639" s="2">
        <v>1222.0</v>
      </c>
      <c r="F639" s="2">
        <v>3511.57</v>
      </c>
      <c r="G639" s="4">
        <f t="shared" si="3"/>
        <v>6528202.65</v>
      </c>
      <c r="H639" s="4">
        <f t="shared" si="1"/>
        <v>0.6839812174</v>
      </c>
      <c r="I639" s="4" t="str">
        <f t="shared" si="2"/>
        <v>A</v>
      </c>
    </row>
    <row r="640">
      <c r="A640" s="2">
        <v>639.0</v>
      </c>
      <c r="B640" s="2">
        <v>23543.0</v>
      </c>
      <c r="C640" s="2" t="s">
        <v>767</v>
      </c>
      <c r="D640" s="2">
        <v>8.25</v>
      </c>
      <c r="E640" s="2">
        <v>618.0</v>
      </c>
      <c r="F640" s="2">
        <v>3509.5</v>
      </c>
      <c r="G640" s="4">
        <f t="shared" si="3"/>
        <v>6531712.15</v>
      </c>
      <c r="H640" s="4">
        <f t="shared" si="1"/>
        <v>0.6843489192</v>
      </c>
      <c r="I640" s="4" t="str">
        <f t="shared" si="2"/>
        <v>A</v>
      </c>
    </row>
    <row r="641">
      <c r="A641" s="2">
        <v>640.0</v>
      </c>
      <c r="B641" s="2">
        <v>21984.0</v>
      </c>
      <c r="C641" s="2" t="s">
        <v>768</v>
      </c>
      <c r="D641" s="2">
        <v>0.29</v>
      </c>
      <c r="E641" s="2">
        <v>12662.0</v>
      </c>
      <c r="F641" s="2">
        <v>3508.2</v>
      </c>
      <c r="G641" s="4">
        <f t="shared" si="3"/>
        <v>6535220.35</v>
      </c>
      <c r="H641" s="4">
        <f t="shared" si="1"/>
        <v>0.6847164849</v>
      </c>
      <c r="I641" s="4" t="str">
        <f t="shared" si="2"/>
        <v>A</v>
      </c>
    </row>
    <row r="642">
      <c r="A642" s="2">
        <v>641.0</v>
      </c>
      <c r="B642" s="2">
        <v>21497.0</v>
      </c>
      <c r="C642" s="2" t="s">
        <v>769</v>
      </c>
      <c r="D642" s="2">
        <v>0.42</v>
      </c>
      <c r="E642" s="2">
        <v>8775.0</v>
      </c>
      <c r="F642" s="2">
        <v>3499.5</v>
      </c>
      <c r="G642" s="4">
        <f t="shared" si="3"/>
        <v>6538719.85</v>
      </c>
      <c r="H642" s="4">
        <f t="shared" si="1"/>
        <v>0.685083139</v>
      </c>
      <c r="I642" s="4" t="str">
        <f t="shared" si="2"/>
        <v>A</v>
      </c>
    </row>
    <row r="643">
      <c r="A643" s="2">
        <v>642.0</v>
      </c>
      <c r="B643" s="2">
        <v>23293.0</v>
      </c>
      <c r="C643" s="2" t="s">
        <v>770</v>
      </c>
      <c r="D643" s="2">
        <v>0.83</v>
      </c>
      <c r="E643" s="2">
        <v>4234.0</v>
      </c>
      <c r="F643" s="2">
        <v>3493.52</v>
      </c>
      <c r="G643" s="4">
        <f t="shared" si="3"/>
        <v>6542213.37</v>
      </c>
      <c r="H643" s="4">
        <f t="shared" si="1"/>
        <v>0.6854491665</v>
      </c>
      <c r="I643" s="4" t="str">
        <f t="shared" si="2"/>
        <v>A</v>
      </c>
    </row>
    <row r="644">
      <c r="A644" s="2">
        <v>643.0</v>
      </c>
      <c r="B644" s="2">
        <v>22567.0</v>
      </c>
      <c r="C644" s="2" t="s">
        <v>771</v>
      </c>
      <c r="D644" s="2">
        <v>1.25</v>
      </c>
      <c r="E644" s="2">
        <v>2784.0</v>
      </c>
      <c r="F644" s="2">
        <v>3484.52</v>
      </c>
      <c r="G644" s="4">
        <f t="shared" si="3"/>
        <v>6545697.89</v>
      </c>
      <c r="H644" s="4">
        <f t="shared" si="1"/>
        <v>0.6858142511</v>
      </c>
      <c r="I644" s="4" t="str">
        <f t="shared" si="2"/>
        <v>A</v>
      </c>
    </row>
    <row r="645">
      <c r="A645" s="2">
        <v>644.0</v>
      </c>
      <c r="B645" s="2">
        <v>22498.0</v>
      </c>
      <c r="C645" s="2" t="s">
        <v>772</v>
      </c>
      <c r="D645" s="2">
        <v>5.95</v>
      </c>
      <c r="E645" s="2">
        <v>570.0</v>
      </c>
      <c r="F645" s="2">
        <v>3481.75</v>
      </c>
      <c r="G645" s="4">
        <f t="shared" si="3"/>
        <v>6549179.64</v>
      </c>
      <c r="H645" s="4">
        <f t="shared" si="1"/>
        <v>0.6861790455</v>
      </c>
      <c r="I645" s="4" t="str">
        <f t="shared" si="2"/>
        <v>A</v>
      </c>
    </row>
    <row r="646">
      <c r="A646" s="2">
        <v>645.0</v>
      </c>
      <c r="B646" s="2">
        <v>22563.0</v>
      </c>
      <c r="C646" s="2" t="s">
        <v>773</v>
      </c>
      <c r="D646" s="2">
        <v>1.25</v>
      </c>
      <c r="E646" s="2">
        <v>2984.0</v>
      </c>
      <c r="F646" s="2">
        <v>3478.18</v>
      </c>
      <c r="G646" s="4">
        <f t="shared" si="3"/>
        <v>6552657.82</v>
      </c>
      <c r="H646" s="4">
        <f t="shared" si="1"/>
        <v>0.6865434658</v>
      </c>
      <c r="I646" s="4" t="str">
        <f t="shared" si="2"/>
        <v>A</v>
      </c>
    </row>
    <row r="647">
      <c r="A647" s="2">
        <v>646.0</v>
      </c>
      <c r="B647" s="2">
        <v>23283.0</v>
      </c>
      <c r="C647" s="2" t="s">
        <v>774</v>
      </c>
      <c r="D647" s="2">
        <v>7.95</v>
      </c>
      <c r="E647" s="2">
        <v>494.0</v>
      </c>
      <c r="F647" s="2">
        <v>3476.94</v>
      </c>
      <c r="G647" s="4">
        <f t="shared" si="3"/>
        <v>6556134.76</v>
      </c>
      <c r="H647" s="4">
        <f t="shared" si="1"/>
        <v>0.6869077563</v>
      </c>
      <c r="I647" s="4" t="str">
        <f t="shared" si="2"/>
        <v>A</v>
      </c>
    </row>
    <row r="648">
      <c r="A648" s="2">
        <v>647.0</v>
      </c>
      <c r="B648" s="2">
        <v>22644.0</v>
      </c>
      <c r="C648" s="2" t="s">
        <v>775</v>
      </c>
      <c r="D648" s="2">
        <v>1.45</v>
      </c>
      <c r="E648" s="2">
        <v>2410.0</v>
      </c>
      <c r="F648" s="2">
        <v>3457.74</v>
      </c>
      <c r="G648" s="4">
        <f t="shared" si="3"/>
        <v>6559592.5</v>
      </c>
      <c r="H648" s="4">
        <f t="shared" si="1"/>
        <v>0.687270035</v>
      </c>
      <c r="I648" s="4" t="str">
        <f t="shared" si="2"/>
        <v>A</v>
      </c>
    </row>
    <row r="649">
      <c r="A649" s="2">
        <v>648.0</v>
      </c>
      <c r="B649" s="2">
        <v>21768.0</v>
      </c>
      <c r="C649" s="2" t="s">
        <v>776</v>
      </c>
      <c r="D649" s="2">
        <v>14.95</v>
      </c>
      <c r="E649" s="2">
        <v>254.0</v>
      </c>
      <c r="F649" s="2">
        <v>3454.54</v>
      </c>
      <c r="G649" s="4">
        <f t="shared" si="3"/>
        <v>6563047.04</v>
      </c>
      <c r="H649" s="4">
        <f t="shared" si="1"/>
        <v>0.6876319785</v>
      </c>
      <c r="I649" s="4" t="str">
        <f t="shared" si="2"/>
        <v>A</v>
      </c>
    </row>
    <row r="650">
      <c r="A650" s="2">
        <v>649.0</v>
      </c>
      <c r="B650" s="2">
        <v>21903.0</v>
      </c>
      <c r="C650" s="2" t="s">
        <v>777</v>
      </c>
      <c r="D650" s="2">
        <v>2.1</v>
      </c>
      <c r="E650" s="2">
        <v>1716.0</v>
      </c>
      <c r="F650" s="2">
        <v>3449.19</v>
      </c>
      <c r="G650" s="4">
        <f t="shared" si="3"/>
        <v>6566496.23</v>
      </c>
      <c r="H650" s="4">
        <f t="shared" si="1"/>
        <v>0.6879933615</v>
      </c>
      <c r="I650" s="4" t="str">
        <f t="shared" si="2"/>
        <v>A</v>
      </c>
    </row>
    <row r="651">
      <c r="A651" s="2">
        <v>650.0</v>
      </c>
      <c r="B651" s="2">
        <v>21563.0</v>
      </c>
      <c r="C651" s="2" t="s">
        <v>778</v>
      </c>
      <c r="D651" s="2">
        <v>2.95</v>
      </c>
      <c r="E651" s="2">
        <v>1393.0</v>
      </c>
      <c r="F651" s="2">
        <v>3437.86</v>
      </c>
      <c r="G651" s="4">
        <f t="shared" si="3"/>
        <v>6569934.09</v>
      </c>
      <c r="H651" s="4">
        <f t="shared" si="1"/>
        <v>0.6883535573</v>
      </c>
      <c r="I651" s="4" t="str">
        <f t="shared" si="2"/>
        <v>A</v>
      </c>
    </row>
    <row r="652">
      <c r="A652" s="2">
        <v>651.0</v>
      </c>
      <c r="B652" s="2">
        <v>22377.0</v>
      </c>
      <c r="C652" s="2" t="s">
        <v>779</v>
      </c>
      <c r="D652" s="2">
        <v>2.1</v>
      </c>
      <c r="E652" s="2">
        <v>1798.0</v>
      </c>
      <c r="F652" s="2">
        <v>3436.96</v>
      </c>
      <c r="G652" s="4">
        <f t="shared" si="3"/>
        <v>6573371.05</v>
      </c>
      <c r="H652" s="4">
        <f t="shared" si="1"/>
        <v>0.6887136589</v>
      </c>
      <c r="I652" s="4" t="str">
        <f t="shared" si="2"/>
        <v>A</v>
      </c>
    </row>
    <row r="653">
      <c r="A653" s="2">
        <v>652.0</v>
      </c>
      <c r="B653" s="2">
        <v>23254.0</v>
      </c>
      <c r="C653" s="2" t="s">
        <v>780</v>
      </c>
      <c r="D653" s="2">
        <v>4.15</v>
      </c>
      <c r="E653" s="2">
        <v>846.0</v>
      </c>
      <c r="F653" s="2">
        <v>3430.8</v>
      </c>
      <c r="G653" s="4">
        <f t="shared" si="3"/>
        <v>6576801.85</v>
      </c>
      <c r="H653" s="4">
        <f t="shared" si="1"/>
        <v>0.6890731151</v>
      </c>
      <c r="I653" s="4" t="str">
        <f t="shared" si="2"/>
        <v>A</v>
      </c>
    </row>
    <row r="654">
      <c r="A654" s="2">
        <v>653.0</v>
      </c>
      <c r="B654" s="2">
        <v>22938.0</v>
      </c>
      <c r="C654" s="2" t="s">
        <v>781</v>
      </c>
      <c r="D654" s="2">
        <v>1.95</v>
      </c>
      <c r="E654" s="2">
        <v>1826.0</v>
      </c>
      <c r="F654" s="2">
        <v>3410.52</v>
      </c>
      <c r="G654" s="4">
        <f t="shared" si="3"/>
        <v>6580212.37</v>
      </c>
      <c r="H654" s="4">
        <f t="shared" si="1"/>
        <v>0.6894304465</v>
      </c>
      <c r="I654" s="4" t="str">
        <f t="shared" si="2"/>
        <v>A</v>
      </c>
    </row>
    <row r="655">
      <c r="A655" s="2">
        <v>654.0</v>
      </c>
      <c r="B655" s="2">
        <v>23103.0</v>
      </c>
      <c r="C655" s="2" t="s">
        <v>782</v>
      </c>
      <c r="D655" s="2">
        <v>1.65</v>
      </c>
      <c r="E655" s="2">
        <v>2028.0</v>
      </c>
      <c r="F655" s="2">
        <v>3409.88</v>
      </c>
      <c r="G655" s="4">
        <f t="shared" si="3"/>
        <v>6583622.25</v>
      </c>
      <c r="H655" s="4">
        <f t="shared" si="1"/>
        <v>0.6897877108</v>
      </c>
      <c r="I655" s="4" t="str">
        <f t="shared" si="2"/>
        <v>A</v>
      </c>
    </row>
    <row r="656">
      <c r="A656" s="2">
        <v>655.0</v>
      </c>
      <c r="B656" s="2">
        <v>22378.0</v>
      </c>
      <c r="C656" s="2" t="s">
        <v>783</v>
      </c>
      <c r="D656" s="2">
        <v>2.1</v>
      </c>
      <c r="E656" s="2">
        <v>1872.0</v>
      </c>
      <c r="F656" s="2">
        <v>3409.06</v>
      </c>
      <c r="G656" s="4">
        <f t="shared" si="3"/>
        <v>6587031.31</v>
      </c>
      <c r="H656" s="4">
        <f t="shared" si="1"/>
        <v>0.6901448892</v>
      </c>
      <c r="I656" s="4" t="str">
        <f t="shared" si="2"/>
        <v>A</v>
      </c>
    </row>
    <row r="657">
      <c r="A657" s="2">
        <v>656.0</v>
      </c>
      <c r="B657" s="2">
        <v>37448.0</v>
      </c>
      <c r="C657" s="2" t="s">
        <v>784</v>
      </c>
      <c r="D657" s="2">
        <v>1.49</v>
      </c>
      <c r="E657" s="2">
        <v>2269.0</v>
      </c>
      <c r="F657" s="2">
        <v>3405.41</v>
      </c>
      <c r="G657" s="4">
        <f t="shared" si="3"/>
        <v>6590436.72</v>
      </c>
      <c r="H657" s="4">
        <f t="shared" si="1"/>
        <v>0.6905016852</v>
      </c>
      <c r="I657" s="4" t="str">
        <f t="shared" si="2"/>
        <v>A</v>
      </c>
    </row>
    <row r="658">
      <c r="A658" s="2">
        <v>657.0</v>
      </c>
      <c r="B658" s="2">
        <v>23541.0</v>
      </c>
      <c r="C658" s="2" t="s">
        <v>785</v>
      </c>
      <c r="D658" s="2">
        <v>8.25</v>
      </c>
      <c r="E658" s="2">
        <v>435.0</v>
      </c>
      <c r="F658" s="2">
        <v>3403.7</v>
      </c>
      <c r="G658" s="4">
        <f t="shared" si="3"/>
        <v>6593840.42</v>
      </c>
      <c r="H658" s="4">
        <f t="shared" si="1"/>
        <v>0.690858302</v>
      </c>
      <c r="I658" s="4" t="str">
        <f t="shared" si="2"/>
        <v>A</v>
      </c>
    </row>
    <row r="659">
      <c r="A659" s="2">
        <v>658.0</v>
      </c>
      <c r="B659" s="2">
        <v>20973.0</v>
      </c>
      <c r="C659" s="2" t="s">
        <v>786</v>
      </c>
      <c r="D659" s="2">
        <v>0.65</v>
      </c>
      <c r="E659" s="2">
        <v>4940.0</v>
      </c>
      <c r="F659" s="2">
        <v>3392.5</v>
      </c>
      <c r="G659" s="4">
        <f t="shared" si="3"/>
        <v>6597232.92</v>
      </c>
      <c r="H659" s="4">
        <f t="shared" si="1"/>
        <v>0.6912137454</v>
      </c>
      <c r="I659" s="4" t="str">
        <f t="shared" si="2"/>
        <v>A</v>
      </c>
    </row>
    <row r="660">
      <c r="A660" s="2">
        <v>659.0</v>
      </c>
      <c r="B660" s="2">
        <v>22781.0</v>
      </c>
      <c r="C660" s="2" t="s">
        <v>787</v>
      </c>
      <c r="D660" s="2">
        <v>7.65</v>
      </c>
      <c r="E660" s="2">
        <v>412.0</v>
      </c>
      <c r="F660" s="2">
        <v>3380.44</v>
      </c>
      <c r="G660" s="4">
        <f t="shared" si="3"/>
        <v>6600613.36</v>
      </c>
      <c r="H660" s="4">
        <f t="shared" si="1"/>
        <v>0.6915679252</v>
      </c>
      <c r="I660" s="4" t="str">
        <f t="shared" si="2"/>
        <v>A</v>
      </c>
    </row>
    <row r="661">
      <c r="A661" s="2">
        <v>660.0</v>
      </c>
      <c r="B661" s="2">
        <v>22845.0</v>
      </c>
      <c r="C661" s="2" t="s">
        <v>788</v>
      </c>
      <c r="D661" s="2">
        <v>6.35</v>
      </c>
      <c r="E661" s="2">
        <v>499.0</v>
      </c>
      <c r="F661" s="2">
        <v>3379.12</v>
      </c>
      <c r="G661" s="4">
        <f t="shared" si="3"/>
        <v>6603992.48</v>
      </c>
      <c r="H661" s="4">
        <f t="shared" si="1"/>
        <v>0.6919219666</v>
      </c>
      <c r="I661" s="4" t="str">
        <f t="shared" si="2"/>
        <v>A</v>
      </c>
    </row>
    <row r="662">
      <c r="A662" s="2">
        <v>661.0</v>
      </c>
      <c r="B662" s="2">
        <v>23297.0</v>
      </c>
      <c r="C662" s="2" t="s">
        <v>789</v>
      </c>
      <c r="D662" s="2">
        <v>1.65</v>
      </c>
      <c r="E662" s="2">
        <v>2140.0</v>
      </c>
      <c r="F662" s="2">
        <v>3377.96</v>
      </c>
      <c r="G662" s="4">
        <f t="shared" si="3"/>
        <v>6607370.44</v>
      </c>
      <c r="H662" s="4">
        <f t="shared" si="1"/>
        <v>0.6922758866</v>
      </c>
      <c r="I662" s="4" t="str">
        <f t="shared" si="2"/>
        <v>A</v>
      </c>
    </row>
    <row r="663">
      <c r="A663" s="2">
        <v>662.0</v>
      </c>
      <c r="B663" s="2">
        <v>21992.0</v>
      </c>
      <c r="C663" s="2" t="s">
        <v>790</v>
      </c>
      <c r="D663" s="2">
        <v>2.46</v>
      </c>
      <c r="E663" s="2">
        <v>1664.0</v>
      </c>
      <c r="F663" s="2">
        <v>3374.22</v>
      </c>
      <c r="G663" s="4">
        <f t="shared" si="3"/>
        <v>6610744.66</v>
      </c>
      <c r="H663" s="4">
        <f t="shared" si="1"/>
        <v>0.6926294147</v>
      </c>
      <c r="I663" s="4" t="str">
        <f t="shared" si="2"/>
        <v>A</v>
      </c>
    </row>
    <row r="664">
      <c r="A664" s="2">
        <v>663.0</v>
      </c>
      <c r="B664" s="2">
        <v>22311.0</v>
      </c>
      <c r="C664" s="2" t="s">
        <v>791</v>
      </c>
      <c r="D664" s="2">
        <v>2.95</v>
      </c>
      <c r="E664" s="2">
        <v>1058.0</v>
      </c>
      <c r="F664" s="2">
        <v>3373.3</v>
      </c>
      <c r="G664" s="4">
        <f t="shared" si="3"/>
        <v>6614117.96</v>
      </c>
      <c r="H664" s="4">
        <f t="shared" si="1"/>
        <v>0.6929828464</v>
      </c>
      <c r="I664" s="4" t="str">
        <f t="shared" si="2"/>
        <v>A</v>
      </c>
    </row>
    <row r="665">
      <c r="A665" s="2">
        <v>664.0</v>
      </c>
      <c r="B665" s="2">
        <v>22431.0</v>
      </c>
      <c r="C665" s="2" t="s">
        <v>792</v>
      </c>
      <c r="D665" s="2">
        <v>1.95</v>
      </c>
      <c r="E665" s="2">
        <v>1676.0</v>
      </c>
      <c r="F665" s="2">
        <v>3373.08</v>
      </c>
      <c r="G665" s="4">
        <f t="shared" si="3"/>
        <v>6617491.04</v>
      </c>
      <c r="H665" s="4">
        <f t="shared" si="1"/>
        <v>0.6933362551</v>
      </c>
      <c r="I665" s="4" t="str">
        <f t="shared" si="2"/>
        <v>A</v>
      </c>
    </row>
    <row r="666">
      <c r="A666" s="2">
        <v>665.0</v>
      </c>
      <c r="B666" s="2">
        <v>37500.0</v>
      </c>
      <c r="C666" s="2" t="s">
        <v>793</v>
      </c>
      <c r="D666" s="2">
        <v>9.95</v>
      </c>
      <c r="E666" s="2">
        <v>438.0</v>
      </c>
      <c r="F666" s="2">
        <v>3371.36</v>
      </c>
      <c r="G666" s="4">
        <f t="shared" si="3"/>
        <v>6620862.4</v>
      </c>
      <c r="H666" s="4">
        <f t="shared" si="1"/>
        <v>0.6936894835</v>
      </c>
      <c r="I666" s="4" t="str">
        <f t="shared" si="2"/>
        <v>A</v>
      </c>
    </row>
    <row r="667">
      <c r="A667" s="2">
        <v>666.0</v>
      </c>
      <c r="B667" s="2">
        <v>23480.0</v>
      </c>
      <c r="C667" s="2" t="s">
        <v>794</v>
      </c>
      <c r="D667" s="2">
        <v>3.75</v>
      </c>
      <c r="E667" s="2">
        <v>900.0</v>
      </c>
      <c r="F667" s="2">
        <v>3363.32</v>
      </c>
      <c r="G667" s="4">
        <f t="shared" si="3"/>
        <v>6624225.72</v>
      </c>
      <c r="H667" s="4">
        <f t="shared" si="1"/>
        <v>0.6940418696</v>
      </c>
      <c r="I667" s="4" t="str">
        <f t="shared" si="2"/>
        <v>A</v>
      </c>
    </row>
    <row r="668">
      <c r="A668" s="2">
        <v>667.0</v>
      </c>
      <c r="B668" s="2" t="s">
        <v>795</v>
      </c>
      <c r="C668" s="2" t="s">
        <v>796</v>
      </c>
      <c r="D668" s="2">
        <v>5.79</v>
      </c>
      <c r="E668" s="2">
        <v>728.0</v>
      </c>
      <c r="F668" s="2">
        <v>3357.85</v>
      </c>
      <c r="G668" s="4">
        <f t="shared" si="3"/>
        <v>6627583.57</v>
      </c>
      <c r="H668" s="4">
        <f t="shared" si="1"/>
        <v>0.6943936826</v>
      </c>
      <c r="I668" s="4" t="str">
        <f t="shared" si="2"/>
        <v>A</v>
      </c>
    </row>
    <row r="669">
      <c r="A669" s="2">
        <v>668.0</v>
      </c>
      <c r="B669" s="2">
        <v>23229.0</v>
      </c>
      <c r="C669" s="2" t="s">
        <v>797</v>
      </c>
      <c r="D669" s="2">
        <v>3.75</v>
      </c>
      <c r="E669" s="2">
        <v>931.0</v>
      </c>
      <c r="F669" s="2">
        <v>3356.73</v>
      </c>
      <c r="G669" s="4">
        <f t="shared" si="3"/>
        <v>6630940.3</v>
      </c>
      <c r="H669" s="4">
        <f t="shared" si="1"/>
        <v>0.6947453782</v>
      </c>
      <c r="I669" s="4" t="str">
        <f t="shared" si="2"/>
        <v>A</v>
      </c>
    </row>
    <row r="670">
      <c r="A670" s="2">
        <v>669.0</v>
      </c>
      <c r="B670" s="2">
        <v>22187.0</v>
      </c>
      <c r="C670" s="2" t="s">
        <v>798</v>
      </c>
      <c r="D670" s="2">
        <v>4.25</v>
      </c>
      <c r="E670" s="2">
        <v>1038.0</v>
      </c>
      <c r="F670" s="2">
        <v>3354.72</v>
      </c>
      <c r="G670" s="4">
        <f t="shared" si="3"/>
        <v>6634295.02</v>
      </c>
      <c r="H670" s="4">
        <f t="shared" si="1"/>
        <v>0.6950968632</v>
      </c>
      <c r="I670" s="4" t="str">
        <f t="shared" si="2"/>
        <v>A</v>
      </c>
    </row>
    <row r="671">
      <c r="A671" s="2">
        <v>670.0</v>
      </c>
      <c r="B671" s="2">
        <v>22432.0</v>
      </c>
      <c r="C671" s="2" t="s">
        <v>799</v>
      </c>
      <c r="D671" s="2">
        <v>1.95</v>
      </c>
      <c r="E671" s="2">
        <v>1760.0</v>
      </c>
      <c r="F671" s="2">
        <v>3353.51</v>
      </c>
      <c r="G671" s="4">
        <f t="shared" si="3"/>
        <v>6637648.53</v>
      </c>
      <c r="H671" s="4">
        <f t="shared" si="1"/>
        <v>0.6954482215</v>
      </c>
      <c r="I671" s="4" t="str">
        <f t="shared" si="2"/>
        <v>A</v>
      </c>
    </row>
    <row r="672">
      <c r="A672" s="2">
        <v>671.0</v>
      </c>
      <c r="B672" s="2">
        <v>22746.0</v>
      </c>
      <c r="C672" s="2" t="s">
        <v>800</v>
      </c>
      <c r="D672" s="2">
        <v>2.1</v>
      </c>
      <c r="E672" s="2">
        <v>1454.0</v>
      </c>
      <c r="F672" s="2">
        <v>3348.58</v>
      </c>
      <c r="G672" s="4">
        <f t="shared" si="3"/>
        <v>6640997.11</v>
      </c>
      <c r="H672" s="4">
        <f t="shared" si="1"/>
        <v>0.6957990632</v>
      </c>
      <c r="I672" s="4" t="str">
        <f t="shared" si="2"/>
        <v>A</v>
      </c>
    </row>
    <row r="673">
      <c r="A673" s="2">
        <v>672.0</v>
      </c>
      <c r="B673" s="2">
        <v>22221.0</v>
      </c>
      <c r="C673" s="2" t="s">
        <v>801</v>
      </c>
      <c r="D673" s="2">
        <v>9.95</v>
      </c>
      <c r="E673" s="2">
        <v>451.0</v>
      </c>
      <c r="F673" s="2">
        <v>3336.24</v>
      </c>
      <c r="G673" s="4">
        <f t="shared" si="3"/>
        <v>6644333.35</v>
      </c>
      <c r="H673" s="4">
        <f t="shared" si="1"/>
        <v>0.696148612</v>
      </c>
      <c r="I673" s="4" t="str">
        <f t="shared" si="2"/>
        <v>A</v>
      </c>
    </row>
    <row r="674">
      <c r="A674" s="2">
        <v>673.0</v>
      </c>
      <c r="B674" s="2" t="s">
        <v>802</v>
      </c>
      <c r="C674" s="2" t="s">
        <v>803</v>
      </c>
      <c r="D674" s="2">
        <v>5.95</v>
      </c>
      <c r="E674" s="2">
        <v>960.0</v>
      </c>
      <c r="F674" s="2">
        <v>3335.2</v>
      </c>
      <c r="G674" s="4">
        <f t="shared" si="3"/>
        <v>6647668.55</v>
      </c>
      <c r="H674" s="4">
        <f t="shared" si="1"/>
        <v>0.6964980518</v>
      </c>
      <c r="I674" s="4" t="str">
        <f t="shared" si="2"/>
        <v>A</v>
      </c>
    </row>
    <row r="675">
      <c r="A675" s="2">
        <v>674.0</v>
      </c>
      <c r="B675" s="2">
        <v>22059.0</v>
      </c>
      <c r="C675" s="2" t="s">
        <v>804</v>
      </c>
      <c r="D675" s="2">
        <v>1.49</v>
      </c>
      <c r="E675" s="2">
        <v>2479.0</v>
      </c>
      <c r="F675" s="2">
        <v>3331.82</v>
      </c>
      <c r="G675" s="4">
        <f t="shared" si="3"/>
        <v>6651000.37</v>
      </c>
      <c r="H675" s="4">
        <f t="shared" si="1"/>
        <v>0.6968471376</v>
      </c>
      <c r="I675" s="4" t="str">
        <f t="shared" si="2"/>
        <v>A</v>
      </c>
    </row>
    <row r="676">
      <c r="A676" s="2">
        <v>675.0</v>
      </c>
      <c r="B676" s="2">
        <v>85068.0</v>
      </c>
      <c r="C676" s="2" t="s">
        <v>805</v>
      </c>
      <c r="D676" s="2">
        <v>7.95</v>
      </c>
      <c r="E676" s="2">
        <v>480.0</v>
      </c>
      <c r="F676" s="2">
        <v>3327.6</v>
      </c>
      <c r="G676" s="4">
        <f t="shared" si="3"/>
        <v>6654327.97</v>
      </c>
      <c r="H676" s="4">
        <f t="shared" si="1"/>
        <v>0.6971957811</v>
      </c>
      <c r="I676" s="4" t="str">
        <f t="shared" si="2"/>
        <v>A</v>
      </c>
    </row>
    <row r="677">
      <c r="A677" s="2">
        <v>676.0</v>
      </c>
      <c r="B677" s="2">
        <v>21107.0</v>
      </c>
      <c r="C677" s="2" t="s">
        <v>806</v>
      </c>
      <c r="D677" s="2">
        <v>2.95</v>
      </c>
      <c r="E677" s="2">
        <v>1156.0</v>
      </c>
      <c r="F677" s="2">
        <v>3327.14</v>
      </c>
      <c r="G677" s="4">
        <f t="shared" si="3"/>
        <v>6657655.11</v>
      </c>
      <c r="H677" s="4">
        <f t="shared" si="1"/>
        <v>0.6975443765</v>
      </c>
      <c r="I677" s="4" t="str">
        <f t="shared" si="2"/>
        <v>A</v>
      </c>
    </row>
    <row r="678">
      <c r="A678" s="2">
        <v>677.0</v>
      </c>
      <c r="B678" s="2">
        <v>23008.0</v>
      </c>
      <c r="C678" s="2" t="s">
        <v>807</v>
      </c>
      <c r="D678" s="2">
        <v>16.95</v>
      </c>
      <c r="E678" s="2">
        <v>214.0</v>
      </c>
      <c r="F678" s="2">
        <v>3325.9</v>
      </c>
      <c r="G678" s="4">
        <f t="shared" si="3"/>
        <v>6660981.01</v>
      </c>
      <c r="H678" s="4">
        <f t="shared" si="1"/>
        <v>0.697892842</v>
      </c>
      <c r="I678" s="4" t="str">
        <f t="shared" si="2"/>
        <v>A</v>
      </c>
    </row>
    <row r="679">
      <c r="A679" s="2">
        <v>678.0</v>
      </c>
      <c r="B679" s="2">
        <v>23109.0</v>
      </c>
      <c r="C679" s="2" t="s">
        <v>808</v>
      </c>
      <c r="D679" s="2">
        <v>2.89</v>
      </c>
      <c r="E679" s="2">
        <v>1152.0</v>
      </c>
      <c r="F679" s="2">
        <v>3319.66</v>
      </c>
      <c r="G679" s="4">
        <f t="shared" si="3"/>
        <v>6664300.67</v>
      </c>
      <c r="H679" s="4">
        <f t="shared" si="1"/>
        <v>0.6982406536</v>
      </c>
      <c r="I679" s="4" t="str">
        <f t="shared" si="2"/>
        <v>A</v>
      </c>
    </row>
    <row r="680">
      <c r="A680" s="2">
        <v>679.0</v>
      </c>
      <c r="B680" s="2">
        <v>22810.0</v>
      </c>
      <c r="C680" s="2" t="s">
        <v>809</v>
      </c>
      <c r="D680" s="2">
        <v>2.95</v>
      </c>
      <c r="E680" s="2">
        <v>1081.0</v>
      </c>
      <c r="F680" s="2">
        <v>3319.59</v>
      </c>
      <c r="G680" s="4">
        <f t="shared" si="3"/>
        <v>6667620.26</v>
      </c>
      <c r="H680" s="4">
        <f t="shared" si="1"/>
        <v>0.698588458</v>
      </c>
      <c r="I680" s="4" t="str">
        <f t="shared" si="2"/>
        <v>A</v>
      </c>
    </row>
    <row r="681">
      <c r="A681" s="2">
        <v>680.0</v>
      </c>
      <c r="B681" s="2">
        <v>22661.0</v>
      </c>
      <c r="C681" s="2" t="s">
        <v>810</v>
      </c>
      <c r="D681" s="2">
        <v>0.85</v>
      </c>
      <c r="E681" s="2">
        <v>4110.0</v>
      </c>
      <c r="F681" s="2">
        <v>3319.58</v>
      </c>
      <c r="G681" s="4">
        <f t="shared" si="3"/>
        <v>6670939.84</v>
      </c>
      <c r="H681" s="4">
        <f t="shared" si="1"/>
        <v>0.6989362613</v>
      </c>
      <c r="I681" s="4" t="str">
        <f t="shared" si="2"/>
        <v>A</v>
      </c>
    </row>
    <row r="682">
      <c r="A682" s="2">
        <v>681.0</v>
      </c>
      <c r="B682" s="2">
        <v>22430.0</v>
      </c>
      <c r="C682" s="2" t="s">
        <v>811</v>
      </c>
      <c r="D682" s="2">
        <v>4.95</v>
      </c>
      <c r="E682" s="2">
        <v>684.0</v>
      </c>
      <c r="F682" s="2">
        <v>3316.99</v>
      </c>
      <c r="G682" s="4">
        <f t="shared" si="3"/>
        <v>6674256.83</v>
      </c>
      <c r="H682" s="4">
        <f t="shared" si="1"/>
        <v>0.6992837932</v>
      </c>
      <c r="I682" s="4" t="str">
        <f t="shared" si="2"/>
        <v>A</v>
      </c>
    </row>
    <row r="683">
      <c r="A683" s="2">
        <v>682.0</v>
      </c>
      <c r="B683" s="2">
        <v>85047.0</v>
      </c>
      <c r="C683" s="2" t="s">
        <v>812</v>
      </c>
      <c r="D683" s="2">
        <v>6.35</v>
      </c>
      <c r="E683" s="2">
        <v>523.0</v>
      </c>
      <c r="F683" s="2">
        <v>3316.29</v>
      </c>
      <c r="G683" s="4">
        <f t="shared" si="3"/>
        <v>6677573.12</v>
      </c>
      <c r="H683" s="4">
        <f t="shared" si="1"/>
        <v>0.6996312518</v>
      </c>
      <c r="I683" s="4" t="str">
        <f t="shared" si="2"/>
        <v>A</v>
      </c>
    </row>
    <row r="684">
      <c r="A684" s="2">
        <v>683.0</v>
      </c>
      <c r="B684" s="2">
        <v>22779.0</v>
      </c>
      <c r="C684" s="2" t="s">
        <v>813</v>
      </c>
      <c r="D684" s="2">
        <v>4.25</v>
      </c>
      <c r="E684" s="2">
        <v>868.0</v>
      </c>
      <c r="F684" s="2">
        <v>3315.68</v>
      </c>
      <c r="G684" s="4">
        <f t="shared" si="3"/>
        <v>6680888.8</v>
      </c>
      <c r="H684" s="4">
        <f t="shared" si="1"/>
        <v>0.6999786465</v>
      </c>
      <c r="I684" s="4" t="str">
        <f t="shared" si="2"/>
        <v>A</v>
      </c>
    </row>
    <row r="685">
      <c r="A685" s="2">
        <v>684.0</v>
      </c>
      <c r="B685" s="2">
        <v>22898.0</v>
      </c>
      <c r="C685" s="2" t="s">
        <v>814</v>
      </c>
      <c r="D685" s="2">
        <v>1.95</v>
      </c>
      <c r="E685" s="2">
        <v>1590.0</v>
      </c>
      <c r="F685" s="2">
        <v>3313.78</v>
      </c>
      <c r="G685" s="4">
        <f t="shared" si="3"/>
        <v>6684202.58</v>
      </c>
      <c r="H685" s="4">
        <f t="shared" si="1"/>
        <v>0.7003258421</v>
      </c>
      <c r="I685" s="4" t="str">
        <f t="shared" si="2"/>
        <v>A</v>
      </c>
    </row>
    <row r="686">
      <c r="A686" s="2">
        <v>685.0</v>
      </c>
      <c r="B686" s="2">
        <v>22575.0</v>
      </c>
      <c r="C686" s="2" t="s">
        <v>815</v>
      </c>
      <c r="D686" s="2">
        <v>1.95</v>
      </c>
      <c r="E686" s="2">
        <v>1531.0</v>
      </c>
      <c r="F686" s="2">
        <v>3311.23</v>
      </c>
      <c r="G686" s="4">
        <f t="shared" si="3"/>
        <v>6687513.81</v>
      </c>
      <c r="H686" s="4">
        <f t="shared" si="1"/>
        <v>0.7006727705</v>
      </c>
      <c r="I686" s="4" t="str">
        <f t="shared" si="2"/>
        <v>A</v>
      </c>
    </row>
    <row r="687">
      <c r="A687" s="2">
        <v>686.0</v>
      </c>
      <c r="B687" s="2">
        <v>23247.0</v>
      </c>
      <c r="C687" s="2" t="s">
        <v>816</v>
      </c>
      <c r="D687" s="2">
        <v>2.89</v>
      </c>
      <c r="E687" s="2">
        <v>1084.0</v>
      </c>
      <c r="F687" s="2">
        <v>3310.26</v>
      </c>
      <c r="G687" s="4">
        <f t="shared" si="3"/>
        <v>6690824.07</v>
      </c>
      <c r="H687" s="4">
        <f t="shared" si="1"/>
        <v>0.7010195973</v>
      </c>
      <c r="I687" s="4" t="str">
        <f t="shared" si="2"/>
        <v>A</v>
      </c>
    </row>
    <row r="688">
      <c r="A688" s="2">
        <v>687.0</v>
      </c>
      <c r="B688" s="2">
        <v>47502.0</v>
      </c>
      <c r="C688" s="2" t="s">
        <v>817</v>
      </c>
      <c r="D688" s="2">
        <v>12.75</v>
      </c>
      <c r="E688" s="2">
        <v>308.0</v>
      </c>
      <c r="F688" s="2">
        <v>3302.88</v>
      </c>
      <c r="G688" s="4">
        <f t="shared" si="3"/>
        <v>6694126.95</v>
      </c>
      <c r="H688" s="4">
        <f t="shared" si="1"/>
        <v>0.7013656509</v>
      </c>
      <c r="I688" s="4" t="str">
        <f t="shared" si="2"/>
        <v>A</v>
      </c>
    </row>
    <row r="689">
      <c r="A689" s="2">
        <v>688.0</v>
      </c>
      <c r="B689" s="2">
        <v>11001.0</v>
      </c>
      <c r="C689" s="2" t="s">
        <v>818</v>
      </c>
      <c r="D689" s="2">
        <v>1.69</v>
      </c>
      <c r="E689" s="2">
        <v>2112.0</v>
      </c>
      <c r="F689" s="2">
        <v>3293.9</v>
      </c>
      <c r="G689" s="4">
        <f t="shared" si="3"/>
        <v>6697420.85</v>
      </c>
      <c r="H689" s="4">
        <f t="shared" si="1"/>
        <v>0.7017107636</v>
      </c>
      <c r="I689" s="4" t="str">
        <f t="shared" si="2"/>
        <v>A</v>
      </c>
    </row>
    <row r="690">
      <c r="A690" s="2">
        <v>689.0</v>
      </c>
      <c r="B690" s="2">
        <v>22220.0</v>
      </c>
      <c r="C690" s="2" t="s">
        <v>819</v>
      </c>
      <c r="D690" s="2">
        <v>9.95</v>
      </c>
      <c r="E690" s="2">
        <v>356.0</v>
      </c>
      <c r="F690" s="2">
        <v>3287.24</v>
      </c>
      <c r="G690" s="4">
        <f t="shared" si="3"/>
        <v>6700708.09</v>
      </c>
      <c r="H690" s="4">
        <f t="shared" si="1"/>
        <v>0.7020551785</v>
      </c>
      <c r="I690" s="4" t="str">
        <f t="shared" si="2"/>
        <v>A</v>
      </c>
    </row>
    <row r="691">
      <c r="A691" s="2">
        <v>690.0</v>
      </c>
      <c r="B691" s="2">
        <v>22526.0</v>
      </c>
      <c r="C691" s="2" t="s">
        <v>820</v>
      </c>
      <c r="D691" s="2">
        <v>12.75</v>
      </c>
      <c r="E691" s="2">
        <v>267.0</v>
      </c>
      <c r="F691" s="2">
        <v>3281.08</v>
      </c>
      <c r="G691" s="4">
        <f t="shared" si="3"/>
        <v>6703989.17</v>
      </c>
      <c r="H691" s="4">
        <f t="shared" si="1"/>
        <v>0.7023989481</v>
      </c>
      <c r="I691" s="4" t="str">
        <f t="shared" si="2"/>
        <v>A</v>
      </c>
    </row>
    <row r="692">
      <c r="A692" s="2">
        <v>691.0</v>
      </c>
      <c r="B692" s="2">
        <v>22199.0</v>
      </c>
      <c r="C692" s="2" t="s">
        <v>821</v>
      </c>
      <c r="D692" s="2">
        <v>4.25</v>
      </c>
      <c r="E692" s="2">
        <v>778.0</v>
      </c>
      <c r="F692" s="2">
        <v>3278.44</v>
      </c>
      <c r="G692" s="4">
        <f t="shared" si="3"/>
        <v>6707267.61</v>
      </c>
      <c r="H692" s="4">
        <f t="shared" si="1"/>
        <v>0.702742441</v>
      </c>
      <c r="I692" s="4" t="str">
        <f t="shared" si="2"/>
        <v>A</v>
      </c>
    </row>
    <row r="693">
      <c r="A693" s="2">
        <v>692.0</v>
      </c>
      <c r="B693" s="2">
        <v>21592.0</v>
      </c>
      <c r="C693" s="2" t="s">
        <v>822</v>
      </c>
      <c r="D693" s="2">
        <v>1.25</v>
      </c>
      <c r="E693" s="2">
        <v>2936.0</v>
      </c>
      <c r="F693" s="2">
        <v>3273.3</v>
      </c>
      <c r="G693" s="4">
        <f t="shared" si="3"/>
        <v>6710540.91</v>
      </c>
      <c r="H693" s="4">
        <f t="shared" si="1"/>
        <v>0.7030853954</v>
      </c>
      <c r="I693" s="4" t="str">
        <f t="shared" si="2"/>
        <v>A</v>
      </c>
    </row>
    <row r="694">
      <c r="A694" s="2">
        <v>693.0</v>
      </c>
      <c r="B694" s="2">
        <v>23169.0</v>
      </c>
      <c r="C694" s="2" t="s">
        <v>823</v>
      </c>
      <c r="D694" s="2">
        <v>4.15</v>
      </c>
      <c r="E694" s="2">
        <v>763.0</v>
      </c>
      <c r="F694" s="2">
        <v>3269.17</v>
      </c>
      <c r="G694" s="4">
        <f t="shared" si="3"/>
        <v>6713810.08</v>
      </c>
      <c r="H694" s="4">
        <f t="shared" si="1"/>
        <v>0.703427917</v>
      </c>
      <c r="I694" s="4" t="str">
        <f t="shared" si="2"/>
        <v>A</v>
      </c>
    </row>
    <row r="695">
      <c r="A695" s="2">
        <v>694.0</v>
      </c>
      <c r="B695" s="2">
        <v>21240.0</v>
      </c>
      <c r="C695" s="2" t="s">
        <v>824</v>
      </c>
      <c r="D695" s="2">
        <v>0.85</v>
      </c>
      <c r="E695" s="2">
        <v>3776.0</v>
      </c>
      <c r="F695" s="2">
        <v>3255.97</v>
      </c>
      <c r="G695" s="4">
        <f t="shared" si="3"/>
        <v>6717066.05</v>
      </c>
      <c r="H695" s="4">
        <f t="shared" si="1"/>
        <v>0.7037690557</v>
      </c>
      <c r="I695" s="4" t="str">
        <f t="shared" si="2"/>
        <v>A</v>
      </c>
    </row>
    <row r="696">
      <c r="A696" s="2">
        <v>695.0</v>
      </c>
      <c r="B696" s="2">
        <v>22080.0</v>
      </c>
      <c r="C696" s="2" t="s">
        <v>825</v>
      </c>
      <c r="D696" s="2">
        <v>1.65</v>
      </c>
      <c r="E696" s="2">
        <v>1940.0</v>
      </c>
      <c r="F696" s="2">
        <v>3251.27</v>
      </c>
      <c r="G696" s="4">
        <f t="shared" si="3"/>
        <v>6720317.32</v>
      </c>
      <c r="H696" s="4">
        <f t="shared" si="1"/>
        <v>0.7041097019</v>
      </c>
      <c r="I696" s="4" t="str">
        <f t="shared" si="2"/>
        <v>A</v>
      </c>
    </row>
    <row r="697">
      <c r="A697" s="2">
        <v>696.0</v>
      </c>
      <c r="B697" s="2">
        <v>22596.0</v>
      </c>
      <c r="C697" s="2" t="s">
        <v>826</v>
      </c>
      <c r="D697" s="2">
        <v>1.25</v>
      </c>
      <c r="E697" s="2">
        <v>3180.0</v>
      </c>
      <c r="F697" s="2">
        <v>3250.3</v>
      </c>
      <c r="G697" s="4">
        <f t="shared" si="3"/>
        <v>6723567.62</v>
      </c>
      <c r="H697" s="4">
        <f t="shared" si="1"/>
        <v>0.7044502465</v>
      </c>
      <c r="I697" s="4" t="str">
        <f t="shared" si="2"/>
        <v>A</v>
      </c>
    </row>
    <row r="698">
      <c r="A698" s="2">
        <v>697.0</v>
      </c>
      <c r="B698" s="2" t="s">
        <v>827</v>
      </c>
      <c r="C698" s="2" t="s">
        <v>828</v>
      </c>
      <c r="D698" s="2">
        <v>0.42</v>
      </c>
      <c r="E698" s="2">
        <v>8258.0</v>
      </c>
      <c r="F698" s="2">
        <v>3248.65</v>
      </c>
      <c r="G698" s="4">
        <f t="shared" si="3"/>
        <v>6726816.27</v>
      </c>
      <c r="H698" s="4">
        <f t="shared" si="1"/>
        <v>0.7047906182</v>
      </c>
      <c r="I698" s="4" t="str">
        <f t="shared" si="2"/>
        <v>A</v>
      </c>
    </row>
    <row r="699">
      <c r="A699" s="2">
        <v>698.0</v>
      </c>
      <c r="B699" s="2">
        <v>85062.0</v>
      </c>
      <c r="C699" s="2" t="s">
        <v>829</v>
      </c>
      <c r="D699" s="2">
        <v>1.65</v>
      </c>
      <c r="E699" s="2">
        <v>1982.0</v>
      </c>
      <c r="F699" s="2">
        <v>3245.99</v>
      </c>
      <c r="G699" s="4">
        <f t="shared" si="3"/>
        <v>6730062.26</v>
      </c>
      <c r="H699" s="4">
        <f t="shared" si="1"/>
        <v>0.7051307113</v>
      </c>
      <c r="I699" s="4" t="str">
        <f t="shared" si="2"/>
        <v>A</v>
      </c>
    </row>
    <row r="700">
      <c r="A700" s="2">
        <v>699.0</v>
      </c>
      <c r="B700" s="2">
        <v>21201.0</v>
      </c>
      <c r="C700" s="2" t="s">
        <v>830</v>
      </c>
      <c r="D700" s="2">
        <v>2.55</v>
      </c>
      <c r="E700" s="2">
        <v>1366.0</v>
      </c>
      <c r="F700" s="2">
        <v>3245.83</v>
      </c>
      <c r="G700" s="4">
        <f t="shared" si="3"/>
        <v>6733308.09</v>
      </c>
      <c r="H700" s="4">
        <f t="shared" si="1"/>
        <v>0.7054707875</v>
      </c>
      <c r="I700" s="4" t="str">
        <f t="shared" si="2"/>
        <v>A</v>
      </c>
    </row>
    <row r="701">
      <c r="A701" s="2">
        <v>700.0</v>
      </c>
      <c r="B701" s="2">
        <v>22827.0</v>
      </c>
      <c r="C701" s="2" t="s">
        <v>831</v>
      </c>
      <c r="D701" s="2">
        <v>165.0</v>
      </c>
      <c r="E701" s="2">
        <v>21.0</v>
      </c>
      <c r="F701" s="2">
        <v>3245.0</v>
      </c>
      <c r="G701" s="4">
        <f t="shared" si="3"/>
        <v>6736553.09</v>
      </c>
      <c r="H701" s="4">
        <f t="shared" si="1"/>
        <v>0.7058107768</v>
      </c>
      <c r="I701" s="4" t="str">
        <f t="shared" si="2"/>
        <v>A</v>
      </c>
    </row>
    <row r="702">
      <c r="A702" s="2">
        <v>701.0</v>
      </c>
      <c r="B702" s="2">
        <v>85175.0</v>
      </c>
      <c r="C702" s="2" t="s">
        <v>832</v>
      </c>
      <c r="D702" s="2">
        <v>0.42</v>
      </c>
      <c r="E702" s="2">
        <v>7607.0</v>
      </c>
      <c r="F702" s="2">
        <v>3236.89</v>
      </c>
      <c r="G702" s="4">
        <f t="shared" si="3"/>
        <v>6739789.98</v>
      </c>
      <c r="H702" s="4">
        <f t="shared" si="1"/>
        <v>0.7061499164</v>
      </c>
      <c r="I702" s="4" t="str">
        <f t="shared" si="2"/>
        <v>A</v>
      </c>
    </row>
    <row r="703">
      <c r="A703" s="2">
        <v>702.0</v>
      </c>
      <c r="B703" s="2">
        <v>23311.0</v>
      </c>
      <c r="C703" s="2" t="s">
        <v>833</v>
      </c>
      <c r="D703" s="2">
        <v>2.55</v>
      </c>
      <c r="E703" s="2">
        <v>1192.0</v>
      </c>
      <c r="F703" s="2">
        <v>3236.45</v>
      </c>
      <c r="G703" s="4">
        <f t="shared" si="3"/>
        <v>6743026.43</v>
      </c>
      <c r="H703" s="4">
        <f t="shared" si="1"/>
        <v>0.7064890099</v>
      </c>
      <c r="I703" s="4" t="str">
        <f t="shared" si="2"/>
        <v>A</v>
      </c>
    </row>
    <row r="704">
      <c r="A704" s="2">
        <v>703.0</v>
      </c>
      <c r="B704" s="2">
        <v>22142.0</v>
      </c>
      <c r="C704" s="2" t="s">
        <v>834</v>
      </c>
      <c r="D704" s="2">
        <v>1.45</v>
      </c>
      <c r="E704" s="2">
        <v>2156.0</v>
      </c>
      <c r="F704" s="2">
        <v>3232.12</v>
      </c>
      <c r="G704" s="4">
        <f t="shared" si="3"/>
        <v>6746258.55</v>
      </c>
      <c r="H704" s="4">
        <f t="shared" si="1"/>
        <v>0.7068276497</v>
      </c>
      <c r="I704" s="4" t="str">
        <f t="shared" si="2"/>
        <v>A</v>
      </c>
    </row>
    <row r="705">
      <c r="A705" s="2">
        <v>704.0</v>
      </c>
      <c r="B705" s="2">
        <v>23553.0</v>
      </c>
      <c r="C705" s="2" t="s">
        <v>835</v>
      </c>
      <c r="D705" s="2">
        <v>12.5</v>
      </c>
      <c r="E705" s="2">
        <v>284.0</v>
      </c>
      <c r="F705" s="2">
        <v>3228.58</v>
      </c>
      <c r="G705" s="4">
        <f t="shared" si="3"/>
        <v>6749487.13</v>
      </c>
      <c r="H705" s="4">
        <f t="shared" si="1"/>
        <v>0.7071659186</v>
      </c>
      <c r="I705" s="4" t="str">
        <f t="shared" si="2"/>
        <v>A</v>
      </c>
    </row>
    <row r="706">
      <c r="A706" s="2">
        <v>705.0</v>
      </c>
      <c r="B706" s="2">
        <v>21494.0</v>
      </c>
      <c r="C706" s="2" t="s">
        <v>836</v>
      </c>
      <c r="D706" s="2">
        <v>1.66</v>
      </c>
      <c r="E706" s="2">
        <v>1920.0</v>
      </c>
      <c r="F706" s="2">
        <v>3228.25</v>
      </c>
      <c r="G706" s="4">
        <f t="shared" si="3"/>
        <v>6752715.38</v>
      </c>
      <c r="H706" s="4">
        <f t="shared" si="1"/>
        <v>0.707504153</v>
      </c>
      <c r="I706" s="4" t="str">
        <f t="shared" si="2"/>
        <v>A</v>
      </c>
    </row>
    <row r="707">
      <c r="A707" s="2">
        <v>706.0</v>
      </c>
      <c r="B707" s="2">
        <v>21500.0</v>
      </c>
      <c r="C707" s="2" t="s">
        <v>837</v>
      </c>
      <c r="D707" s="2">
        <v>0.42</v>
      </c>
      <c r="E707" s="2">
        <v>7988.0</v>
      </c>
      <c r="F707" s="2">
        <v>3226.75</v>
      </c>
      <c r="G707" s="4">
        <f t="shared" si="3"/>
        <v>6755942.13</v>
      </c>
      <c r="H707" s="4">
        <f t="shared" si="1"/>
        <v>0.7078422302</v>
      </c>
      <c r="I707" s="4" t="str">
        <f t="shared" si="2"/>
        <v>A</v>
      </c>
    </row>
    <row r="708">
      <c r="A708" s="2">
        <v>707.0</v>
      </c>
      <c r="B708" s="2" t="s">
        <v>838</v>
      </c>
      <c r="C708" s="2" t="s">
        <v>839</v>
      </c>
      <c r="D708" s="2">
        <v>3.75</v>
      </c>
      <c r="E708" s="2">
        <v>706.0</v>
      </c>
      <c r="F708" s="2">
        <v>3218.74</v>
      </c>
      <c r="G708" s="4">
        <f t="shared" si="3"/>
        <v>6759160.87</v>
      </c>
      <c r="H708" s="4">
        <f t="shared" si="1"/>
        <v>0.7081794681</v>
      </c>
      <c r="I708" s="4" t="str">
        <f t="shared" si="2"/>
        <v>A</v>
      </c>
    </row>
    <row r="709">
      <c r="A709" s="2">
        <v>708.0</v>
      </c>
      <c r="B709" s="2" t="s">
        <v>840</v>
      </c>
      <c r="C709" s="2" t="s">
        <v>841</v>
      </c>
      <c r="D709" s="2">
        <v>2.1</v>
      </c>
      <c r="E709" s="2">
        <v>1672.0</v>
      </c>
      <c r="F709" s="2">
        <v>3218.32</v>
      </c>
      <c r="G709" s="4">
        <f t="shared" si="3"/>
        <v>6762379.19</v>
      </c>
      <c r="H709" s="4">
        <f t="shared" si="1"/>
        <v>0.7085166621</v>
      </c>
      <c r="I709" s="4" t="str">
        <f t="shared" si="2"/>
        <v>A</v>
      </c>
    </row>
    <row r="710">
      <c r="A710" s="2">
        <v>709.0</v>
      </c>
      <c r="B710" s="2">
        <v>23571.0</v>
      </c>
      <c r="C710" s="2" t="s">
        <v>842</v>
      </c>
      <c r="D710" s="2">
        <v>1.65</v>
      </c>
      <c r="E710" s="2">
        <v>1430.0</v>
      </c>
      <c r="F710" s="2">
        <v>3218.3</v>
      </c>
      <c r="G710" s="4">
        <f t="shared" si="3"/>
        <v>6765597.49</v>
      </c>
      <c r="H710" s="4">
        <f t="shared" si="1"/>
        <v>0.7088538539</v>
      </c>
      <c r="I710" s="4" t="str">
        <f t="shared" si="2"/>
        <v>A</v>
      </c>
    </row>
    <row r="711">
      <c r="A711" s="2">
        <v>710.0</v>
      </c>
      <c r="B711" s="2">
        <v>22618.0</v>
      </c>
      <c r="C711" s="2" t="s">
        <v>843</v>
      </c>
      <c r="D711" s="2">
        <v>9.95</v>
      </c>
      <c r="E711" s="2">
        <v>330.0</v>
      </c>
      <c r="F711" s="2">
        <v>3217.36</v>
      </c>
      <c r="G711" s="4">
        <f t="shared" si="3"/>
        <v>6768814.85</v>
      </c>
      <c r="H711" s="4">
        <f t="shared" si="1"/>
        <v>0.7091909473</v>
      </c>
      <c r="I711" s="4" t="str">
        <f t="shared" si="2"/>
        <v>A</v>
      </c>
    </row>
    <row r="712">
      <c r="A712" s="2">
        <v>711.0</v>
      </c>
      <c r="B712" s="2">
        <v>23188.0</v>
      </c>
      <c r="C712" s="2" t="s">
        <v>844</v>
      </c>
      <c r="D712" s="2">
        <v>1.65</v>
      </c>
      <c r="E712" s="2">
        <v>1730.0</v>
      </c>
      <c r="F712" s="2">
        <v>3215.64</v>
      </c>
      <c r="G712" s="4">
        <f t="shared" si="3"/>
        <v>6772030.49</v>
      </c>
      <c r="H712" s="4">
        <f t="shared" si="1"/>
        <v>0.7095278605</v>
      </c>
      <c r="I712" s="4" t="str">
        <f t="shared" si="2"/>
        <v>A</v>
      </c>
    </row>
    <row r="713">
      <c r="A713" s="2">
        <v>712.0</v>
      </c>
      <c r="B713" s="2">
        <v>23134.0</v>
      </c>
      <c r="C713" s="2" t="s">
        <v>845</v>
      </c>
      <c r="D713" s="2">
        <v>8.25</v>
      </c>
      <c r="E713" s="2">
        <v>532.0</v>
      </c>
      <c r="F713" s="2">
        <v>3215.56</v>
      </c>
      <c r="G713" s="4">
        <f t="shared" si="3"/>
        <v>6775246.05</v>
      </c>
      <c r="H713" s="4">
        <f t="shared" si="1"/>
        <v>0.7098647652</v>
      </c>
      <c r="I713" s="4" t="str">
        <f t="shared" si="2"/>
        <v>A</v>
      </c>
    </row>
    <row r="714">
      <c r="A714" s="2">
        <v>713.0</v>
      </c>
      <c r="B714" s="2">
        <v>22364.0</v>
      </c>
      <c r="C714" s="2" t="s">
        <v>846</v>
      </c>
      <c r="D714" s="2">
        <v>2.95</v>
      </c>
      <c r="E714" s="2">
        <v>1016.0</v>
      </c>
      <c r="F714" s="2">
        <v>3215.38</v>
      </c>
      <c r="G714" s="4">
        <f t="shared" si="3"/>
        <v>6778461.43</v>
      </c>
      <c r="H714" s="4">
        <f t="shared" si="1"/>
        <v>0.7102016512</v>
      </c>
      <c r="I714" s="4" t="str">
        <f t="shared" si="2"/>
        <v>A</v>
      </c>
    </row>
    <row r="715">
      <c r="A715" s="2">
        <v>714.0</v>
      </c>
      <c r="B715" s="2">
        <v>22148.0</v>
      </c>
      <c r="C715" s="2" t="s">
        <v>847</v>
      </c>
      <c r="D715" s="2">
        <v>1.95</v>
      </c>
      <c r="E715" s="2">
        <v>1606.0</v>
      </c>
      <c r="F715" s="2">
        <v>3214.8</v>
      </c>
      <c r="G715" s="4">
        <f t="shared" si="3"/>
        <v>6781676.23</v>
      </c>
      <c r="H715" s="4">
        <f t="shared" si="1"/>
        <v>0.7105384763</v>
      </c>
      <c r="I715" s="4" t="str">
        <f t="shared" si="2"/>
        <v>A</v>
      </c>
    </row>
    <row r="716">
      <c r="A716" s="2">
        <v>715.0</v>
      </c>
      <c r="B716" s="2">
        <v>21989.0</v>
      </c>
      <c r="C716" s="2" t="s">
        <v>848</v>
      </c>
      <c r="D716" s="2">
        <v>0.85</v>
      </c>
      <c r="E716" s="2">
        <v>3988.0</v>
      </c>
      <c r="F716" s="2">
        <v>3211.46</v>
      </c>
      <c r="G716" s="4">
        <f t="shared" si="3"/>
        <v>6784887.69</v>
      </c>
      <c r="H716" s="4">
        <f t="shared" si="1"/>
        <v>0.7108749515</v>
      </c>
      <c r="I716" s="4" t="str">
        <f t="shared" si="2"/>
        <v>A</v>
      </c>
    </row>
    <row r="717">
      <c r="A717" s="2">
        <v>716.0</v>
      </c>
      <c r="B717" s="2">
        <v>21239.0</v>
      </c>
      <c r="C717" s="2" t="s">
        <v>849</v>
      </c>
      <c r="D717" s="2">
        <v>0.85</v>
      </c>
      <c r="E717" s="2">
        <v>3669.0</v>
      </c>
      <c r="F717" s="2">
        <v>3206.02</v>
      </c>
      <c r="G717" s="4">
        <f t="shared" si="3"/>
        <v>6788093.71</v>
      </c>
      <c r="H717" s="4">
        <f t="shared" si="1"/>
        <v>0.7112108567</v>
      </c>
      <c r="I717" s="4" t="str">
        <f t="shared" si="2"/>
        <v>A</v>
      </c>
    </row>
    <row r="718">
      <c r="A718" s="2">
        <v>717.0</v>
      </c>
      <c r="B718" s="2">
        <v>22063.0</v>
      </c>
      <c r="C718" s="2" t="s">
        <v>850</v>
      </c>
      <c r="D718" s="2">
        <v>2.95</v>
      </c>
      <c r="E718" s="2">
        <v>1156.0</v>
      </c>
      <c r="F718" s="2">
        <v>3189.83</v>
      </c>
      <c r="G718" s="4">
        <f t="shared" si="3"/>
        <v>6791283.54</v>
      </c>
      <c r="H718" s="4">
        <f t="shared" si="1"/>
        <v>0.7115450657</v>
      </c>
      <c r="I718" s="4" t="str">
        <f t="shared" si="2"/>
        <v>A</v>
      </c>
    </row>
    <row r="719">
      <c r="A719" s="2">
        <v>718.0</v>
      </c>
      <c r="B719" s="2">
        <v>23307.0</v>
      </c>
      <c r="C719" s="2" t="s">
        <v>851</v>
      </c>
      <c r="D719" s="2">
        <v>0.55</v>
      </c>
      <c r="E719" s="2">
        <v>6019.0</v>
      </c>
      <c r="F719" s="2">
        <v>3182.92</v>
      </c>
      <c r="G719" s="4">
        <f t="shared" si="3"/>
        <v>6794466.46</v>
      </c>
      <c r="H719" s="4">
        <f t="shared" si="1"/>
        <v>0.7118785507</v>
      </c>
      <c r="I719" s="4" t="str">
        <f t="shared" si="2"/>
        <v>A</v>
      </c>
    </row>
    <row r="720">
      <c r="A720" s="2">
        <v>719.0</v>
      </c>
      <c r="B720" s="2">
        <v>79067.0</v>
      </c>
      <c r="C720" s="2" t="s">
        <v>852</v>
      </c>
      <c r="D720" s="2">
        <v>3.75</v>
      </c>
      <c r="E720" s="2">
        <v>806.0</v>
      </c>
      <c r="F720" s="2">
        <v>3182.6</v>
      </c>
      <c r="G720" s="4">
        <f t="shared" si="3"/>
        <v>6797649.06</v>
      </c>
      <c r="H720" s="4">
        <f t="shared" si="1"/>
        <v>0.7122120021</v>
      </c>
      <c r="I720" s="4" t="str">
        <f t="shared" si="2"/>
        <v>A</v>
      </c>
    </row>
    <row r="721">
      <c r="A721" s="2">
        <v>720.0</v>
      </c>
      <c r="B721" s="2">
        <v>22578.0</v>
      </c>
      <c r="C721" s="2" t="s">
        <v>853</v>
      </c>
      <c r="D721" s="2">
        <v>0.83</v>
      </c>
      <c r="E721" s="2">
        <v>6612.0</v>
      </c>
      <c r="F721" s="2">
        <v>3176.19</v>
      </c>
      <c r="G721" s="4">
        <f t="shared" si="3"/>
        <v>6800825.25</v>
      </c>
      <c r="H721" s="4">
        <f t="shared" si="1"/>
        <v>0.712544782</v>
      </c>
      <c r="I721" s="4" t="str">
        <f t="shared" si="2"/>
        <v>A</v>
      </c>
    </row>
    <row r="722">
      <c r="A722" s="2">
        <v>721.0</v>
      </c>
      <c r="B722" s="2" t="s">
        <v>854</v>
      </c>
      <c r="C722" s="2" t="s">
        <v>855</v>
      </c>
      <c r="D722" s="2">
        <v>0.85</v>
      </c>
      <c r="E722" s="2">
        <v>3696.0</v>
      </c>
      <c r="F722" s="2">
        <v>3161.23</v>
      </c>
      <c r="G722" s="4">
        <f t="shared" si="3"/>
        <v>6803986.48</v>
      </c>
      <c r="H722" s="4">
        <f t="shared" si="1"/>
        <v>0.7128759944</v>
      </c>
      <c r="I722" s="4" t="str">
        <f t="shared" si="2"/>
        <v>A</v>
      </c>
    </row>
    <row r="723">
      <c r="A723" s="2">
        <v>722.0</v>
      </c>
      <c r="B723" s="2">
        <v>22065.0</v>
      </c>
      <c r="C723" s="2" t="s">
        <v>856</v>
      </c>
      <c r="D723" s="2">
        <v>1.45</v>
      </c>
      <c r="E723" s="2">
        <v>4344.0</v>
      </c>
      <c r="F723" s="2">
        <v>3160.06</v>
      </c>
      <c r="G723" s="4">
        <f t="shared" si="3"/>
        <v>6807146.54</v>
      </c>
      <c r="H723" s="4">
        <f t="shared" si="1"/>
        <v>0.7132070843</v>
      </c>
      <c r="I723" s="4" t="str">
        <f t="shared" si="2"/>
        <v>A</v>
      </c>
    </row>
    <row r="724">
      <c r="A724" s="2">
        <v>723.0</v>
      </c>
      <c r="B724" s="2">
        <v>22783.0</v>
      </c>
      <c r="C724" s="2" t="s">
        <v>857</v>
      </c>
      <c r="D724" s="2">
        <v>19.95</v>
      </c>
      <c r="E724" s="2">
        <v>241.0</v>
      </c>
      <c r="F724" s="2">
        <v>3158.15</v>
      </c>
      <c r="G724" s="4">
        <f t="shared" si="3"/>
        <v>6810304.69</v>
      </c>
      <c r="H724" s="4">
        <f t="shared" si="1"/>
        <v>0.713537974</v>
      </c>
      <c r="I724" s="4" t="str">
        <f t="shared" si="2"/>
        <v>A</v>
      </c>
    </row>
    <row r="725">
      <c r="A725" s="2">
        <v>724.0</v>
      </c>
      <c r="B725" s="2">
        <v>22460.0</v>
      </c>
      <c r="C725" s="2" t="s">
        <v>858</v>
      </c>
      <c r="D725" s="2">
        <v>1.25</v>
      </c>
      <c r="E725" s="2">
        <v>2392.0</v>
      </c>
      <c r="F725" s="2">
        <v>3150.06</v>
      </c>
      <c r="G725" s="4">
        <f t="shared" si="3"/>
        <v>6813454.75</v>
      </c>
      <c r="H725" s="4">
        <f t="shared" si="1"/>
        <v>0.7138680161</v>
      </c>
      <c r="I725" s="4" t="str">
        <f t="shared" si="2"/>
        <v>A</v>
      </c>
    </row>
    <row r="726">
      <c r="A726" s="2">
        <v>725.0</v>
      </c>
      <c r="B726" s="2">
        <v>22979.0</v>
      </c>
      <c r="C726" s="2" t="s">
        <v>859</v>
      </c>
      <c r="D726" s="2">
        <v>1.45</v>
      </c>
      <c r="E726" s="2">
        <v>2006.0</v>
      </c>
      <c r="F726" s="2">
        <v>3147.28</v>
      </c>
      <c r="G726" s="4">
        <f t="shared" si="3"/>
        <v>6816602.03</v>
      </c>
      <c r="H726" s="4">
        <f t="shared" si="1"/>
        <v>0.714197767</v>
      </c>
      <c r="I726" s="4" t="str">
        <f t="shared" si="2"/>
        <v>A</v>
      </c>
    </row>
    <row r="727">
      <c r="A727" s="2">
        <v>726.0</v>
      </c>
      <c r="B727" s="2">
        <v>22185.0</v>
      </c>
      <c r="C727" s="2" t="s">
        <v>860</v>
      </c>
      <c r="D727" s="2">
        <v>1.65</v>
      </c>
      <c r="E727" s="2">
        <v>1970.0</v>
      </c>
      <c r="F727" s="2">
        <v>3145.88</v>
      </c>
      <c r="G727" s="4">
        <f t="shared" si="3"/>
        <v>6819747.91</v>
      </c>
      <c r="H727" s="4">
        <f t="shared" si="1"/>
        <v>0.7145273712</v>
      </c>
      <c r="I727" s="4" t="str">
        <f t="shared" si="2"/>
        <v>A</v>
      </c>
    </row>
    <row r="728">
      <c r="A728" s="2">
        <v>727.0</v>
      </c>
      <c r="B728" s="2">
        <v>23172.0</v>
      </c>
      <c r="C728" s="2" t="s">
        <v>861</v>
      </c>
      <c r="D728" s="2">
        <v>1.65</v>
      </c>
      <c r="E728" s="2">
        <v>1912.0</v>
      </c>
      <c r="F728" s="2">
        <v>3145.66</v>
      </c>
      <c r="G728" s="4">
        <f t="shared" si="3"/>
        <v>6822893.57</v>
      </c>
      <c r="H728" s="4">
        <f t="shared" si="1"/>
        <v>0.7148569523</v>
      </c>
      <c r="I728" s="4" t="str">
        <f t="shared" si="2"/>
        <v>A</v>
      </c>
    </row>
    <row r="729">
      <c r="A729" s="2">
        <v>728.0</v>
      </c>
      <c r="B729" s="2" t="s">
        <v>862</v>
      </c>
      <c r="C729" s="2" t="s">
        <v>863</v>
      </c>
      <c r="D729" s="2">
        <v>1.25</v>
      </c>
      <c r="E729" s="2">
        <v>2538.0</v>
      </c>
      <c r="F729" s="2">
        <v>3131.47</v>
      </c>
      <c r="G729" s="4">
        <f t="shared" si="3"/>
        <v>6826025.04</v>
      </c>
      <c r="H729" s="4">
        <f t="shared" si="1"/>
        <v>0.7151850467</v>
      </c>
      <c r="I729" s="4" t="str">
        <f t="shared" si="2"/>
        <v>A</v>
      </c>
    </row>
    <row r="730">
      <c r="A730" s="2">
        <v>729.0</v>
      </c>
      <c r="B730" s="2" t="s">
        <v>864</v>
      </c>
      <c r="C730" s="2" t="s">
        <v>865</v>
      </c>
      <c r="D730" s="2">
        <v>3.95</v>
      </c>
      <c r="E730" s="2">
        <v>854.0</v>
      </c>
      <c r="F730" s="2">
        <v>3124.14</v>
      </c>
      <c r="G730" s="4">
        <f t="shared" si="3"/>
        <v>6829149.18</v>
      </c>
      <c r="H730" s="4">
        <f t="shared" si="1"/>
        <v>0.7155123731</v>
      </c>
      <c r="I730" s="4" t="str">
        <f t="shared" si="2"/>
        <v>A</v>
      </c>
    </row>
    <row r="731">
      <c r="A731" s="2">
        <v>730.0</v>
      </c>
      <c r="B731" s="2">
        <v>22849.0</v>
      </c>
      <c r="C731" s="2" t="s">
        <v>866</v>
      </c>
      <c r="D731" s="2">
        <v>16.95</v>
      </c>
      <c r="E731" s="2">
        <v>200.0</v>
      </c>
      <c r="F731" s="2">
        <v>3122.44</v>
      </c>
      <c r="G731" s="4">
        <f t="shared" si="3"/>
        <v>6832271.62</v>
      </c>
      <c r="H731" s="4">
        <f t="shared" si="1"/>
        <v>0.7158395214</v>
      </c>
      <c r="I731" s="4" t="str">
        <f t="shared" si="2"/>
        <v>A</v>
      </c>
    </row>
    <row r="732">
      <c r="A732" s="2">
        <v>731.0</v>
      </c>
      <c r="B732" s="2">
        <v>21714.0</v>
      </c>
      <c r="C732" s="2" t="s">
        <v>867</v>
      </c>
      <c r="D732" s="2">
        <v>1.25</v>
      </c>
      <c r="E732" s="2">
        <v>2160.0</v>
      </c>
      <c r="F732" s="2">
        <v>3114.94</v>
      </c>
      <c r="G732" s="4">
        <f t="shared" si="3"/>
        <v>6835386.56</v>
      </c>
      <c r="H732" s="4">
        <f t="shared" si="1"/>
        <v>0.7161658839</v>
      </c>
      <c r="I732" s="4" t="str">
        <f t="shared" si="2"/>
        <v>A</v>
      </c>
    </row>
    <row r="733">
      <c r="A733" s="2">
        <v>732.0</v>
      </c>
      <c r="B733" s="2">
        <v>22582.0</v>
      </c>
      <c r="C733" s="2" t="s">
        <v>868</v>
      </c>
      <c r="D733" s="2">
        <v>2.55</v>
      </c>
      <c r="E733" s="2">
        <v>1242.0</v>
      </c>
      <c r="F733" s="2">
        <v>3113.94</v>
      </c>
      <c r="G733" s="4">
        <f t="shared" si="3"/>
        <v>6838500.5</v>
      </c>
      <c r="H733" s="4">
        <f t="shared" si="1"/>
        <v>0.7164921416</v>
      </c>
      <c r="I733" s="4" t="str">
        <f t="shared" si="2"/>
        <v>A</v>
      </c>
    </row>
    <row r="734">
      <c r="A734" s="2">
        <v>733.0</v>
      </c>
      <c r="B734" s="2">
        <v>21078.0</v>
      </c>
      <c r="C734" s="2" t="s">
        <v>869</v>
      </c>
      <c r="D734" s="2">
        <v>0.85</v>
      </c>
      <c r="E734" s="2">
        <v>3613.0</v>
      </c>
      <c r="F734" s="2">
        <v>3097.0</v>
      </c>
      <c r="G734" s="4">
        <f t="shared" si="3"/>
        <v>6841597.5</v>
      </c>
      <c r="H734" s="4">
        <f t="shared" si="1"/>
        <v>0.7168166244</v>
      </c>
      <c r="I734" s="4" t="str">
        <f t="shared" si="2"/>
        <v>A</v>
      </c>
    </row>
    <row r="735">
      <c r="A735" s="2">
        <v>734.0</v>
      </c>
      <c r="B735" s="2" t="s">
        <v>870</v>
      </c>
      <c r="C735" s="2" t="s">
        <v>871</v>
      </c>
      <c r="D735" s="2">
        <v>12.75</v>
      </c>
      <c r="E735" s="2">
        <v>248.0</v>
      </c>
      <c r="F735" s="2">
        <v>3086.64</v>
      </c>
      <c r="G735" s="4">
        <f t="shared" si="3"/>
        <v>6844684.14</v>
      </c>
      <c r="H735" s="4">
        <f t="shared" si="1"/>
        <v>0.7171400218</v>
      </c>
      <c r="I735" s="4" t="str">
        <f t="shared" si="2"/>
        <v>A</v>
      </c>
    </row>
    <row r="736">
      <c r="A736" s="2">
        <v>735.0</v>
      </c>
      <c r="B736" s="2">
        <v>22906.0</v>
      </c>
      <c r="C736" s="2" t="s">
        <v>872</v>
      </c>
      <c r="D736" s="2">
        <v>1.65</v>
      </c>
      <c r="E736" s="2">
        <v>1668.0</v>
      </c>
      <c r="F736" s="2">
        <v>3084.54</v>
      </c>
      <c r="G736" s="4">
        <f t="shared" si="3"/>
        <v>6847768.68</v>
      </c>
      <c r="H736" s="4">
        <f t="shared" si="1"/>
        <v>0.7174631992</v>
      </c>
      <c r="I736" s="4" t="str">
        <f t="shared" si="2"/>
        <v>A</v>
      </c>
    </row>
    <row r="737">
      <c r="A737" s="2">
        <v>736.0</v>
      </c>
      <c r="B737" s="2">
        <v>20751.0</v>
      </c>
      <c r="C737" s="2" t="s">
        <v>873</v>
      </c>
      <c r="D737" s="2">
        <v>2.1</v>
      </c>
      <c r="E737" s="2">
        <v>1452.0</v>
      </c>
      <c r="F737" s="2">
        <v>3078.83</v>
      </c>
      <c r="G737" s="4">
        <f t="shared" si="3"/>
        <v>6850847.51</v>
      </c>
      <c r="H737" s="4">
        <f t="shared" si="1"/>
        <v>0.7177857783</v>
      </c>
      <c r="I737" s="4" t="str">
        <f t="shared" si="2"/>
        <v>A</v>
      </c>
    </row>
    <row r="738">
      <c r="A738" s="2">
        <v>737.0</v>
      </c>
      <c r="B738" s="2">
        <v>22222.0</v>
      </c>
      <c r="C738" s="2" t="s">
        <v>874</v>
      </c>
      <c r="D738" s="2">
        <v>4.95</v>
      </c>
      <c r="E738" s="2">
        <v>743.0</v>
      </c>
      <c r="F738" s="2">
        <v>3073.0</v>
      </c>
      <c r="G738" s="4">
        <f t="shared" si="3"/>
        <v>6853920.51</v>
      </c>
      <c r="H738" s="4">
        <f t="shared" si="1"/>
        <v>0.7181077466</v>
      </c>
      <c r="I738" s="4" t="str">
        <f t="shared" si="2"/>
        <v>A</v>
      </c>
    </row>
    <row r="739">
      <c r="A739" s="2">
        <v>738.0</v>
      </c>
      <c r="B739" s="2">
        <v>23192.0</v>
      </c>
      <c r="C739" s="2" t="s">
        <v>875</v>
      </c>
      <c r="D739" s="2">
        <v>1.65</v>
      </c>
      <c r="E739" s="2">
        <v>1766.0</v>
      </c>
      <c r="F739" s="2">
        <v>3070.32</v>
      </c>
      <c r="G739" s="4">
        <f t="shared" si="3"/>
        <v>6856990.83</v>
      </c>
      <c r="H739" s="4">
        <f t="shared" si="1"/>
        <v>0.7184294341</v>
      </c>
      <c r="I739" s="4" t="str">
        <f t="shared" si="2"/>
        <v>A</v>
      </c>
    </row>
    <row r="740">
      <c r="A740" s="2">
        <v>739.0</v>
      </c>
      <c r="B740" s="2">
        <v>22196.0</v>
      </c>
      <c r="C740" s="2" t="s">
        <v>876</v>
      </c>
      <c r="D740" s="2">
        <v>0.85</v>
      </c>
      <c r="E740" s="2">
        <v>3292.0</v>
      </c>
      <c r="F740" s="2">
        <v>3069.32</v>
      </c>
      <c r="G740" s="4">
        <f t="shared" si="3"/>
        <v>6860060.15</v>
      </c>
      <c r="H740" s="4">
        <f t="shared" si="1"/>
        <v>0.7187510169</v>
      </c>
      <c r="I740" s="4" t="str">
        <f t="shared" si="2"/>
        <v>A</v>
      </c>
    </row>
    <row r="741">
      <c r="A741" s="2">
        <v>740.0</v>
      </c>
      <c r="B741" s="2">
        <v>84832.0</v>
      </c>
      <c r="C741" s="2" t="s">
        <v>877</v>
      </c>
      <c r="D741" s="2">
        <v>0.85</v>
      </c>
      <c r="E741" s="2">
        <v>3394.0</v>
      </c>
      <c r="F741" s="2">
        <v>3064.38</v>
      </c>
      <c r="G741" s="4">
        <f t="shared" si="3"/>
        <v>6863124.53</v>
      </c>
      <c r="H741" s="4">
        <f t="shared" si="1"/>
        <v>0.719072082</v>
      </c>
      <c r="I741" s="4" t="str">
        <f t="shared" si="2"/>
        <v>A</v>
      </c>
    </row>
    <row r="742">
      <c r="A742" s="2">
        <v>741.0</v>
      </c>
      <c r="B742" s="2">
        <v>22780.0</v>
      </c>
      <c r="C742" s="2" t="s">
        <v>878</v>
      </c>
      <c r="D742" s="2">
        <v>4.25</v>
      </c>
      <c r="E742" s="2">
        <v>806.0</v>
      </c>
      <c r="F742" s="2">
        <v>3062.54</v>
      </c>
      <c r="G742" s="4">
        <f t="shared" si="3"/>
        <v>6866187.07</v>
      </c>
      <c r="H742" s="4">
        <f t="shared" si="1"/>
        <v>0.7193929544</v>
      </c>
      <c r="I742" s="4" t="str">
        <f t="shared" si="2"/>
        <v>A</v>
      </c>
    </row>
    <row r="743">
      <c r="A743" s="2">
        <v>742.0</v>
      </c>
      <c r="B743" s="2">
        <v>21584.0</v>
      </c>
      <c r="C743" s="2" t="s">
        <v>879</v>
      </c>
      <c r="D743" s="2">
        <v>1.65</v>
      </c>
      <c r="E743" s="2">
        <v>1890.0</v>
      </c>
      <c r="F743" s="2">
        <v>3043.28</v>
      </c>
      <c r="G743" s="4">
        <f t="shared" si="3"/>
        <v>6869230.35</v>
      </c>
      <c r="H743" s="4">
        <f t="shared" si="1"/>
        <v>0.7197118088</v>
      </c>
      <c r="I743" s="4" t="str">
        <f t="shared" si="2"/>
        <v>A</v>
      </c>
    </row>
    <row r="744">
      <c r="A744" s="2">
        <v>743.0</v>
      </c>
      <c r="B744" s="2">
        <v>22435.0</v>
      </c>
      <c r="C744" s="2" t="s">
        <v>880</v>
      </c>
      <c r="D744" s="2">
        <v>1.25</v>
      </c>
      <c r="E744" s="2">
        <v>2403.0</v>
      </c>
      <c r="F744" s="2">
        <v>3033.98</v>
      </c>
      <c r="G744" s="4">
        <f t="shared" si="3"/>
        <v>6872264.33</v>
      </c>
      <c r="H744" s="4">
        <f t="shared" si="1"/>
        <v>0.7200296889</v>
      </c>
      <c r="I744" s="4" t="str">
        <f t="shared" si="2"/>
        <v>A</v>
      </c>
    </row>
    <row r="745">
      <c r="A745" s="2">
        <v>744.0</v>
      </c>
      <c r="B745" s="2">
        <v>10002.0</v>
      </c>
      <c r="C745" s="2" t="s">
        <v>881</v>
      </c>
      <c r="D745" s="2">
        <v>0.85</v>
      </c>
      <c r="E745" s="2">
        <v>3727.0</v>
      </c>
      <c r="F745" s="2">
        <v>3031.9</v>
      </c>
      <c r="G745" s="4">
        <f t="shared" si="3"/>
        <v>6875296.23</v>
      </c>
      <c r="H745" s="4">
        <f t="shared" si="1"/>
        <v>0.720347351</v>
      </c>
      <c r="I745" s="4" t="str">
        <f t="shared" si="2"/>
        <v>A</v>
      </c>
    </row>
    <row r="746">
      <c r="A746" s="2">
        <v>745.0</v>
      </c>
      <c r="B746" s="2">
        <v>23118.0</v>
      </c>
      <c r="C746" s="2" t="s">
        <v>882</v>
      </c>
      <c r="D746" s="2">
        <v>7.5</v>
      </c>
      <c r="E746" s="2">
        <v>402.0</v>
      </c>
      <c r="F746" s="2">
        <v>3013.59</v>
      </c>
      <c r="G746" s="4">
        <f t="shared" si="3"/>
        <v>6878309.82</v>
      </c>
      <c r="H746" s="4">
        <f t="shared" si="1"/>
        <v>0.7206630947</v>
      </c>
      <c r="I746" s="4" t="str">
        <f t="shared" si="2"/>
        <v>A</v>
      </c>
    </row>
    <row r="747">
      <c r="A747" s="2">
        <v>746.0</v>
      </c>
      <c r="B747" s="2">
        <v>21591.0</v>
      </c>
      <c r="C747" s="2" t="s">
        <v>883</v>
      </c>
      <c r="D747" s="2">
        <v>1.25</v>
      </c>
      <c r="E747" s="2">
        <v>1997.0</v>
      </c>
      <c r="F747" s="2">
        <v>3011.54</v>
      </c>
      <c r="G747" s="4">
        <f t="shared" si="3"/>
        <v>6881321.36</v>
      </c>
      <c r="H747" s="4">
        <f t="shared" si="1"/>
        <v>0.7209786236</v>
      </c>
      <c r="I747" s="4" t="str">
        <f t="shared" si="2"/>
        <v>A</v>
      </c>
    </row>
    <row r="748">
      <c r="A748" s="2">
        <v>747.0</v>
      </c>
      <c r="B748" s="2">
        <v>21918.0</v>
      </c>
      <c r="C748" s="2" t="s">
        <v>884</v>
      </c>
      <c r="D748" s="2">
        <v>0.42</v>
      </c>
      <c r="E748" s="2">
        <v>7300.0</v>
      </c>
      <c r="F748" s="2">
        <v>3006.78</v>
      </c>
      <c r="G748" s="4">
        <f t="shared" si="3"/>
        <v>6884328.14</v>
      </c>
      <c r="H748" s="4">
        <f t="shared" si="1"/>
        <v>0.7212936538</v>
      </c>
      <c r="I748" s="4" t="str">
        <f t="shared" si="2"/>
        <v>A</v>
      </c>
    </row>
    <row r="749">
      <c r="A749" s="2">
        <v>748.0</v>
      </c>
      <c r="B749" s="2">
        <v>22331.0</v>
      </c>
      <c r="C749" s="2" t="s">
        <v>885</v>
      </c>
      <c r="D749" s="2">
        <v>1.65</v>
      </c>
      <c r="E749" s="2">
        <v>1826.0</v>
      </c>
      <c r="F749" s="2">
        <v>2998.36</v>
      </c>
      <c r="G749" s="4">
        <f t="shared" si="3"/>
        <v>6887326.5</v>
      </c>
      <c r="H749" s="4">
        <f t="shared" si="1"/>
        <v>0.7216078018</v>
      </c>
      <c r="I749" s="4" t="str">
        <f t="shared" si="2"/>
        <v>A</v>
      </c>
    </row>
    <row r="750">
      <c r="A750" s="2">
        <v>749.0</v>
      </c>
      <c r="B750" s="2">
        <v>22772.0</v>
      </c>
      <c r="C750" s="2" t="s">
        <v>886</v>
      </c>
      <c r="D750" s="2">
        <v>1.25</v>
      </c>
      <c r="E750" s="2">
        <v>2220.0</v>
      </c>
      <c r="F750" s="2">
        <v>2997.46</v>
      </c>
      <c r="G750" s="4">
        <f t="shared" si="3"/>
        <v>6890323.96</v>
      </c>
      <c r="H750" s="4">
        <f t="shared" si="1"/>
        <v>0.7219218556</v>
      </c>
      <c r="I750" s="4" t="str">
        <f t="shared" si="2"/>
        <v>A</v>
      </c>
    </row>
    <row r="751">
      <c r="A751" s="2">
        <v>750.0</v>
      </c>
      <c r="B751" s="2">
        <v>21499.0</v>
      </c>
      <c r="C751" s="2" t="s">
        <v>887</v>
      </c>
      <c r="D751" s="2">
        <v>0.42</v>
      </c>
      <c r="E751" s="2">
        <v>7426.0</v>
      </c>
      <c r="F751" s="2">
        <v>2993.92</v>
      </c>
      <c r="G751" s="4">
        <f t="shared" si="3"/>
        <v>6893317.88</v>
      </c>
      <c r="H751" s="4">
        <f t="shared" si="1"/>
        <v>0.7222355384</v>
      </c>
      <c r="I751" s="4" t="str">
        <f t="shared" si="2"/>
        <v>A</v>
      </c>
    </row>
    <row r="752">
      <c r="A752" s="2">
        <v>751.0</v>
      </c>
      <c r="B752" s="2">
        <v>22848.0</v>
      </c>
      <c r="C752" s="2" t="s">
        <v>888</v>
      </c>
      <c r="D752" s="2">
        <v>16.95</v>
      </c>
      <c r="E752" s="2">
        <v>186.0</v>
      </c>
      <c r="F752" s="2">
        <v>2992.02</v>
      </c>
      <c r="G752" s="4">
        <f t="shared" si="3"/>
        <v>6896309.9</v>
      </c>
      <c r="H752" s="4">
        <f t="shared" si="1"/>
        <v>0.7225490221</v>
      </c>
      <c r="I752" s="4" t="str">
        <f t="shared" si="2"/>
        <v>A</v>
      </c>
    </row>
    <row r="753">
      <c r="A753" s="2">
        <v>752.0</v>
      </c>
      <c r="B753" s="2">
        <v>22855.0</v>
      </c>
      <c r="C753" s="2" t="s">
        <v>889</v>
      </c>
      <c r="D753" s="2">
        <v>1.25</v>
      </c>
      <c r="E753" s="2">
        <v>2398.0</v>
      </c>
      <c r="F753" s="2">
        <v>2990.24</v>
      </c>
      <c r="G753" s="4">
        <f t="shared" si="3"/>
        <v>6899300.14</v>
      </c>
      <c r="H753" s="4">
        <f t="shared" si="1"/>
        <v>0.7228623194</v>
      </c>
      <c r="I753" s="4" t="str">
        <f t="shared" si="2"/>
        <v>A</v>
      </c>
    </row>
    <row r="754">
      <c r="A754" s="2">
        <v>753.0</v>
      </c>
      <c r="B754" s="2">
        <v>23296.0</v>
      </c>
      <c r="C754" s="2" t="s">
        <v>890</v>
      </c>
      <c r="D754" s="2">
        <v>1.25</v>
      </c>
      <c r="E754" s="2">
        <v>2486.0</v>
      </c>
      <c r="F754" s="2">
        <v>2987.78</v>
      </c>
      <c r="G754" s="4">
        <f t="shared" si="3"/>
        <v>6902287.92</v>
      </c>
      <c r="H754" s="4">
        <f t="shared" si="1"/>
        <v>0.7231753589</v>
      </c>
      <c r="I754" s="4" t="str">
        <f t="shared" si="2"/>
        <v>A</v>
      </c>
    </row>
    <row r="755">
      <c r="A755" s="2">
        <v>754.0</v>
      </c>
      <c r="B755" s="2">
        <v>23312.0</v>
      </c>
      <c r="C755" s="2" t="s">
        <v>891</v>
      </c>
      <c r="D755" s="2">
        <v>4.15</v>
      </c>
      <c r="E755" s="2">
        <v>712.0</v>
      </c>
      <c r="F755" s="2">
        <v>2982.08</v>
      </c>
      <c r="G755" s="4">
        <f t="shared" si="3"/>
        <v>6905270</v>
      </c>
      <c r="H755" s="4">
        <f t="shared" si="1"/>
        <v>0.7234878012</v>
      </c>
      <c r="I755" s="4" t="str">
        <f t="shared" si="2"/>
        <v>A</v>
      </c>
    </row>
    <row r="756">
      <c r="A756" s="2">
        <v>755.0</v>
      </c>
      <c r="B756" s="2">
        <v>22045.0</v>
      </c>
      <c r="C756" s="2" t="s">
        <v>892</v>
      </c>
      <c r="D756" s="2">
        <v>0.42</v>
      </c>
      <c r="E756" s="2">
        <v>7246.0</v>
      </c>
      <c r="F756" s="2">
        <v>2980.32</v>
      </c>
      <c r="G756" s="4">
        <f t="shared" si="3"/>
        <v>6908250.32</v>
      </c>
      <c r="H756" s="4">
        <f t="shared" si="1"/>
        <v>0.7238000591</v>
      </c>
      <c r="I756" s="4" t="str">
        <f t="shared" si="2"/>
        <v>A</v>
      </c>
    </row>
    <row r="757">
      <c r="A757" s="2">
        <v>756.0</v>
      </c>
      <c r="B757" s="2">
        <v>22167.0</v>
      </c>
      <c r="C757" s="2" t="s">
        <v>893</v>
      </c>
      <c r="D757" s="2">
        <v>9.95</v>
      </c>
      <c r="E757" s="2">
        <v>340.0</v>
      </c>
      <c r="F757" s="2">
        <v>2978.42</v>
      </c>
      <c r="G757" s="4">
        <f t="shared" si="3"/>
        <v>6911228.74</v>
      </c>
      <c r="H757" s="4">
        <f t="shared" si="1"/>
        <v>0.724112118</v>
      </c>
      <c r="I757" s="4" t="str">
        <f t="shared" si="2"/>
        <v>A</v>
      </c>
    </row>
    <row r="758">
      <c r="A758" s="2">
        <v>757.0</v>
      </c>
      <c r="B758" s="2">
        <v>22361.0</v>
      </c>
      <c r="C758" s="2" t="s">
        <v>894</v>
      </c>
      <c r="D758" s="2">
        <v>2.95</v>
      </c>
      <c r="E758" s="2">
        <v>909.0</v>
      </c>
      <c r="F758" s="2">
        <v>2978.3</v>
      </c>
      <c r="G758" s="4">
        <f t="shared" si="3"/>
        <v>6914207.04</v>
      </c>
      <c r="H758" s="4">
        <f t="shared" si="1"/>
        <v>0.7244241642</v>
      </c>
      <c r="I758" s="4" t="str">
        <f t="shared" si="2"/>
        <v>A</v>
      </c>
    </row>
    <row r="759">
      <c r="A759" s="2">
        <v>758.0</v>
      </c>
      <c r="B759" s="2">
        <v>21586.0</v>
      </c>
      <c r="C759" s="2" t="s">
        <v>895</v>
      </c>
      <c r="D759" s="2">
        <v>2.55</v>
      </c>
      <c r="E759" s="2">
        <v>1277.0</v>
      </c>
      <c r="F759" s="2">
        <v>2972.4</v>
      </c>
      <c r="G759" s="4">
        <f t="shared" si="3"/>
        <v>6917179.44</v>
      </c>
      <c r="H759" s="4">
        <f t="shared" si="1"/>
        <v>0.7247355923</v>
      </c>
      <c r="I759" s="4" t="str">
        <f t="shared" si="2"/>
        <v>A</v>
      </c>
    </row>
    <row r="760">
      <c r="A760" s="2">
        <v>759.0</v>
      </c>
      <c r="B760" s="2">
        <v>23052.0</v>
      </c>
      <c r="C760" s="2" t="s">
        <v>896</v>
      </c>
      <c r="D760" s="2">
        <v>8.25</v>
      </c>
      <c r="E760" s="2">
        <v>326.0</v>
      </c>
      <c r="F760" s="2">
        <v>2970.54</v>
      </c>
      <c r="G760" s="4">
        <f t="shared" si="3"/>
        <v>6920149.98</v>
      </c>
      <c r="H760" s="4">
        <f t="shared" si="1"/>
        <v>0.7250468256</v>
      </c>
      <c r="I760" s="4" t="str">
        <f t="shared" si="2"/>
        <v>A</v>
      </c>
    </row>
    <row r="761">
      <c r="A761" s="2">
        <v>760.0</v>
      </c>
      <c r="B761" s="2">
        <v>23526.0</v>
      </c>
      <c r="C761" s="2" t="s">
        <v>897</v>
      </c>
      <c r="D761" s="2">
        <v>5.95</v>
      </c>
      <c r="E761" s="2">
        <v>498.0</v>
      </c>
      <c r="F761" s="2">
        <v>2966.7</v>
      </c>
      <c r="G761" s="4">
        <f t="shared" si="3"/>
        <v>6923116.68</v>
      </c>
      <c r="H761" s="4">
        <f t="shared" si="1"/>
        <v>0.7253576565</v>
      </c>
      <c r="I761" s="4" t="str">
        <f t="shared" si="2"/>
        <v>A</v>
      </c>
    </row>
    <row r="762">
      <c r="A762" s="2">
        <v>761.0</v>
      </c>
      <c r="B762" s="2">
        <v>22841.0</v>
      </c>
      <c r="C762" s="2" t="s">
        <v>898</v>
      </c>
      <c r="D762" s="2">
        <v>7.95</v>
      </c>
      <c r="E762" s="2">
        <v>381.0</v>
      </c>
      <c r="F762" s="2">
        <v>2961.51</v>
      </c>
      <c r="G762" s="4">
        <f t="shared" si="3"/>
        <v>6926078.19</v>
      </c>
      <c r="H762" s="4">
        <f t="shared" si="1"/>
        <v>0.7256679436</v>
      </c>
      <c r="I762" s="4" t="str">
        <f t="shared" si="2"/>
        <v>A</v>
      </c>
    </row>
    <row r="763">
      <c r="A763" s="2">
        <v>762.0</v>
      </c>
      <c r="B763" s="2">
        <v>22278.0</v>
      </c>
      <c r="C763" s="2" t="s">
        <v>899</v>
      </c>
      <c r="D763" s="2">
        <v>4.95</v>
      </c>
      <c r="E763" s="2">
        <v>504.0</v>
      </c>
      <c r="F763" s="2">
        <v>2957.49</v>
      </c>
      <c r="G763" s="4">
        <f t="shared" si="3"/>
        <v>6929035.68</v>
      </c>
      <c r="H763" s="4">
        <f t="shared" si="1"/>
        <v>0.7259778095</v>
      </c>
      <c r="I763" s="4" t="str">
        <f t="shared" si="2"/>
        <v>A</v>
      </c>
    </row>
    <row r="764">
      <c r="A764" s="2">
        <v>763.0</v>
      </c>
      <c r="B764" s="2">
        <v>48197.0</v>
      </c>
      <c r="C764" s="2" t="s">
        <v>900</v>
      </c>
      <c r="D764" s="2">
        <v>7.49</v>
      </c>
      <c r="E764" s="2">
        <v>449.0</v>
      </c>
      <c r="F764" s="2">
        <v>2952.82</v>
      </c>
      <c r="G764" s="4">
        <f t="shared" si="3"/>
        <v>6931988.5</v>
      </c>
      <c r="H764" s="4">
        <f t="shared" si="1"/>
        <v>0.7262871862</v>
      </c>
      <c r="I764" s="4" t="str">
        <f t="shared" si="2"/>
        <v>A</v>
      </c>
    </row>
    <row r="765">
      <c r="A765" s="2">
        <v>764.0</v>
      </c>
      <c r="B765" s="2">
        <v>22241.0</v>
      </c>
      <c r="C765" s="2" t="s">
        <v>901</v>
      </c>
      <c r="D765" s="2">
        <v>1.25</v>
      </c>
      <c r="E765" s="2">
        <v>2186.0</v>
      </c>
      <c r="F765" s="2">
        <v>2946.21</v>
      </c>
      <c r="G765" s="4">
        <f t="shared" si="3"/>
        <v>6934934.71</v>
      </c>
      <c r="H765" s="4">
        <f t="shared" si="1"/>
        <v>0.7265958702</v>
      </c>
      <c r="I765" s="4" t="str">
        <f t="shared" si="2"/>
        <v>A</v>
      </c>
    </row>
    <row r="766">
      <c r="A766" s="2">
        <v>765.0</v>
      </c>
      <c r="B766" s="2">
        <v>21407.0</v>
      </c>
      <c r="C766" s="2" t="s">
        <v>902</v>
      </c>
      <c r="D766" s="2">
        <v>4.25</v>
      </c>
      <c r="E766" s="2">
        <v>648.0</v>
      </c>
      <c r="F766" s="2">
        <v>2945.92</v>
      </c>
      <c r="G766" s="4">
        <f t="shared" si="3"/>
        <v>6937880.63</v>
      </c>
      <c r="H766" s="4">
        <f t="shared" si="1"/>
        <v>0.726904524</v>
      </c>
      <c r="I766" s="4" t="str">
        <f t="shared" si="2"/>
        <v>A</v>
      </c>
    </row>
    <row r="767">
      <c r="A767" s="2">
        <v>766.0</v>
      </c>
      <c r="B767" s="2">
        <v>22332.0</v>
      </c>
      <c r="C767" s="2" t="s">
        <v>903</v>
      </c>
      <c r="D767" s="2">
        <v>1.65</v>
      </c>
      <c r="E767" s="2">
        <v>1858.0</v>
      </c>
      <c r="F767" s="2">
        <v>2938.82</v>
      </c>
      <c r="G767" s="4">
        <f t="shared" si="3"/>
        <v>6940819.45</v>
      </c>
      <c r="H767" s="4">
        <f t="shared" si="1"/>
        <v>0.7272124338</v>
      </c>
      <c r="I767" s="4" t="str">
        <f t="shared" si="2"/>
        <v>A</v>
      </c>
    </row>
    <row r="768">
      <c r="A768" s="2">
        <v>767.0</v>
      </c>
      <c r="B768" s="2" t="s">
        <v>904</v>
      </c>
      <c r="C768" s="2" t="s">
        <v>905</v>
      </c>
      <c r="D768" s="2">
        <v>3.75</v>
      </c>
      <c r="E768" s="2">
        <v>756.0</v>
      </c>
      <c r="F768" s="2">
        <v>2926.4</v>
      </c>
      <c r="G768" s="4">
        <f t="shared" si="3"/>
        <v>6943745.85</v>
      </c>
      <c r="H768" s="4">
        <f t="shared" si="1"/>
        <v>0.7275190423</v>
      </c>
      <c r="I768" s="4" t="str">
        <f t="shared" si="2"/>
        <v>A</v>
      </c>
    </row>
    <row r="769">
      <c r="A769" s="2">
        <v>768.0</v>
      </c>
      <c r="B769" s="2">
        <v>21832.0</v>
      </c>
      <c r="C769" s="2" t="s">
        <v>906</v>
      </c>
      <c r="D769" s="2">
        <v>1.65</v>
      </c>
      <c r="E769" s="2">
        <v>1673.0</v>
      </c>
      <c r="F769" s="2">
        <v>2924.98</v>
      </c>
      <c r="G769" s="4">
        <f t="shared" si="3"/>
        <v>6946670.83</v>
      </c>
      <c r="H769" s="4">
        <f t="shared" si="1"/>
        <v>0.7278255021</v>
      </c>
      <c r="I769" s="4" t="str">
        <f t="shared" si="2"/>
        <v>A</v>
      </c>
    </row>
    <row r="770">
      <c r="A770" s="2">
        <v>769.0</v>
      </c>
      <c r="B770" s="2">
        <v>22971.0</v>
      </c>
      <c r="C770" s="2" t="s">
        <v>907</v>
      </c>
      <c r="D770" s="2">
        <v>2.55</v>
      </c>
      <c r="E770" s="2">
        <v>1216.0</v>
      </c>
      <c r="F770" s="2">
        <v>2924.64</v>
      </c>
      <c r="G770" s="4">
        <f t="shared" si="3"/>
        <v>6949595.47</v>
      </c>
      <c r="H770" s="4">
        <f t="shared" si="1"/>
        <v>0.7281319262</v>
      </c>
      <c r="I770" s="4" t="str">
        <f t="shared" si="2"/>
        <v>A</v>
      </c>
    </row>
    <row r="771">
      <c r="A771" s="2">
        <v>770.0</v>
      </c>
      <c r="B771" s="2">
        <v>85178.0</v>
      </c>
      <c r="C771" s="2" t="s">
        <v>908</v>
      </c>
      <c r="D771" s="2">
        <v>1.25</v>
      </c>
      <c r="E771" s="2">
        <v>2664.0</v>
      </c>
      <c r="F771" s="2">
        <v>2917.88</v>
      </c>
      <c r="G771" s="4">
        <f t="shared" si="3"/>
        <v>6952513.35</v>
      </c>
      <c r="H771" s="4">
        <f t="shared" si="1"/>
        <v>0.7284376421</v>
      </c>
      <c r="I771" s="4" t="str">
        <f t="shared" si="2"/>
        <v>A</v>
      </c>
    </row>
    <row r="772">
      <c r="A772" s="2">
        <v>771.0</v>
      </c>
      <c r="B772" s="2">
        <v>22737.0</v>
      </c>
      <c r="C772" s="2" t="s">
        <v>909</v>
      </c>
      <c r="D772" s="2">
        <v>1.65</v>
      </c>
      <c r="E772" s="2">
        <v>1630.0</v>
      </c>
      <c r="F772" s="2">
        <v>2914.44</v>
      </c>
      <c r="G772" s="4">
        <f t="shared" si="3"/>
        <v>6955427.79</v>
      </c>
      <c r="H772" s="4">
        <f t="shared" si="1"/>
        <v>0.7287429975</v>
      </c>
      <c r="I772" s="4" t="str">
        <f t="shared" si="2"/>
        <v>A</v>
      </c>
    </row>
    <row r="773">
      <c r="A773" s="2">
        <v>772.0</v>
      </c>
      <c r="B773" s="2">
        <v>22491.0</v>
      </c>
      <c r="C773" s="2" t="s">
        <v>910</v>
      </c>
      <c r="D773" s="2">
        <v>0.85</v>
      </c>
      <c r="E773" s="2">
        <v>3628.0</v>
      </c>
      <c r="F773" s="2">
        <v>2913.38</v>
      </c>
      <c r="G773" s="4">
        <f t="shared" si="3"/>
        <v>6958341.17</v>
      </c>
      <c r="H773" s="4">
        <f t="shared" si="1"/>
        <v>0.7290482419</v>
      </c>
      <c r="I773" s="4" t="str">
        <f t="shared" si="2"/>
        <v>A</v>
      </c>
    </row>
    <row r="774">
      <c r="A774" s="2">
        <v>773.0</v>
      </c>
      <c r="B774" s="2">
        <v>85038.0</v>
      </c>
      <c r="C774" s="2" t="s">
        <v>911</v>
      </c>
      <c r="D774" s="2">
        <v>2.1</v>
      </c>
      <c r="E774" s="2">
        <v>1393.0</v>
      </c>
      <c r="F774" s="2">
        <v>2910.19</v>
      </c>
      <c r="G774" s="4">
        <f t="shared" si="3"/>
        <v>6961251.36</v>
      </c>
      <c r="H774" s="4">
        <f t="shared" si="1"/>
        <v>0.729353152</v>
      </c>
      <c r="I774" s="4" t="str">
        <f t="shared" si="2"/>
        <v>A</v>
      </c>
    </row>
    <row r="775">
      <c r="A775" s="2">
        <v>774.0</v>
      </c>
      <c r="B775" s="2">
        <v>21667.0</v>
      </c>
      <c r="C775" s="2" t="s">
        <v>912</v>
      </c>
      <c r="D775" s="2">
        <v>16.95</v>
      </c>
      <c r="E775" s="2">
        <v>167.0</v>
      </c>
      <c r="F775" s="2">
        <v>2907.62</v>
      </c>
      <c r="G775" s="4">
        <f t="shared" si="3"/>
        <v>6964158.98</v>
      </c>
      <c r="H775" s="4">
        <f t="shared" si="1"/>
        <v>0.7296577929</v>
      </c>
      <c r="I775" s="4" t="str">
        <f t="shared" si="2"/>
        <v>A</v>
      </c>
    </row>
    <row r="776">
      <c r="A776" s="2">
        <v>775.0</v>
      </c>
      <c r="B776" s="2">
        <v>22660.0</v>
      </c>
      <c r="C776" s="2" t="s">
        <v>913</v>
      </c>
      <c r="D776" s="2">
        <v>7.95</v>
      </c>
      <c r="E776" s="2">
        <v>439.0</v>
      </c>
      <c r="F776" s="2">
        <v>2907.55</v>
      </c>
      <c r="G776" s="4">
        <f t="shared" si="3"/>
        <v>6967066.53</v>
      </c>
      <c r="H776" s="4">
        <f t="shared" si="1"/>
        <v>0.7299624265</v>
      </c>
      <c r="I776" s="4" t="str">
        <f t="shared" si="2"/>
        <v>A</v>
      </c>
    </row>
    <row r="777">
      <c r="A777" s="2">
        <v>776.0</v>
      </c>
      <c r="B777" s="2" t="s">
        <v>914</v>
      </c>
      <c r="C777" s="2" t="s">
        <v>915</v>
      </c>
      <c r="D777" s="2">
        <v>5.79</v>
      </c>
      <c r="E777" s="2">
        <v>1030.0</v>
      </c>
      <c r="F777" s="2">
        <v>2903.52</v>
      </c>
      <c r="G777" s="4">
        <f t="shared" si="3"/>
        <v>6969970.05</v>
      </c>
      <c r="H777" s="4">
        <f t="shared" si="1"/>
        <v>0.7302666378</v>
      </c>
      <c r="I777" s="4" t="str">
        <f t="shared" si="2"/>
        <v>A</v>
      </c>
    </row>
    <row r="778">
      <c r="A778" s="2">
        <v>777.0</v>
      </c>
      <c r="B778" s="2">
        <v>23154.0</v>
      </c>
      <c r="C778" s="2" t="s">
        <v>916</v>
      </c>
      <c r="D778" s="2">
        <v>2.08</v>
      </c>
      <c r="E778" s="2">
        <v>1342.0</v>
      </c>
      <c r="F778" s="2">
        <v>2902.72</v>
      </c>
      <c r="G778" s="4">
        <f t="shared" si="3"/>
        <v>6972872.77</v>
      </c>
      <c r="H778" s="4">
        <f t="shared" si="1"/>
        <v>0.7305707653</v>
      </c>
      <c r="I778" s="4" t="str">
        <f t="shared" si="2"/>
        <v>A</v>
      </c>
    </row>
    <row r="779">
      <c r="A779" s="2">
        <v>778.0</v>
      </c>
      <c r="B779" s="2">
        <v>22687.0</v>
      </c>
      <c r="C779" s="2" t="s">
        <v>917</v>
      </c>
      <c r="D779" s="2">
        <v>7.95</v>
      </c>
      <c r="E779" s="2">
        <v>448.0</v>
      </c>
      <c r="F779" s="2">
        <v>2892.34</v>
      </c>
      <c r="G779" s="4">
        <f t="shared" si="3"/>
        <v>6975765.11</v>
      </c>
      <c r="H779" s="4">
        <f t="shared" si="1"/>
        <v>0.7308738053</v>
      </c>
      <c r="I779" s="4" t="str">
        <f t="shared" si="2"/>
        <v>A</v>
      </c>
    </row>
    <row r="780">
      <c r="A780" s="2">
        <v>779.0</v>
      </c>
      <c r="B780" s="2">
        <v>22899.0</v>
      </c>
      <c r="C780" s="2" t="s">
        <v>918</v>
      </c>
      <c r="D780" s="2">
        <v>2.1</v>
      </c>
      <c r="E780" s="2">
        <v>1387.0</v>
      </c>
      <c r="F780" s="2">
        <v>2885.93</v>
      </c>
      <c r="G780" s="4">
        <f t="shared" si="3"/>
        <v>6978651.04</v>
      </c>
      <c r="H780" s="4">
        <f t="shared" si="1"/>
        <v>0.7311761736</v>
      </c>
      <c r="I780" s="4" t="str">
        <f t="shared" si="2"/>
        <v>A</v>
      </c>
    </row>
    <row r="781">
      <c r="A781" s="2">
        <v>780.0</v>
      </c>
      <c r="B781" s="2">
        <v>22200.0</v>
      </c>
      <c r="C781" s="2" t="s">
        <v>919</v>
      </c>
      <c r="D781" s="2">
        <v>4.25</v>
      </c>
      <c r="E781" s="2">
        <v>646.0</v>
      </c>
      <c r="F781" s="2">
        <v>2883.96</v>
      </c>
      <c r="G781" s="4">
        <f t="shared" si="3"/>
        <v>6981535</v>
      </c>
      <c r="H781" s="4">
        <f t="shared" si="1"/>
        <v>0.7314783356</v>
      </c>
      <c r="I781" s="4" t="str">
        <f t="shared" si="2"/>
        <v>A</v>
      </c>
    </row>
    <row r="782">
      <c r="A782" s="2">
        <v>781.0</v>
      </c>
      <c r="B782" s="2">
        <v>22964.0</v>
      </c>
      <c r="C782" s="2" t="s">
        <v>920</v>
      </c>
      <c r="D782" s="2">
        <v>2.1</v>
      </c>
      <c r="E782" s="2">
        <v>1378.0</v>
      </c>
      <c r="F782" s="2">
        <v>2880.22</v>
      </c>
      <c r="G782" s="4">
        <f t="shared" si="3"/>
        <v>6984415.22</v>
      </c>
      <c r="H782" s="4">
        <f t="shared" si="1"/>
        <v>0.7317801057</v>
      </c>
      <c r="I782" s="4" t="str">
        <f t="shared" si="2"/>
        <v>A</v>
      </c>
    </row>
    <row r="783">
      <c r="A783" s="2">
        <v>782.0</v>
      </c>
      <c r="B783" s="2">
        <v>22441.0</v>
      </c>
      <c r="C783" s="2" t="s">
        <v>921</v>
      </c>
      <c r="D783" s="2">
        <v>2.1</v>
      </c>
      <c r="E783" s="2">
        <v>1326.0</v>
      </c>
      <c r="F783" s="2">
        <v>2872.14</v>
      </c>
      <c r="G783" s="4">
        <f t="shared" si="3"/>
        <v>6987287.36</v>
      </c>
      <c r="H783" s="4">
        <f t="shared" si="1"/>
        <v>0.7320810292</v>
      </c>
      <c r="I783" s="4" t="str">
        <f t="shared" si="2"/>
        <v>A</v>
      </c>
    </row>
    <row r="784">
      <c r="A784" s="2">
        <v>783.0</v>
      </c>
      <c r="B784" s="2">
        <v>22951.0</v>
      </c>
      <c r="C784" s="2" t="s">
        <v>922</v>
      </c>
      <c r="D784" s="2">
        <v>0.55</v>
      </c>
      <c r="E784" s="2">
        <v>5456.0</v>
      </c>
      <c r="F784" s="2">
        <v>2870.71</v>
      </c>
      <c r="G784" s="4">
        <f t="shared" si="3"/>
        <v>6990158.07</v>
      </c>
      <c r="H784" s="4">
        <f t="shared" si="1"/>
        <v>0.7323818029</v>
      </c>
      <c r="I784" s="4" t="str">
        <f t="shared" si="2"/>
        <v>A</v>
      </c>
    </row>
    <row r="785">
      <c r="A785" s="2">
        <v>784.0</v>
      </c>
      <c r="B785" s="2">
        <v>22826.0</v>
      </c>
      <c r="C785" s="2" t="s">
        <v>923</v>
      </c>
      <c r="D785" s="2">
        <v>85.0</v>
      </c>
      <c r="E785" s="2">
        <v>28.0</v>
      </c>
      <c r="F785" s="2">
        <v>2867.5</v>
      </c>
      <c r="G785" s="4">
        <f t="shared" si="3"/>
        <v>6993025.57</v>
      </c>
      <c r="H785" s="4">
        <f t="shared" si="1"/>
        <v>0.7326822403</v>
      </c>
      <c r="I785" s="4" t="str">
        <f t="shared" si="2"/>
        <v>A</v>
      </c>
    </row>
    <row r="786">
      <c r="A786" s="2">
        <v>785.0</v>
      </c>
      <c r="B786" s="2" t="s">
        <v>924</v>
      </c>
      <c r="C786" s="2" t="s">
        <v>925</v>
      </c>
      <c r="D786" s="2">
        <v>12.75</v>
      </c>
      <c r="E786" s="2">
        <v>216.0</v>
      </c>
      <c r="F786" s="2">
        <v>2866.2</v>
      </c>
      <c r="G786" s="4">
        <f t="shared" si="3"/>
        <v>6995891.77</v>
      </c>
      <c r="H786" s="4">
        <f t="shared" si="1"/>
        <v>0.7329825415</v>
      </c>
      <c r="I786" s="4" t="str">
        <f t="shared" si="2"/>
        <v>A</v>
      </c>
    </row>
    <row r="787">
      <c r="A787" s="2">
        <v>786.0</v>
      </c>
      <c r="B787" s="2">
        <v>21313.0</v>
      </c>
      <c r="C787" s="2" t="s">
        <v>926</v>
      </c>
      <c r="D787" s="2">
        <v>0.85</v>
      </c>
      <c r="E787" s="2">
        <v>3308.0</v>
      </c>
      <c r="F787" s="2">
        <v>2855.36</v>
      </c>
      <c r="G787" s="4">
        <f t="shared" si="3"/>
        <v>6998747.13</v>
      </c>
      <c r="H787" s="4">
        <f t="shared" si="1"/>
        <v>0.7332817069</v>
      </c>
      <c r="I787" s="4" t="str">
        <f t="shared" si="2"/>
        <v>A</v>
      </c>
    </row>
    <row r="788">
      <c r="A788" s="2">
        <v>787.0</v>
      </c>
      <c r="B788" s="2">
        <v>21452.0</v>
      </c>
      <c r="C788" s="2" t="s">
        <v>927</v>
      </c>
      <c r="D788" s="2">
        <v>2.95</v>
      </c>
      <c r="E788" s="2">
        <v>934.0</v>
      </c>
      <c r="F788" s="2">
        <v>2855.34</v>
      </c>
      <c r="G788" s="4">
        <f t="shared" si="3"/>
        <v>7001602.47</v>
      </c>
      <c r="H788" s="4">
        <f t="shared" si="1"/>
        <v>0.7335808703</v>
      </c>
      <c r="I788" s="4" t="str">
        <f t="shared" si="2"/>
        <v>A</v>
      </c>
    </row>
    <row r="789">
      <c r="A789" s="2">
        <v>788.0</v>
      </c>
      <c r="B789" s="2">
        <v>21528.0</v>
      </c>
      <c r="C789" s="2" t="s">
        <v>928</v>
      </c>
      <c r="D789" s="2">
        <v>6.95</v>
      </c>
      <c r="E789" s="2">
        <v>452.0</v>
      </c>
      <c r="F789" s="2">
        <v>2853.98</v>
      </c>
      <c r="G789" s="4">
        <f t="shared" si="3"/>
        <v>7004456.45</v>
      </c>
      <c r="H789" s="4">
        <f t="shared" si="1"/>
        <v>0.7338798911</v>
      </c>
      <c r="I789" s="4" t="str">
        <f t="shared" si="2"/>
        <v>A</v>
      </c>
    </row>
    <row r="790">
      <c r="A790" s="2">
        <v>789.0</v>
      </c>
      <c r="B790" s="2">
        <v>22115.0</v>
      </c>
      <c r="C790" s="2" t="s">
        <v>929</v>
      </c>
      <c r="D790" s="2">
        <v>2.95</v>
      </c>
      <c r="E790" s="2">
        <v>1446.0</v>
      </c>
      <c r="F790" s="2">
        <v>2851.98</v>
      </c>
      <c r="G790" s="4">
        <f t="shared" si="3"/>
        <v>7007308.43</v>
      </c>
      <c r="H790" s="4">
        <f t="shared" si="1"/>
        <v>0.7341787024</v>
      </c>
      <c r="I790" s="4" t="str">
        <f t="shared" si="2"/>
        <v>A</v>
      </c>
    </row>
    <row r="791">
      <c r="A791" s="2">
        <v>790.0</v>
      </c>
      <c r="B791" s="2">
        <v>21577.0</v>
      </c>
      <c r="C791" s="2" t="s">
        <v>930</v>
      </c>
      <c r="D791" s="2">
        <v>2.25</v>
      </c>
      <c r="E791" s="2">
        <v>1272.0</v>
      </c>
      <c r="F791" s="2">
        <v>2845.88</v>
      </c>
      <c r="G791" s="4">
        <f t="shared" si="3"/>
        <v>7010154.31</v>
      </c>
      <c r="H791" s="4">
        <f t="shared" si="1"/>
        <v>0.7344768746</v>
      </c>
      <c r="I791" s="4" t="str">
        <f t="shared" si="2"/>
        <v>A</v>
      </c>
    </row>
    <row r="792">
      <c r="A792" s="2">
        <v>791.0</v>
      </c>
      <c r="B792" s="2">
        <v>23205.0</v>
      </c>
      <c r="C792" s="2" t="s">
        <v>931</v>
      </c>
      <c r="D792" s="2">
        <v>0.85</v>
      </c>
      <c r="E792" s="2">
        <v>2880.0</v>
      </c>
      <c r="F792" s="2">
        <v>2828.04</v>
      </c>
      <c r="G792" s="4">
        <f t="shared" si="3"/>
        <v>7012982.35</v>
      </c>
      <c r="H792" s="4">
        <f t="shared" si="1"/>
        <v>0.7347731776</v>
      </c>
      <c r="I792" s="4" t="str">
        <f t="shared" si="2"/>
        <v>A</v>
      </c>
    </row>
    <row r="793">
      <c r="A793" s="2">
        <v>792.0</v>
      </c>
      <c r="B793" s="2">
        <v>22060.0</v>
      </c>
      <c r="C793" s="2" t="s">
        <v>932</v>
      </c>
      <c r="D793" s="2">
        <v>9.95</v>
      </c>
      <c r="E793" s="2">
        <v>364.0</v>
      </c>
      <c r="F793" s="2">
        <v>2819.8</v>
      </c>
      <c r="G793" s="4">
        <f t="shared" si="3"/>
        <v>7015802.15</v>
      </c>
      <c r="H793" s="4">
        <f t="shared" si="1"/>
        <v>0.7350686173</v>
      </c>
      <c r="I793" s="4" t="str">
        <f t="shared" si="2"/>
        <v>A</v>
      </c>
    </row>
    <row r="794">
      <c r="A794" s="2">
        <v>793.0</v>
      </c>
      <c r="B794" s="2">
        <v>22854.0</v>
      </c>
      <c r="C794" s="2" t="s">
        <v>933</v>
      </c>
      <c r="D794" s="2">
        <v>4.95</v>
      </c>
      <c r="E794" s="2">
        <v>580.0</v>
      </c>
      <c r="F794" s="2">
        <v>2812.25</v>
      </c>
      <c r="G794" s="4">
        <f t="shared" si="3"/>
        <v>7018614.4</v>
      </c>
      <c r="H794" s="4">
        <f t="shared" si="1"/>
        <v>0.735363266</v>
      </c>
      <c r="I794" s="4" t="str">
        <f t="shared" si="2"/>
        <v>A</v>
      </c>
    </row>
    <row r="795">
      <c r="A795" s="2">
        <v>794.0</v>
      </c>
      <c r="B795" s="2">
        <v>21703.0</v>
      </c>
      <c r="C795" s="2" t="s">
        <v>934</v>
      </c>
      <c r="D795" s="2">
        <v>0.42</v>
      </c>
      <c r="E795" s="2">
        <v>7242.0</v>
      </c>
      <c r="F795" s="2">
        <v>2803.5</v>
      </c>
      <c r="G795" s="4">
        <f t="shared" si="3"/>
        <v>7021417.9</v>
      </c>
      <c r="H795" s="4">
        <f t="shared" si="1"/>
        <v>0.7356569979</v>
      </c>
      <c r="I795" s="4" t="str">
        <f t="shared" si="2"/>
        <v>A</v>
      </c>
    </row>
    <row r="796">
      <c r="A796" s="2">
        <v>795.0</v>
      </c>
      <c r="B796" s="2">
        <v>22119.0</v>
      </c>
      <c r="C796" s="2" t="s">
        <v>935</v>
      </c>
      <c r="D796" s="2">
        <v>6.95</v>
      </c>
      <c r="E796" s="2">
        <v>452.0</v>
      </c>
      <c r="F796" s="2">
        <v>2798.21</v>
      </c>
      <c r="G796" s="4">
        <f t="shared" si="3"/>
        <v>7024216.11</v>
      </c>
      <c r="H796" s="4">
        <f t="shared" si="1"/>
        <v>0.7359501756</v>
      </c>
      <c r="I796" s="4" t="str">
        <f t="shared" si="2"/>
        <v>A</v>
      </c>
    </row>
    <row r="797">
      <c r="A797" s="2">
        <v>796.0</v>
      </c>
      <c r="B797" s="2">
        <v>23485.0</v>
      </c>
      <c r="C797" s="2" t="s">
        <v>936</v>
      </c>
      <c r="D797" s="2">
        <v>25.0</v>
      </c>
      <c r="E797" s="2">
        <v>126.0</v>
      </c>
      <c r="F797" s="2">
        <v>2792.86</v>
      </c>
      <c r="G797" s="4">
        <f t="shared" si="3"/>
        <v>7027008.97</v>
      </c>
      <c r="H797" s="4">
        <f t="shared" si="1"/>
        <v>0.7362427927</v>
      </c>
      <c r="I797" s="4" t="str">
        <f t="shared" si="2"/>
        <v>A</v>
      </c>
    </row>
    <row r="798">
      <c r="A798" s="2">
        <v>797.0</v>
      </c>
      <c r="B798" s="2">
        <v>21730.0</v>
      </c>
      <c r="C798" s="2" t="s">
        <v>937</v>
      </c>
      <c r="D798" s="2">
        <v>4.95</v>
      </c>
      <c r="E798" s="2">
        <v>560.0</v>
      </c>
      <c r="F798" s="2">
        <v>2781.94</v>
      </c>
      <c r="G798" s="4">
        <f t="shared" si="3"/>
        <v>7029790.91</v>
      </c>
      <c r="H798" s="4">
        <f t="shared" si="1"/>
        <v>0.7365342656</v>
      </c>
      <c r="I798" s="4" t="str">
        <f t="shared" si="2"/>
        <v>A</v>
      </c>
    </row>
    <row r="799">
      <c r="A799" s="2">
        <v>798.0</v>
      </c>
      <c r="B799" s="2">
        <v>23531.0</v>
      </c>
      <c r="C799" s="2" t="s">
        <v>938</v>
      </c>
      <c r="D799" s="2">
        <v>6.95</v>
      </c>
      <c r="E799" s="2">
        <v>490.0</v>
      </c>
      <c r="F799" s="2">
        <v>2779.56</v>
      </c>
      <c r="G799" s="4">
        <f t="shared" si="3"/>
        <v>7032570.47</v>
      </c>
      <c r="H799" s="4">
        <f t="shared" si="1"/>
        <v>0.7368254893</v>
      </c>
      <c r="I799" s="4" t="str">
        <f t="shared" si="2"/>
        <v>A</v>
      </c>
    </row>
    <row r="800">
      <c r="A800" s="2">
        <v>799.0</v>
      </c>
      <c r="B800" s="2">
        <v>22653.0</v>
      </c>
      <c r="C800" s="2" t="s">
        <v>939</v>
      </c>
      <c r="D800" s="2">
        <v>1.95</v>
      </c>
      <c r="E800" s="2">
        <v>1496.0</v>
      </c>
      <c r="F800" s="2">
        <v>2772.06</v>
      </c>
      <c r="G800" s="4">
        <f t="shared" si="3"/>
        <v>7035342.53</v>
      </c>
      <c r="H800" s="4">
        <f t="shared" si="1"/>
        <v>0.7371159271</v>
      </c>
      <c r="I800" s="4" t="str">
        <f t="shared" si="2"/>
        <v>A</v>
      </c>
    </row>
    <row r="801">
      <c r="A801" s="2">
        <v>800.0</v>
      </c>
      <c r="B801" s="2">
        <v>21900.0</v>
      </c>
      <c r="C801" s="2" t="s">
        <v>940</v>
      </c>
      <c r="D801" s="2">
        <v>0.65</v>
      </c>
      <c r="E801" s="2">
        <v>4168.0</v>
      </c>
      <c r="F801" s="2">
        <v>2769.12</v>
      </c>
      <c r="G801" s="4">
        <f t="shared" si="3"/>
        <v>7038111.65</v>
      </c>
      <c r="H801" s="4">
        <f t="shared" si="1"/>
        <v>0.7374060569</v>
      </c>
      <c r="I801" s="4" t="str">
        <f t="shared" si="2"/>
        <v>A</v>
      </c>
    </row>
    <row r="802">
      <c r="A802" s="2">
        <v>801.0</v>
      </c>
      <c r="B802" s="2" t="s">
        <v>941</v>
      </c>
      <c r="C802" s="2" t="s">
        <v>942</v>
      </c>
      <c r="D802" s="2">
        <v>0.85</v>
      </c>
      <c r="E802" s="2">
        <v>3269.0</v>
      </c>
      <c r="F802" s="2">
        <v>2767.48</v>
      </c>
      <c r="G802" s="4">
        <f t="shared" si="3"/>
        <v>7040879.13</v>
      </c>
      <c r="H802" s="4">
        <f t="shared" si="1"/>
        <v>0.7376960148</v>
      </c>
      <c r="I802" s="4" t="str">
        <f t="shared" si="2"/>
        <v>A</v>
      </c>
    </row>
    <row r="803">
      <c r="A803" s="2">
        <v>802.0</v>
      </c>
      <c r="B803" s="2">
        <v>22156.0</v>
      </c>
      <c r="C803" s="2" t="s">
        <v>943</v>
      </c>
      <c r="D803" s="2">
        <v>0.85</v>
      </c>
      <c r="E803" s="2">
        <v>3074.0</v>
      </c>
      <c r="F803" s="2">
        <v>2765.02</v>
      </c>
      <c r="G803" s="4">
        <f t="shared" si="3"/>
        <v>7043644.15</v>
      </c>
      <c r="H803" s="4">
        <f t="shared" si="1"/>
        <v>0.7379857151</v>
      </c>
      <c r="I803" s="4" t="str">
        <f t="shared" si="2"/>
        <v>A</v>
      </c>
    </row>
    <row r="804">
      <c r="A804" s="2">
        <v>803.0</v>
      </c>
      <c r="B804" s="2">
        <v>23133.0</v>
      </c>
      <c r="C804" s="2" t="s">
        <v>944</v>
      </c>
      <c r="D804" s="2">
        <v>8.25</v>
      </c>
      <c r="E804" s="2">
        <v>391.0</v>
      </c>
      <c r="F804" s="2">
        <v>2762.7</v>
      </c>
      <c r="G804" s="4">
        <f t="shared" si="3"/>
        <v>7046406.85</v>
      </c>
      <c r="H804" s="4">
        <f t="shared" si="1"/>
        <v>0.7382751722</v>
      </c>
      <c r="I804" s="4" t="str">
        <f t="shared" si="2"/>
        <v>A</v>
      </c>
    </row>
    <row r="805">
      <c r="A805" s="2">
        <v>804.0</v>
      </c>
      <c r="B805" s="2">
        <v>82599.0</v>
      </c>
      <c r="C805" s="2" t="s">
        <v>945</v>
      </c>
      <c r="D805" s="2">
        <v>2.1</v>
      </c>
      <c r="E805" s="2">
        <v>1260.0</v>
      </c>
      <c r="F805" s="2">
        <v>2754.42</v>
      </c>
      <c r="G805" s="4">
        <f t="shared" si="3"/>
        <v>7049161.27</v>
      </c>
      <c r="H805" s="4">
        <f t="shared" si="1"/>
        <v>0.7385637618</v>
      </c>
      <c r="I805" s="4" t="str">
        <f t="shared" si="2"/>
        <v>A</v>
      </c>
    </row>
    <row r="806">
      <c r="A806" s="2">
        <v>805.0</v>
      </c>
      <c r="B806" s="2" t="s">
        <v>946</v>
      </c>
      <c r="C806" s="2" t="s">
        <v>947</v>
      </c>
      <c r="D806" s="2">
        <v>0.85</v>
      </c>
      <c r="E806" s="2">
        <v>3183.0</v>
      </c>
      <c r="F806" s="2">
        <v>2751.24</v>
      </c>
      <c r="G806" s="4">
        <f t="shared" si="3"/>
        <v>7051912.51</v>
      </c>
      <c r="H806" s="4">
        <f t="shared" si="1"/>
        <v>0.7388520183</v>
      </c>
      <c r="I806" s="4" t="str">
        <f t="shared" si="2"/>
        <v>A</v>
      </c>
    </row>
    <row r="807">
      <c r="A807" s="2">
        <v>806.0</v>
      </c>
      <c r="B807" s="2">
        <v>23126.0</v>
      </c>
      <c r="C807" s="2" t="s">
        <v>948</v>
      </c>
      <c r="D807" s="2">
        <v>4.95</v>
      </c>
      <c r="E807" s="2">
        <v>552.0</v>
      </c>
      <c r="F807" s="2">
        <v>2751.17</v>
      </c>
      <c r="G807" s="4">
        <f t="shared" si="3"/>
        <v>7054663.68</v>
      </c>
      <c r="H807" s="4">
        <f t="shared" si="1"/>
        <v>0.7391402674</v>
      </c>
      <c r="I807" s="4" t="str">
        <f t="shared" si="2"/>
        <v>A</v>
      </c>
    </row>
    <row r="808">
      <c r="A808" s="2">
        <v>807.0</v>
      </c>
      <c r="B808" s="2">
        <v>23583.0</v>
      </c>
      <c r="C808" s="2" t="s">
        <v>949</v>
      </c>
      <c r="D808" s="2">
        <v>1.65</v>
      </c>
      <c r="E808" s="2">
        <v>1692.0</v>
      </c>
      <c r="F808" s="2">
        <v>2748.66</v>
      </c>
      <c r="G808" s="4">
        <f t="shared" si="3"/>
        <v>7057412.34</v>
      </c>
      <c r="H808" s="4">
        <f t="shared" si="1"/>
        <v>0.7394282535</v>
      </c>
      <c r="I808" s="4" t="str">
        <f t="shared" si="2"/>
        <v>A</v>
      </c>
    </row>
    <row r="809">
      <c r="A809" s="2">
        <v>808.0</v>
      </c>
      <c r="B809" s="2">
        <v>40016.0</v>
      </c>
      <c r="C809" s="2" t="s">
        <v>950</v>
      </c>
      <c r="D809" s="2">
        <v>0.42</v>
      </c>
      <c r="E809" s="2">
        <v>7724.0</v>
      </c>
      <c r="F809" s="2">
        <v>2746.18</v>
      </c>
      <c r="G809" s="4">
        <f t="shared" si="3"/>
        <v>7060158.52</v>
      </c>
      <c r="H809" s="4">
        <f t="shared" si="1"/>
        <v>0.7397159798</v>
      </c>
      <c r="I809" s="4" t="str">
        <f t="shared" si="2"/>
        <v>A</v>
      </c>
    </row>
    <row r="810">
      <c r="A810" s="2">
        <v>809.0</v>
      </c>
      <c r="B810" s="2">
        <v>23177.0</v>
      </c>
      <c r="C810" s="2" t="s">
        <v>951</v>
      </c>
      <c r="D810" s="2">
        <v>2.25</v>
      </c>
      <c r="E810" s="2">
        <v>1260.0</v>
      </c>
      <c r="F810" s="2">
        <v>2746.02</v>
      </c>
      <c r="G810" s="4">
        <f t="shared" si="3"/>
        <v>7062904.54</v>
      </c>
      <c r="H810" s="4">
        <f t="shared" si="1"/>
        <v>0.7400036893</v>
      </c>
      <c r="I810" s="4" t="str">
        <f t="shared" si="2"/>
        <v>A</v>
      </c>
    </row>
    <row r="811">
      <c r="A811" s="2">
        <v>810.0</v>
      </c>
      <c r="B811" s="2">
        <v>79029.0</v>
      </c>
      <c r="C811" s="2" t="s">
        <v>952</v>
      </c>
      <c r="D811" s="2">
        <v>1.95</v>
      </c>
      <c r="E811" s="2">
        <v>1474.0</v>
      </c>
      <c r="F811" s="2">
        <v>2741.78</v>
      </c>
      <c r="G811" s="4">
        <f t="shared" si="3"/>
        <v>7065646.32</v>
      </c>
      <c r="H811" s="4">
        <f t="shared" si="1"/>
        <v>0.7402909546</v>
      </c>
      <c r="I811" s="4" t="str">
        <f t="shared" si="2"/>
        <v>A</v>
      </c>
    </row>
    <row r="812">
      <c r="A812" s="2">
        <v>811.0</v>
      </c>
      <c r="B812" s="2">
        <v>22602.0</v>
      </c>
      <c r="C812" s="2" t="s">
        <v>953</v>
      </c>
      <c r="D812" s="2">
        <v>0.85</v>
      </c>
      <c r="E812" s="2">
        <v>3241.0</v>
      </c>
      <c r="F812" s="2">
        <v>2740.51</v>
      </c>
      <c r="G812" s="4">
        <f t="shared" si="3"/>
        <v>7068386.83</v>
      </c>
      <c r="H812" s="4">
        <f t="shared" si="1"/>
        <v>0.7405780869</v>
      </c>
      <c r="I812" s="4" t="str">
        <f t="shared" si="2"/>
        <v>A</v>
      </c>
    </row>
    <row r="813">
      <c r="A813" s="2">
        <v>812.0</v>
      </c>
      <c r="B813" s="2" t="s">
        <v>954</v>
      </c>
      <c r="C813" s="2" t="s">
        <v>955</v>
      </c>
      <c r="D813" s="2">
        <v>4.25</v>
      </c>
      <c r="E813" s="2">
        <v>840.0</v>
      </c>
      <c r="F813" s="2">
        <v>2737.9</v>
      </c>
      <c r="G813" s="4">
        <f t="shared" si="3"/>
        <v>7071124.73</v>
      </c>
      <c r="H813" s="4">
        <f t="shared" si="1"/>
        <v>0.7408649456</v>
      </c>
      <c r="I813" s="4" t="str">
        <f t="shared" si="2"/>
        <v>A</v>
      </c>
    </row>
    <row r="814">
      <c r="A814" s="2">
        <v>813.0</v>
      </c>
      <c r="B814" s="2">
        <v>22534.0</v>
      </c>
      <c r="C814" s="2" t="s">
        <v>956</v>
      </c>
      <c r="D814" s="2">
        <v>0.42</v>
      </c>
      <c r="E814" s="2">
        <v>6386.0</v>
      </c>
      <c r="F814" s="2">
        <v>2732.4</v>
      </c>
      <c r="G814" s="4">
        <f t="shared" si="3"/>
        <v>7073857.13</v>
      </c>
      <c r="H814" s="4">
        <f t="shared" si="1"/>
        <v>0.7411512281</v>
      </c>
      <c r="I814" s="4" t="str">
        <f t="shared" si="2"/>
        <v>A</v>
      </c>
    </row>
    <row r="815">
      <c r="A815" s="2">
        <v>814.0</v>
      </c>
      <c r="B815" s="2">
        <v>22203.0</v>
      </c>
      <c r="C815" s="2" t="s">
        <v>957</v>
      </c>
      <c r="D815" s="2">
        <v>3.75</v>
      </c>
      <c r="E815" s="2">
        <v>700.0</v>
      </c>
      <c r="F815" s="2">
        <v>2731.0</v>
      </c>
      <c r="G815" s="4">
        <f t="shared" si="3"/>
        <v>7076588.13</v>
      </c>
      <c r="H815" s="4">
        <f t="shared" si="1"/>
        <v>0.741437364</v>
      </c>
      <c r="I815" s="4" t="str">
        <f t="shared" si="2"/>
        <v>A</v>
      </c>
    </row>
    <row r="816">
      <c r="A816" s="2">
        <v>815.0</v>
      </c>
      <c r="B816" s="2">
        <v>20983.0</v>
      </c>
      <c r="C816" s="2" t="s">
        <v>958</v>
      </c>
      <c r="D816" s="2">
        <v>0.85</v>
      </c>
      <c r="E816" s="2">
        <v>3136.0</v>
      </c>
      <c r="F816" s="2">
        <v>2730.71</v>
      </c>
      <c r="G816" s="4">
        <f t="shared" si="3"/>
        <v>7079318.84</v>
      </c>
      <c r="H816" s="4">
        <f t="shared" si="1"/>
        <v>0.7417234694</v>
      </c>
      <c r="I816" s="4" t="str">
        <f t="shared" si="2"/>
        <v>A</v>
      </c>
    </row>
    <row r="817">
      <c r="A817" s="2">
        <v>816.0</v>
      </c>
      <c r="B817" s="2" t="s">
        <v>959</v>
      </c>
      <c r="C817" s="2" t="s">
        <v>960</v>
      </c>
      <c r="D817" s="2">
        <v>0.42</v>
      </c>
      <c r="E817" s="2">
        <v>6624.0</v>
      </c>
      <c r="F817" s="2">
        <v>2728.2</v>
      </c>
      <c r="G817" s="4">
        <f t="shared" si="3"/>
        <v>7082047.04</v>
      </c>
      <c r="H817" s="4">
        <f t="shared" si="1"/>
        <v>0.7420093119</v>
      </c>
      <c r="I817" s="4" t="str">
        <f t="shared" si="2"/>
        <v>A</v>
      </c>
    </row>
    <row r="818">
      <c r="A818" s="2">
        <v>817.0</v>
      </c>
      <c r="B818" s="2">
        <v>22437.0</v>
      </c>
      <c r="C818" s="2" t="s">
        <v>961</v>
      </c>
      <c r="D818" s="2">
        <v>0.85</v>
      </c>
      <c r="E818" s="2">
        <v>3256.0</v>
      </c>
      <c r="F818" s="2">
        <v>2728.14</v>
      </c>
      <c r="G818" s="4">
        <f t="shared" si="3"/>
        <v>7084775.18</v>
      </c>
      <c r="H818" s="4">
        <f t="shared" si="1"/>
        <v>0.7422951481</v>
      </c>
      <c r="I818" s="4" t="str">
        <f t="shared" si="2"/>
        <v>A</v>
      </c>
    </row>
    <row r="819">
      <c r="A819" s="2">
        <v>818.0</v>
      </c>
      <c r="B819" s="2">
        <v>21988.0</v>
      </c>
      <c r="C819" s="2" t="s">
        <v>962</v>
      </c>
      <c r="D819" s="2">
        <v>0.85</v>
      </c>
      <c r="E819" s="2">
        <v>3627.0</v>
      </c>
      <c r="F819" s="2">
        <v>2726.16</v>
      </c>
      <c r="G819" s="4">
        <f t="shared" si="3"/>
        <v>7087501.34</v>
      </c>
      <c r="H819" s="4">
        <f t="shared" si="1"/>
        <v>0.7425807768</v>
      </c>
      <c r="I819" s="4" t="str">
        <f t="shared" si="2"/>
        <v>A</v>
      </c>
    </row>
    <row r="820">
      <c r="A820" s="2">
        <v>819.0</v>
      </c>
      <c r="B820" s="2">
        <v>72756.0</v>
      </c>
      <c r="C820" s="2" t="s">
        <v>963</v>
      </c>
      <c r="D820" s="2">
        <v>1.49</v>
      </c>
      <c r="E820" s="2">
        <v>2002.0</v>
      </c>
      <c r="F820" s="2">
        <v>2723.04</v>
      </c>
      <c r="G820" s="4">
        <f t="shared" si="3"/>
        <v>7090224.38</v>
      </c>
      <c r="H820" s="4">
        <f t="shared" si="1"/>
        <v>0.7428660786</v>
      </c>
      <c r="I820" s="4" t="str">
        <f t="shared" si="2"/>
        <v>A</v>
      </c>
    </row>
    <row r="821">
      <c r="A821" s="2">
        <v>820.0</v>
      </c>
      <c r="B821" s="2">
        <v>22335.0</v>
      </c>
      <c r="C821" s="2" t="s">
        <v>964</v>
      </c>
      <c r="D821" s="2">
        <v>0.65</v>
      </c>
      <c r="E821" s="2">
        <v>4158.0</v>
      </c>
      <c r="F821" s="2">
        <v>2723.04</v>
      </c>
      <c r="G821" s="4">
        <f t="shared" si="3"/>
        <v>7092947.42</v>
      </c>
      <c r="H821" s="4">
        <f t="shared" si="1"/>
        <v>0.7431513805</v>
      </c>
      <c r="I821" s="4" t="str">
        <f t="shared" si="2"/>
        <v>A</v>
      </c>
    </row>
    <row r="822">
      <c r="A822" s="2">
        <v>821.0</v>
      </c>
      <c r="B822" s="2">
        <v>23158.0</v>
      </c>
      <c r="C822" s="2" t="s">
        <v>965</v>
      </c>
      <c r="D822" s="2">
        <v>2.08</v>
      </c>
      <c r="E822" s="2">
        <v>1300.0</v>
      </c>
      <c r="F822" s="2">
        <v>2721.56</v>
      </c>
      <c r="G822" s="4">
        <f t="shared" si="3"/>
        <v>7095668.98</v>
      </c>
      <c r="H822" s="4">
        <f t="shared" si="1"/>
        <v>0.7434365273</v>
      </c>
      <c r="I822" s="4" t="str">
        <f t="shared" si="2"/>
        <v>A</v>
      </c>
    </row>
    <row r="823">
      <c r="A823" s="2">
        <v>822.0</v>
      </c>
      <c r="B823" s="2">
        <v>21432.0</v>
      </c>
      <c r="C823" s="2" t="s">
        <v>966</v>
      </c>
      <c r="D823" s="2">
        <v>5.95</v>
      </c>
      <c r="E823" s="2">
        <v>471.0</v>
      </c>
      <c r="F823" s="2">
        <v>2717.96</v>
      </c>
      <c r="G823" s="4">
        <f t="shared" si="3"/>
        <v>7098386.94</v>
      </c>
      <c r="H823" s="4">
        <f t="shared" si="1"/>
        <v>0.7437212968</v>
      </c>
      <c r="I823" s="4" t="str">
        <f t="shared" si="2"/>
        <v>A</v>
      </c>
    </row>
    <row r="824">
      <c r="A824" s="2">
        <v>823.0</v>
      </c>
      <c r="B824" s="2">
        <v>37495.0</v>
      </c>
      <c r="C824" s="2" t="s">
        <v>967</v>
      </c>
      <c r="D824" s="2">
        <v>3.75</v>
      </c>
      <c r="E824" s="2">
        <v>736.0</v>
      </c>
      <c r="F824" s="2">
        <v>2717.58</v>
      </c>
      <c r="G824" s="4">
        <f t="shared" si="3"/>
        <v>7101104.52</v>
      </c>
      <c r="H824" s="4">
        <f t="shared" si="1"/>
        <v>0.7440060266</v>
      </c>
      <c r="I824" s="4" t="str">
        <f t="shared" si="2"/>
        <v>A</v>
      </c>
    </row>
    <row r="825">
      <c r="A825" s="2">
        <v>824.0</v>
      </c>
      <c r="B825" s="2">
        <v>20978.0</v>
      </c>
      <c r="C825" s="2" t="s">
        <v>968</v>
      </c>
      <c r="D825" s="2">
        <v>1.25</v>
      </c>
      <c r="E825" s="2">
        <v>2056.0</v>
      </c>
      <c r="F825" s="2">
        <v>2715.54</v>
      </c>
      <c r="G825" s="4">
        <f t="shared" si="3"/>
        <v>7103820.06</v>
      </c>
      <c r="H825" s="4">
        <f t="shared" si="1"/>
        <v>0.7442905427</v>
      </c>
      <c r="I825" s="4" t="str">
        <f t="shared" si="2"/>
        <v>A</v>
      </c>
    </row>
    <row r="826">
      <c r="A826" s="2">
        <v>825.0</v>
      </c>
      <c r="B826" s="2">
        <v>22763.0</v>
      </c>
      <c r="C826" s="2" t="s">
        <v>969</v>
      </c>
      <c r="D826" s="2">
        <v>9.95</v>
      </c>
      <c r="E826" s="2">
        <v>330.0</v>
      </c>
      <c r="F826" s="2">
        <v>2710.32</v>
      </c>
      <c r="G826" s="4">
        <f t="shared" si="3"/>
        <v>7106530.38</v>
      </c>
      <c r="H826" s="4">
        <f t="shared" si="1"/>
        <v>0.7445745118</v>
      </c>
      <c r="I826" s="4" t="str">
        <f t="shared" si="2"/>
        <v>A</v>
      </c>
    </row>
    <row r="827">
      <c r="A827" s="2">
        <v>826.0</v>
      </c>
      <c r="B827" s="2">
        <v>22483.0</v>
      </c>
      <c r="C827" s="2" t="s">
        <v>970</v>
      </c>
      <c r="D827" s="2">
        <v>2.95</v>
      </c>
      <c r="E827" s="2">
        <v>935.0</v>
      </c>
      <c r="F827" s="2">
        <v>2709.93</v>
      </c>
      <c r="G827" s="4">
        <f t="shared" si="3"/>
        <v>7109240.31</v>
      </c>
      <c r="H827" s="4">
        <f t="shared" si="1"/>
        <v>0.74485844</v>
      </c>
      <c r="I827" s="4" t="str">
        <f t="shared" si="2"/>
        <v>A</v>
      </c>
    </row>
    <row r="828">
      <c r="A828" s="2">
        <v>827.0</v>
      </c>
      <c r="B828" s="2">
        <v>23135.0</v>
      </c>
      <c r="C828" s="2" t="s">
        <v>971</v>
      </c>
      <c r="D828" s="2">
        <v>5.75</v>
      </c>
      <c r="E828" s="2">
        <v>770.0</v>
      </c>
      <c r="F828" s="2">
        <v>2708.09</v>
      </c>
      <c r="G828" s="4">
        <f t="shared" si="3"/>
        <v>7111948.4</v>
      </c>
      <c r="H828" s="4">
        <f t="shared" si="1"/>
        <v>0.7451421755</v>
      </c>
      <c r="I828" s="4" t="str">
        <f t="shared" si="2"/>
        <v>A</v>
      </c>
    </row>
    <row r="829">
      <c r="A829" s="2">
        <v>828.0</v>
      </c>
      <c r="B829" s="2">
        <v>22443.0</v>
      </c>
      <c r="C829" s="2" t="s">
        <v>972</v>
      </c>
      <c r="D829" s="2">
        <v>7.95</v>
      </c>
      <c r="E829" s="2">
        <v>342.0</v>
      </c>
      <c r="F829" s="2">
        <v>2704.66</v>
      </c>
      <c r="G829" s="4">
        <f t="shared" si="3"/>
        <v>7114653.06</v>
      </c>
      <c r="H829" s="4">
        <f t="shared" si="1"/>
        <v>0.7454255516</v>
      </c>
      <c r="I829" s="4" t="str">
        <f t="shared" si="2"/>
        <v>A</v>
      </c>
    </row>
    <row r="830">
      <c r="A830" s="2">
        <v>829.0</v>
      </c>
      <c r="B830" s="2">
        <v>21112.0</v>
      </c>
      <c r="C830" s="2" t="s">
        <v>973</v>
      </c>
      <c r="D830" s="2">
        <v>2.95</v>
      </c>
      <c r="E830" s="2">
        <v>1096.0</v>
      </c>
      <c r="F830" s="2">
        <v>2702.68</v>
      </c>
      <c r="G830" s="4">
        <f t="shared" si="3"/>
        <v>7117355.74</v>
      </c>
      <c r="H830" s="4">
        <f t="shared" si="1"/>
        <v>0.7457087203</v>
      </c>
      <c r="I830" s="4" t="str">
        <f t="shared" si="2"/>
        <v>A</v>
      </c>
    </row>
    <row r="831">
      <c r="A831" s="2">
        <v>830.0</v>
      </c>
      <c r="B831" s="2">
        <v>22085.0</v>
      </c>
      <c r="C831" s="2" t="s">
        <v>974</v>
      </c>
      <c r="D831" s="2">
        <v>2.95</v>
      </c>
      <c r="E831" s="2">
        <v>977.0</v>
      </c>
      <c r="F831" s="2">
        <v>2692.54</v>
      </c>
      <c r="G831" s="4">
        <f t="shared" si="3"/>
        <v>7120048.28</v>
      </c>
      <c r="H831" s="4">
        <f t="shared" si="1"/>
        <v>0.7459908265</v>
      </c>
      <c r="I831" s="4" t="str">
        <f t="shared" si="2"/>
        <v>A</v>
      </c>
    </row>
    <row r="832">
      <c r="A832" s="2">
        <v>831.0</v>
      </c>
      <c r="B832" s="2" t="s">
        <v>975</v>
      </c>
      <c r="C832" s="2" t="s">
        <v>976</v>
      </c>
      <c r="D832" s="2">
        <v>12.75</v>
      </c>
      <c r="E832" s="2">
        <v>236.0</v>
      </c>
      <c r="F832" s="2">
        <v>2690.48</v>
      </c>
      <c r="G832" s="4">
        <f t="shared" si="3"/>
        <v>7122738.76</v>
      </c>
      <c r="H832" s="4">
        <f t="shared" si="1"/>
        <v>0.7462727169</v>
      </c>
      <c r="I832" s="4" t="str">
        <f t="shared" si="2"/>
        <v>A</v>
      </c>
    </row>
    <row r="833">
      <c r="A833" s="2">
        <v>832.0</v>
      </c>
      <c r="B833" s="2">
        <v>84937.0</v>
      </c>
      <c r="C833" s="2" t="s">
        <v>977</v>
      </c>
      <c r="D833" s="2">
        <v>2.1</v>
      </c>
      <c r="E833" s="2">
        <v>1266.0</v>
      </c>
      <c r="F833" s="2">
        <v>2685.72</v>
      </c>
      <c r="G833" s="4">
        <f t="shared" si="3"/>
        <v>7125424.48</v>
      </c>
      <c r="H833" s="4">
        <f t="shared" si="1"/>
        <v>0.7465541086</v>
      </c>
      <c r="I833" s="4" t="str">
        <f t="shared" si="2"/>
        <v>A</v>
      </c>
    </row>
    <row r="834">
      <c r="A834" s="2">
        <v>833.0</v>
      </c>
      <c r="B834" s="2">
        <v>37446.0</v>
      </c>
      <c r="C834" s="2" t="s">
        <v>978</v>
      </c>
      <c r="D834" s="2">
        <v>1.45</v>
      </c>
      <c r="E834" s="2">
        <v>1852.0</v>
      </c>
      <c r="F834" s="2">
        <v>2674.82</v>
      </c>
      <c r="G834" s="4">
        <f t="shared" si="3"/>
        <v>7128099.3</v>
      </c>
      <c r="H834" s="4">
        <f t="shared" si="1"/>
        <v>0.7468343583</v>
      </c>
      <c r="I834" s="4" t="str">
        <f t="shared" si="2"/>
        <v>A</v>
      </c>
    </row>
    <row r="835">
      <c r="A835" s="2">
        <v>834.0</v>
      </c>
      <c r="B835" s="2">
        <v>35832.0</v>
      </c>
      <c r="C835" s="2" t="s">
        <v>979</v>
      </c>
      <c r="D835" s="2">
        <v>2.95</v>
      </c>
      <c r="E835" s="2">
        <v>870.0</v>
      </c>
      <c r="F835" s="2">
        <v>2673.88</v>
      </c>
      <c r="G835" s="4">
        <f t="shared" si="3"/>
        <v>7130773.18</v>
      </c>
      <c r="H835" s="4">
        <f t="shared" si="1"/>
        <v>0.7471145095</v>
      </c>
      <c r="I835" s="4" t="str">
        <f t="shared" si="2"/>
        <v>A</v>
      </c>
    </row>
    <row r="836">
      <c r="A836" s="2">
        <v>835.0</v>
      </c>
      <c r="B836" s="2">
        <v>22070.0</v>
      </c>
      <c r="C836" s="2" t="s">
        <v>980</v>
      </c>
      <c r="D836" s="2">
        <v>3.75</v>
      </c>
      <c r="E836" s="2">
        <v>767.0</v>
      </c>
      <c r="F836" s="2">
        <v>2673.1</v>
      </c>
      <c r="G836" s="4">
        <f t="shared" si="3"/>
        <v>7133446.28</v>
      </c>
      <c r="H836" s="4">
        <f t="shared" si="1"/>
        <v>0.747394579</v>
      </c>
      <c r="I836" s="4" t="str">
        <f t="shared" si="2"/>
        <v>A</v>
      </c>
    </row>
    <row r="837">
      <c r="A837" s="2">
        <v>836.0</v>
      </c>
      <c r="B837" s="2">
        <v>21491.0</v>
      </c>
      <c r="C837" s="2" t="s">
        <v>981</v>
      </c>
      <c r="D837" s="2">
        <v>1.95</v>
      </c>
      <c r="E837" s="2">
        <v>1430.0</v>
      </c>
      <c r="F837" s="2">
        <v>2666.93</v>
      </c>
      <c r="G837" s="4">
        <f t="shared" si="3"/>
        <v>7136113.21</v>
      </c>
      <c r="H837" s="4">
        <f t="shared" si="1"/>
        <v>0.747674002</v>
      </c>
      <c r="I837" s="4" t="str">
        <f t="shared" si="2"/>
        <v>A</v>
      </c>
    </row>
    <row r="838">
      <c r="A838" s="2">
        <v>837.0</v>
      </c>
      <c r="B838" s="2">
        <v>22775.0</v>
      </c>
      <c r="C838" s="2" t="s">
        <v>982</v>
      </c>
      <c r="D838" s="2">
        <v>1.25</v>
      </c>
      <c r="E838" s="2">
        <v>1868.0</v>
      </c>
      <c r="F838" s="2">
        <v>2660.02</v>
      </c>
      <c r="G838" s="4">
        <f t="shared" si="3"/>
        <v>7138773.23</v>
      </c>
      <c r="H838" s="4">
        <f t="shared" si="1"/>
        <v>0.747952701</v>
      </c>
      <c r="I838" s="4" t="str">
        <f t="shared" si="2"/>
        <v>A</v>
      </c>
    </row>
    <row r="839">
      <c r="A839" s="2">
        <v>838.0</v>
      </c>
      <c r="B839" s="2">
        <v>22168.0</v>
      </c>
      <c r="C839" s="2" t="s">
        <v>983</v>
      </c>
      <c r="D839" s="2">
        <v>8.5</v>
      </c>
      <c r="E839" s="2">
        <v>320.0</v>
      </c>
      <c r="F839" s="2">
        <v>2652.96</v>
      </c>
      <c r="G839" s="4">
        <f t="shared" si="3"/>
        <v>7141426.19</v>
      </c>
      <c r="H839" s="4">
        <f t="shared" si="1"/>
        <v>0.7482306603</v>
      </c>
      <c r="I839" s="4" t="str">
        <f t="shared" si="2"/>
        <v>A</v>
      </c>
    </row>
    <row r="840">
      <c r="A840" s="2">
        <v>839.0</v>
      </c>
      <c r="B840" s="2">
        <v>21363.0</v>
      </c>
      <c r="C840" s="2" t="s">
        <v>984</v>
      </c>
      <c r="D840" s="2">
        <v>4.95</v>
      </c>
      <c r="E840" s="2">
        <v>492.0</v>
      </c>
      <c r="F840" s="2">
        <v>2648.24</v>
      </c>
      <c r="G840" s="4">
        <f t="shared" si="3"/>
        <v>7144074.43</v>
      </c>
      <c r="H840" s="4">
        <f t="shared" si="1"/>
        <v>0.7485081251</v>
      </c>
      <c r="I840" s="4" t="str">
        <f t="shared" si="2"/>
        <v>A</v>
      </c>
    </row>
    <row r="841">
      <c r="A841" s="2">
        <v>840.0</v>
      </c>
      <c r="B841" s="2">
        <v>22801.0</v>
      </c>
      <c r="C841" s="2" t="s">
        <v>985</v>
      </c>
      <c r="D841" s="2">
        <v>3.75</v>
      </c>
      <c r="E841" s="2">
        <v>650.0</v>
      </c>
      <c r="F841" s="2">
        <v>2637.1</v>
      </c>
      <c r="G841" s="4">
        <f t="shared" si="3"/>
        <v>7146711.53</v>
      </c>
      <c r="H841" s="4">
        <f t="shared" si="1"/>
        <v>0.7487844227</v>
      </c>
      <c r="I841" s="4" t="str">
        <f t="shared" si="2"/>
        <v>A</v>
      </c>
    </row>
    <row r="842">
      <c r="A842" s="2">
        <v>841.0</v>
      </c>
      <c r="B842" s="2">
        <v>22998.0</v>
      </c>
      <c r="C842" s="2" t="s">
        <v>986</v>
      </c>
      <c r="D842" s="2">
        <v>0.42</v>
      </c>
      <c r="E842" s="2">
        <v>6196.0</v>
      </c>
      <c r="F842" s="2">
        <v>2637.08</v>
      </c>
      <c r="G842" s="4">
        <f t="shared" si="3"/>
        <v>7149348.61</v>
      </c>
      <c r="H842" s="4">
        <f t="shared" si="1"/>
        <v>0.7490607183</v>
      </c>
      <c r="I842" s="4" t="str">
        <f t="shared" si="2"/>
        <v>A</v>
      </c>
    </row>
    <row r="843">
      <c r="A843" s="2">
        <v>842.0</v>
      </c>
      <c r="B843" s="2">
        <v>22186.0</v>
      </c>
      <c r="C843" s="2" t="s">
        <v>987</v>
      </c>
      <c r="D843" s="2">
        <v>2.95</v>
      </c>
      <c r="E843" s="2">
        <v>972.0</v>
      </c>
      <c r="F843" s="2">
        <v>2636.8</v>
      </c>
      <c r="G843" s="4">
        <f t="shared" si="3"/>
        <v>7151985.41</v>
      </c>
      <c r="H843" s="4">
        <f t="shared" si="1"/>
        <v>0.7493369845</v>
      </c>
      <c r="I843" s="4" t="str">
        <f t="shared" si="2"/>
        <v>A</v>
      </c>
    </row>
    <row r="844">
      <c r="A844" s="2">
        <v>843.0</v>
      </c>
      <c r="B844" s="2">
        <v>22175.0</v>
      </c>
      <c r="C844" s="2" t="s">
        <v>988</v>
      </c>
      <c r="D844" s="2">
        <v>2.95</v>
      </c>
      <c r="E844" s="2">
        <v>911.0</v>
      </c>
      <c r="F844" s="2">
        <v>2636.21</v>
      </c>
      <c r="G844" s="4">
        <f t="shared" si="3"/>
        <v>7154621.62</v>
      </c>
      <c r="H844" s="4">
        <f t="shared" si="1"/>
        <v>0.7496131888</v>
      </c>
      <c r="I844" s="4" t="str">
        <f t="shared" si="2"/>
        <v>A</v>
      </c>
    </row>
    <row r="845">
      <c r="A845" s="2">
        <v>844.0</v>
      </c>
      <c r="B845" s="2">
        <v>22030.0</v>
      </c>
      <c r="C845" s="2" t="s">
        <v>989</v>
      </c>
      <c r="D845" s="2">
        <v>0.42</v>
      </c>
      <c r="E845" s="2">
        <v>6452.0</v>
      </c>
      <c r="F845" s="2">
        <v>2634.2</v>
      </c>
      <c r="G845" s="4">
        <f t="shared" si="3"/>
        <v>7157255.82</v>
      </c>
      <c r="H845" s="4">
        <f t="shared" si="1"/>
        <v>0.7498891826</v>
      </c>
      <c r="I845" s="4" t="str">
        <f t="shared" si="2"/>
        <v>A</v>
      </c>
    </row>
    <row r="846">
      <c r="A846" s="2">
        <v>845.0</v>
      </c>
      <c r="B846" s="2">
        <v>22218.0</v>
      </c>
      <c r="C846" s="2" t="s">
        <v>990</v>
      </c>
      <c r="D846" s="2">
        <v>4.25</v>
      </c>
      <c r="E846" s="2">
        <v>602.0</v>
      </c>
      <c r="F846" s="2">
        <v>2631.46</v>
      </c>
      <c r="G846" s="4">
        <f t="shared" si="3"/>
        <v>7159887.28</v>
      </c>
      <c r="H846" s="4">
        <f t="shared" si="1"/>
        <v>0.7501648893</v>
      </c>
      <c r="I846" s="4" t="str">
        <f t="shared" si="2"/>
        <v>A</v>
      </c>
    </row>
    <row r="847">
      <c r="A847" s="2">
        <v>846.0</v>
      </c>
      <c r="B847" s="2">
        <v>22842.0</v>
      </c>
      <c r="C847" s="2" t="s">
        <v>991</v>
      </c>
      <c r="D847" s="2">
        <v>6.75</v>
      </c>
      <c r="E847" s="2">
        <v>404.0</v>
      </c>
      <c r="F847" s="2">
        <v>2617.16</v>
      </c>
      <c r="G847" s="4">
        <f t="shared" si="3"/>
        <v>7162504.44</v>
      </c>
      <c r="H847" s="4">
        <f t="shared" si="1"/>
        <v>0.7504390978</v>
      </c>
      <c r="I847" s="4" t="str">
        <f t="shared" si="2"/>
        <v>A</v>
      </c>
    </row>
    <row r="848">
      <c r="A848" s="2">
        <v>847.0</v>
      </c>
      <c r="B848" s="2">
        <v>23132.0</v>
      </c>
      <c r="C848" s="2" t="s">
        <v>992</v>
      </c>
      <c r="D848" s="2">
        <v>5.75</v>
      </c>
      <c r="E848" s="2">
        <v>517.0</v>
      </c>
      <c r="F848" s="2">
        <v>2609.55</v>
      </c>
      <c r="G848" s="4">
        <f t="shared" si="3"/>
        <v>7165113.99</v>
      </c>
      <c r="H848" s="4">
        <f t="shared" si="1"/>
        <v>0.7507125089</v>
      </c>
      <c r="I848" s="4" t="str">
        <f t="shared" si="2"/>
        <v>A</v>
      </c>
    </row>
    <row r="849">
      <c r="A849" s="2">
        <v>848.0</v>
      </c>
      <c r="B849" s="2">
        <v>21993.0</v>
      </c>
      <c r="C849" s="2" t="s">
        <v>993</v>
      </c>
      <c r="D849" s="2">
        <v>2.46</v>
      </c>
      <c r="E849" s="2">
        <v>1423.0</v>
      </c>
      <c r="F849" s="2">
        <v>2609.12</v>
      </c>
      <c r="G849" s="4">
        <f t="shared" si="3"/>
        <v>7167723.11</v>
      </c>
      <c r="H849" s="4">
        <f t="shared" si="1"/>
        <v>0.7509858749</v>
      </c>
      <c r="I849" s="4" t="str">
        <f t="shared" si="2"/>
        <v>A</v>
      </c>
    </row>
    <row r="850">
      <c r="A850" s="2">
        <v>849.0</v>
      </c>
      <c r="B850" s="2">
        <v>22896.0</v>
      </c>
      <c r="C850" s="2" t="s">
        <v>994</v>
      </c>
      <c r="D850" s="2">
        <v>2.55</v>
      </c>
      <c r="E850" s="2">
        <v>1034.0</v>
      </c>
      <c r="F850" s="2">
        <v>2603.8</v>
      </c>
      <c r="G850" s="4">
        <f t="shared" si="3"/>
        <v>7170326.91</v>
      </c>
      <c r="H850" s="4">
        <f t="shared" si="1"/>
        <v>0.7512586836</v>
      </c>
      <c r="I850" s="4" t="str">
        <f t="shared" si="2"/>
        <v>A</v>
      </c>
    </row>
    <row r="851">
      <c r="A851" s="2">
        <v>850.0</v>
      </c>
      <c r="B851" s="2">
        <v>22117.0</v>
      </c>
      <c r="C851" s="2" t="s">
        <v>995</v>
      </c>
      <c r="D851" s="2">
        <v>2.95</v>
      </c>
      <c r="E851" s="2">
        <v>882.0</v>
      </c>
      <c r="F851" s="2">
        <v>2602.39</v>
      </c>
      <c r="G851" s="4">
        <f t="shared" si="3"/>
        <v>7172929.3</v>
      </c>
      <c r="H851" s="4">
        <f t="shared" si="1"/>
        <v>0.7515313445</v>
      </c>
      <c r="I851" s="4" t="str">
        <f t="shared" si="2"/>
        <v>A</v>
      </c>
    </row>
    <row r="852">
      <c r="A852" s="2">
        <v>851.0</v>
      </c>
      <c r="B852" s="2">
        <v>21718.0</v>
      </c>
      <c r="C852" s="2" t="s">
        <v>996</v>
      </c>
      <c r="D852" s="2">
        <v>1.25</v>
      </c>
      <c r="E852" s="2">
        <v>1992.0</v>
      </c>
      <c r="F852" s="2">
        <v>2597.02</v>
      </c>
      <c r="G852" s="4">
        <f t="shared" si="3"/>
        <v>7175526.32</v>
      </c>
      <c r="H852" s="4">
        <f t="shared" si="1"/>
        <v>0.7518034429</v>
      </c>
      <c r="I852" s="4" t="str">
        <f t="shared" si="2"/>
        <v>A</v>
      </c>
    </row>
    <row r="853">
      <c r="A853" s="2">
        <v>852.0</v>
      </c>
      <c r="B853" s="2">
        <v>22433.0</v>
      </c>
      <c r="C853" s="2" t="s">
        <v>997</v>
      </c>
      <c r="D853" s="2">
        <v>1.95</v>
      </c>
      <c r="E853" s="2">
        <v>1390.0</v>
      </c>
      <c r="F853" s="2">
        <v>2596.06</v>
      </c>
      <c r="G853" s="4">
        <f t="shared" si="3"/>
        <v>7178122.38</v>
      </c>
      <c r="H853" s="4">
        <f t="shared" si="1"/>
        <v>0.7520754406</v>
      </c>
      <c r="I853" s="4" t="str">
        <f t="shared" si="2"/>
        <v>A</v>
      </c>
    </row>
    <row r="854">
      <c r="A854" s="2">
        <v>853.0</v>
      </c>
      <c r="B854" s="2">
        <v>22476.0</v>
      </c>
      <c r="C854" s="2" t="s">
        <v>998</v>
      </c>
      <c r="D854" s="2">
        <v>4.95</v>
      </c>
      <c r="E854" s="2">
        <v>663.0</v>
      </c>
      <c r="F854" s="2">
        <v>2594.46</v>
      </c>
      <c r="G854" s="4">
        <f t="shared" si="3"/>
        <v>7180716.84</v>
      </c>
      <c r="H854" s="4">
        <f t="shared" si="1"/>
        <v>0.7523472707</v>
      </c>
      <c r="I854" s="4" t="str">
        <f t="shared" si="2"/>
        <v>A</v>
      </c>
    </row>
    <row r="855">
      <c r="A855" s="2">
        <v>854.0</v>
      </c>
      <c r="B855" s="2">
        <v>21587.0</v>
      </c>
      <c r="C855" s="2" t="s">
        <v>999</v>
      </c>
      <c r="D855" s="2">
        <v>2.55</v>
      </c>
      <c r="E855" s="2">
        <v>1038.0</v>
      </c>
      <c r="F855" s="2">
        <v>2591.62</v>
      </c>
      <c r="G855" s="4">
        <f t="shared" si="3"/>
        <v>7183308.46</v>
      </c>
      <c r="H855" s="4">
        <f t="shared" si="1"/>
        <v>0.7526188032</v>
      </c>
      <c r="I855" s="4" t="str">
        <f t="shared" si="2"/>
        <v>A</v>
      </c>
    </row>
    <row r="856">
      <c r="A856" s="2">
        <v>855.0</v>
      </c>
      <c r="B856" s="2">
        <v>22472.0</v>
      </c>
      <c r="C856" s="2" t="s">
        <v>1000</v>
      </c>
      <c r="D856" s="2">
        <v>4.95</v>
      </c>
      <c r="E856" s="2">
        <v>551.0</v>
      </c>
      <c r="F856" s="2">
        <v>2587.58</v>
      </c>
      <c r="G856" s="4">
        <f t="shared" si="3"/>
        <v>7185896.04</v>
      </c>
      <c r="H856" s="4">
        <f t="shared" si="1"/>
        <v>0.7528899125</v>
      </c>
      <c r="I856" s="4" t="str">
        <f t="shared" si="2"/>
        <v>A</v>
      </c>
    </row>
    <row r="857">
      <c r="A857" s="2">
        <v>856.0</v>
      </c>
      <c r="B857" s="2">
        <v>22894.0</v>
      </c>
      <c r="C857" s="2" t="s">
        <v>1001</v>
      </c>
      <c r="D857" s="2">
        <v>9.95</v>
      </c>
      <c r="E857" s="2">
        <v>281.0</v>
      </c>
      <c r="F857" s="2">
        <v>2584.64</v>
      </c>
      <c r="G857" s="4">
        <f t="shared" si="3"/>
        <v>7188480.68</v>
      </c>
      <c r="H857" s="4">
        <f t="shared" si="1"/>
        <v>0.7531607137</v>
      </c>
      <c r="I857" s="4" t="str">
        <f t="shared" si="2"/>
        <v>A</v>
      </c>
    </row>
    <row r="858">
      <c r="A858" s="2">
        <v>857.0</v>
      </c>
      <c r="B858" s="2" t="s">
        <v>1002</v>
      </c>
      <c r="C858" s="2" t="s">
        <v>1003</v>
      </c>
      <c r="D858" s="2">
        <v>8.29</v>
      </c>
      <c r="E858" s="2">
        <v>676.0</v>
      </c>
      <c r="F858" s="2">
        <v>2582.96</v>
      </c>
      <c r="G858" s="4">
        <f t="shared" si="3"/>
        <v>7191063.64</v>
      </c>
      <c r="H858" s="4">
        <f t="shared" si="1"/>
        <v>0.7534313389</v>
      </c>
      <c r="I858" s="4" t="str">
        <f t="shared" si="2"/>
        <v>A</v>
      </c>
    </row>
    <row r="859">
      <c r="A859" s="2">
        <v>858.0</v>
      </c>
      <c r="B859" s="2">
        <v>22412.0</v>
      </c>
      <c r="C859" s="2" t="s">
        <v>1004</v>
      </c>
      <c r="D859" s="2">
        <v>2.1</v>
      </c>
      <c r="E859" s="2">
        <v>1205.0</v>
      </c>
      <c r="F859" s="2">
        <v>2579.86</v>
      </c>
      <c r="G859" s="4">
        <f t="shared" si="3"/>
        <v>7193643.5</v>
      </c>
      <c r="H859" s="4">
        <f t="shared" si="1"/>
        <v>0.7537016393</v>
      </c>
      <c r="I859" s="4" t="str">
        <f t="shared" si="2"/>
        <v>A</v>
      </c>
    </row>
    <row r="860">
      <c r="A860" s="2">
        <v>859.0</v>
      </c>
      <c r="B860" s="2">
        <v>23263.0</v>
      </c>
      <c r="C860" s="2" t="s">
        <v>1005</v>
      </c>
      <c r="D860" s="2">
        <v>1.25</v>
      </c>
      <c r="E860" s="2">
        <v>1934.0</v>
      </c>
      <c r="F860" s="2">
        <v>2577.34</v>
      </c>
      <c r="G860" s="4">
        <f t="shared" si="3"/>
        <v>7196220.84</v>
      </c>
      <c r="H860" s="4">
        <f t="shared" si="1"/>
        <v>0.7539716756</v>
      </c>
      <c r="I860" s="4" t="str">
        <f t="shared" si="2"/>
        <v>A</v>
      </c>
    </row>
    <row r="861">
      <c r="A861" s="2">
        <v>860.0</v>
      </c>
      <c r="B861" s="2">
        <v>21872.0</v>
      </c>
      <c r="C861" s="2" t="s">
        <v>1006</v>
      </c>
      <c r="D861" s="2">
        <v>1.25</v>
      </c>
      <c r="E861" s="2">
        <v>2540.0</v>
      </c>
      <c r="F861" s="2">
        <v>2575.02</v>
      </c>
      <c r="G861" s="4">
        <f t="shared" si="3"/>
        <v>7198795.86</v>
      </c>
      <c r="H861" s="4">
        <f t="shared" si="1"/>
        <v>0.7542414689</v>
      </c>
      <c r="I861" s="4" t="str">
        <f t="shared" si="2"/>
        <v>A</v>
      </c>
    </row>
    <row r="862">
      <c r="A862" s="2">
        <v>861.0</v>
      </c>
      <c r="B862" s="2">
        <v>23162.0</v>
      </c>
      <c r="C862" s="2" t="s">
        <v>1007</v>
      </c>
      <c r="D862" s="2">
        <v>3.75</v>
      </c>
      <c r="E862" s="2">
        <v>706.0</v>
      </c>
      <c r="F862" s="2">
        <v>2571.85</v>
      </c>
      <c r="G862" s="4">
        <f t="shared" si="3"/>
        <v>7201367.71</v>
      </c>
      <c r="H862" s="4">
        <f t="shared" si="1"/>
        <v>0.7545109301</v>
      </c>
      <c r="I862" s="4" t="str">
        <f t="shared" si="2"/>
        <v>A</v>
      </c>
    </row>
    <row r="863">
      <c r="A863" s="2">
        <v>862.0</v>
      </c>
      <c r="B863" s="2">
        <v>21471.0</v>
      </c>
      <c r="C863" s="2" t="s">
        <v>1008</v>
      </c>
      <c r="D863" s="2">
        <v>3.75</v>
      </c>
      <c r="E863" s="2">
        <v>706.0</v>
      </c>
      <c r="F863" s="2">
        <v>2557.19</v>
      </c>
      <c r="G863" s="4">
        <f t="shared" si="3"/>
        <v>7203924.9</v>
      </c>
      <c r="H863" s="4">
        <f t="shared" si="1"/>
        <v>0.7547788553</v>
      </c>
      <c r="I863" s="4" t="str">
        <f t="shared" si="2"/>
        <v>A</v>
      </c>
    </row>
    <row r="864">
      <c r="A864" s="2">
        <v>863.0</v>
      </c>
      <c r="B864" s="2">
        <v>21495.0</v>
      </c>
      <c r="C864" s="2" t="s">
        <v>1009</v>
      </c>
      <c r="D864" s="2">
        <v>0.42</v>
      </c>
      <c r="E864" s="2">
        <v>6220.0</v>
      </c>
      <c r="F864" s="2">
        <v>2554.4</v>
      </c>
      <c r="G864" s="4">
        <f t="shared" si="3"/>
        <v>7206479.3</v>
      </c>
      <c r="H864" s="4">
        <f t="shared" si="1"/>
        <v>0.7550464882</v>
      </c>
      <c r="I864" s="4" t="str">
        <f t="shared" si="2"/>
        <v>A</v>
      </c>
    </row>
    <row r="865">
      <c r="A865" s="2">
        <v>864.0</v>
      </c>
      <c r="B865" s="2">
        <v>21713.0</v>
      </c>
      <c r="C865" s="2" t="s">
        <v>1010</v>
      </c>
      <c r="D865" s="2">
        <v>2.1</v>
      </c>
      <c r="E865" s="2">
        <v>1352.0</v>
      </c>
      <c r="F865" s="2">
        <v>2549.4</v>
      </c>
      <c r="G865" s="4">
        <f t="shared" si="3"/>
        <v>7209028.7</v>
      </c>
      <c r="H865" s="4">
        <f t="shared" si="1"/>
        <v>0.7553135972</v>
      </c>
      <c r="I865" s="4" t="str">
        <f t="shared" si="2"/>
        <v>A</v>
      </c>
    </row>
    <row r="866">
      <c r="A866" s="2">
        <v>865.0</v>
      </c>
      <c r="B866" s="2">
        <v>22374.0</v>
      </c>
      <c r="C866" s="2" t="s">
        <v>1011</v>
      </c>
      <c r="D866" s="2">
        <v>4.25</v>
      </c>
      <c r="E866" s="2">
        <v>511.0</v>
      </c>
      <c r="F866" s="2">
        <v>2546.74</v>
      </c>
      <c r="G866" s="4">
        <f t="shared" si="3"/>
        <v>7211575.44</v>
      </c>
      <c r="H866" s="4">
        <f t="shared" si="1"/>
        <v>0.7555804275</v>
      </c>
      <c r="I866" s="4" t="str">
        <f t="shared" si="2"/>
        <v>A</v>
      </c>
    </row>
    <row r="867">
      <c r="A867" s="2">
        <v>866.0</v>
      </c>
      <c r="B867" s="2">
        <v>22610.0</v>
      </c>
      <c r="C867" s="2" t="s">
        <v>1012</v>
      </c>
      <c r="D867" s="2">
        <v>0.21</v>
      </c>
      <c r="E867" s="2">
        <v>6340.0</v>
      </c>
      <c r="F867" s="2">
        <v>2541.89</v>
      </c>
      <c r="G867" s="4">
        <f t="shared" si="3"/>
        <v>7214117.33</v>
      </c>
      <c r="H867" s="4">
        <f t="shared" si="1"/>
        <v>0.7558467496</v>
      </c>
      <c r="I867" s="4" t="str">
        <f t="shared" si="2"/>
        <v>A</v>
      </c>
    </row>
    <row r="868">
      <c r="A868" s="2">
        <v>867.0</v>
      </c>
      <c r="B868" s="2">
        <v>21578.0</v>
      </c>
      <c r="C868" s="2" t="s">
        <v>1013</v>
      </c>
      <c r="D868" s="2">
        <v>2.25</v>
      </c>
      <c r="E868" s="2">
        <v>1106.0</v>
      </c>
      <c r="F868" s="2">
        <v>2540.43</v>
      </c>
      <c r="G868" s="4">
        <f t="shared" si="3"/>
        <v>7216657.76</v>
      </c>
      <c r="H868" s="4">
        <f t="shared" si="1"/>
        <v>0.7561129188</v>
      </c>
      <c r="I868" s="4" t="str">
        <f t="shared" si="2"/>
        <v>A</v>
      </c>
    </row>
    <row r="869">
      <c r="A869" s="2">
        <v>868.0</v>
      </c>
      <c r="B869" s="2">
        <v>23494.0</v>
      </c>
      <c r="C869" s="2" t="s">
        <v>1014</v>
      </c>
      <c r="D869" s="2">
        <v>5.95</v>
      </c>
      <c r="E869" s="2">
        <v>382.0</v>
      </c>
      <c r="F869" s="2">
        <v>2540.16</v>
      </c>
      <c r="G869" s="4">
        <f t="shared" si="3"/>
        <v>7219197.92</v>
      </c>
      <c r="H869" s="4">
        <f t="shared" si="1"/>
        <v>0.7563790597</v>
      </c>
      <c r="I869" s="4" t="str">
        <f t="shared" si="2"/>
        <v>A</v>
      </c>
    </row>
    <row r="870">
      <c r="A870" s="2">
        <v>869.0</v>
      </c>
      <c r="B870" s="2">
        <v>23397.0</v>
      </c>
      <c r="C870" s="2" t="s">
        <v>1015</v>
      </c>
      <c r="D870" s="2">
        <v>9.95</v>
      </c>
      <c r="E870" s="2">
        <v>244.0</v>
      </c>
      <c r="F870" s="2">
        <v>2538.88</v>
      </c>
      <c r="G870" s="4">
        <f t="shared" si="3"/>
        <v>7221736.8</v>
      </c>
      <c r="H870" s="4">
        <f t="shared" si="1"/>
        <v>0.7566450665</v>
      </c>
      <c r="I870" s="4" t="str">
        <f t="shared" si="2"/>
        <v>A</v>
      </c>
    </row>
    <row r="871">
      <c r="A871" s="2">
        <v>870.0</v>
      </c>
      <c r="B871" s="2">
        <v>23295.0</v>
      </c>
      <c r="C871" s="2" t="s">
        <v>1016</v>
      </c>
      <c r="D871" s="2">
        <v>0.83</v>
      </c>
      <c r="E871" s="2">
        <v>3069.0</v>
      </c>
      <c r="F871" s="2">
        <v>2538.38</v>
      </c>
      <c r="G871" s="4">
        <f t="shared" si="3"/>
        <v>7224275.18</v>
      </c>
      <c r="H871" s="4">
        <f t="shared" si="1"/>
        <v>0.7569110209</v>
      </c>
      <c r="I871" s="4" t="str">
        <f t="shared" si="2"/>
        <v>A</v>
      </c>
    </row>
    <row r="872">
      <c r="A872" s="2">
        <v>871.0</v>
      </c>
      <c r="B872" s="2">
        <v>22571.0</v>
      </c>
      <c r="C872" s="2" t="s">
        <v>1017</v>
      </c>
      <c r="D872" s="2">
        <v>0.85</v>
      </c>
      <c r="E872" s="2">
        <v>2847.0</v>
      </c>
      <c r="F872" s="2">
        <v>2537.31</v>
      </c>
      <c r="G872" s="4">
        <f t="shared" si="3"/>
        <v>7226812.49</v>
      </c>
      <c r="H872" s="4">
        <f t="shared" si="1"/>
        <v>0.7571768632</v>
      </c>
      <c r="I872" s="4" t="str">
        <f t="shared" si="2"/>
        <v>A</v>
      </c>
    </row>
    <row r="873">
      <c r="A873" s="2">
        <v>872.0</v>
      </c>
      <c r="B873" s="2">
        <v>23198.0</v>
      </c>
      <c r="C873" s="2" t="s">
        <v>1018</v>
      </c>
      <c r="D873" s="2">
        <v>1.45</v>
      </c>
      <c r="E873" s="2">
        <v>1670.0</v>
      </c>
      <c r="F873" s="2">
        <v>2530.57</v>
      </c>
      <c r="G873" s="4">
        <f t="shared" si="3"/>
        <v>7229343.06</v>
      </c>
      <c r="H873" s="4">
        <f t="shared" si="1"/>
        <v>0.7574419993</v>
      </c>
      <c r="I873" s="4" t="str">
        <f t="shared" si="2"/>
        <v>A</v>
      </c>
    </row>
    <row r="874">
      <c r="A874" s="2">
        <v>873.0</v>
      </c>
      <c r="B874" s="2">
        <v>23165.0</v>
      </c>
      <c r="C874" s="2" t="s">
        <v>1019</v>
      </c>
      <c r="D874" s="2">
        <v>1.65</v>
      </c>
      <c r="E874" s="2">
        <v>1528.0</v>
      </c>
      <c r="F874" s="2">
        <v>2527.48</v>
      </c>
      <c r="G874" s="4">
        <f t="shared" si="3"/>
        <v>7231870.54</v>
      </c>
      <c r="H874" s="4">
        <f t="shared" si="1"/>
        <v>0.7577068117</v>
      </c>
      <c r="I874" s="4" t="str">
        <f t="shared" si="2"/>
        <v>A</v>
      </c>
    </row>
    <row r="875">
      <c r="A875" s="2">
        <v>874.0</v>
      </c>
      <c r="B875" s="2">
        <v>23234.0</v>
      </c>
      <c r="C875" s="2" t="s">
        <v>1020</v>
      </c>
      <c r="D875" s="2">
        <v>2.89</v>
      </c>
      <c r="E875" s="2">
        <v>856.0</v>
      </c>
      <c r="F875" s="2">
        <v>2526.89</v>
      </c>
      <c r="G875" s="4">
        <f t="shared" si="3"/>
        <v>7234397.43</v>
      </c>
      <c r="H875" s="4">
        <f t="shared" si="1"/>
        <v>0.7579715623</v>
      </c>
      <c r="I875" s="4" t="str">
        <f t="shared" si="2"/>
        <v>A</v>
      </c>
    </row>
    <row r="876">
      <c r="A876" s="2">
        <v>875.0</v>
      </c>
      <c r="B876" s="2">
        <v>21544.0</v>
      </c>
      <c r="C876" s="2" t="s">
        <v>1021</v>
      </c>
      <c r="D876" s="2">
        <v>0.85</v>
      </c>
      <c r="E876" s="2">
        <v>3032.0</v>
      </c>
      <c r="F876" s="2">
        <v>2525.68</v>
      </c>
      <c r="G876" s="4">
        <f t="shared" si="3"/>
        <v>7236923.11</v>
      </c>
      <c r="H876" s="4">
        <f t="shared" si="1"/>
        <v>0.7582361861</v>
      </c>
      <c r="I876" s="4" t="str">
        <f t="shared" si="2"/>
        <v>A</v>
      </c>
    </row>
    <row r="877">
      <c r="A877" s="2">
        <v>876.0</v>
      </c>
      <c r="B877" s="2">
        <v>22426.0</v>
      </c>
      <c r="C877" s="2" t="s">
        <v>1022</v>
      </c>
      <c r="D877" s="2">
        <v>3.75</v>
      </c>
      <c r="E877" s="2">
        <v>651.0</v>
      </c>
      <c r="F877" s="2">
        <v>2514.93</v>
      </c>
      <c r="G877" s="4">
        <f t="shared" si="3"/>
        <v>7239438.04</v>
      </c>
      <c r="H877" s="4">
        <f t="shared" si="1"/>
        <v>0.7584996835</v>
      </c>
      <c r="I877" s="4" t="str">
        <f t="shared" si="2"/>
        <v>A</v>
      </c>
    </row>
    <row r="878">
      <c r="A878" s="2">
        <v>877.0</v>
      </c>
      <c r="B878" s="2">
        <v>22957.0</v>
      </c>
      <c r="C878" s="2" t="s">
        <v>1023</v>
      </c>
      <c r="D878" s="2">
        <v>2.95</v>
      </c>
      <c r="E878" s="2">
        <v>889.0</v>
      </c>
      <c r="F878" s="2">
        <v>2511.75</v>
      </c>
      <c r="G878" s="4">
        <f t="shared" si="3"/>
        <v>7241949.79</v>
      </c>
      <c r="H878" s="4">
        <f t="shared" si="1"/>
        <v>0.7587628478</v>
      </c>
      <c r="I878" s="4" t="str">
        <f t="shared" si="2"/>
        <v>A</v>
      </c>
    </row>
    <row r="879">
      <c r="A879" s="2">
        <v>878.0</v>
      </c>
      <c r="B879" s="2">
        <v>21071.0</v>
      </c>
      <c r="C879" s="2" t="s">
        <v>1024</v>
      </c>
      <c r="D879" s="2">
        <v>1.25</v>
      </c>
      <c r="E879" s="2">
        <v>2144.0</v>
      </c>
      <c r="F879" s="2">
        <v>2511.6</v>
      </c>
      <c r="G879" s="4">
        <f t="shared" si="3"/>
        <v>7244461.39</v>
      </c>
      <c r="H879" s="4">
        <f t="shared" si="1"/>
        <v>0.7590259964</v>
      </c>
      <c r="I879" s="4" t="str">
        <f t="shared" si="2"/>
        <v>A</v>
      </c>
    </row>
    <row r="880">
      <c r="A880" s="2">
        <v>879.0</v>
      </c>
      <c r="B880" s="2">
        <v>22732.0</v>
      </c>
      <c r="C880" s="2" t="s">
        <v>1025</v>
      </c>
      <c r="D880" s="2">
        <v>1.25</v>
      </c>
      <c r="E880" s="2">
        <v>1888.0</v>
      </c>
      <c r="F880" s="2">
        <v>2502.17</v>
      </c>
      <c r="G880" s="4">
        <f t="shared" si="3"/>
        <v>7246963.56</v>
      </c>
      <c r="H880" s="4">
        <f t="shared" si="1"/>
        <v>0.759288157</v>
      </c>
      <c r="I880" s="4" t="str">
        <f t="shared" si="2"/>
        <v>A</v>
      </c>
    </row>
    <row r="881">
      <c r="A881" s="2">
        <v>880.0</v>
      </c>
      <c r="B881" s="2">
        <v>20977.0</v>
      </c>
      <c r="C881" s="2" t="s">
        <v>1026</v>
      </c>
      <c r="D881" s="2">
        <v>1.25</v>
      </c>
      <c r="E881" s="2">
        <v>1868.0</v>
      </c>
      <c r="F881" s="2">
        <v>2500.62</v>
      </c>
      <c r="G881" s="4">
        <f t="shared" si="3"/>
        <v>7249464.18</v>
      </c>
      <c r="H881" s="4">
        <f t="shared" si="1"/>
        <v>0.7595501551</v>
      </c>
      <c r="I881" s="4" t="str">
        <f t="shared" si="2"/>
        <v>A</v>
      </c>
    </row>
    <row r="882">
      <c r="A882" s="2">
        <v>881.0</v>
      </c>
      <c r="B882" s="2" t="s">
        <v>1027</v>
      </c>
      <c r="C882" s="2" t="s">
        <v>1028</v>
      </c>
      <c r="D882" s="2">
        <v>8.29</v>
      </c>
      <c r="E882" s="2">
        <v>300.0</v>
      </c>
      <c r="F882" s="2">
        <v>2499.9</v>
      </c>
      <c r="G882" s="4">
        <f t="shared" si="3"/>
        <v>7251964.08</v>
      </c>
      <c r="H882" s="4">
        <f t="shared" si="1"/>
        <v>0.7598120778</v>
      </c>
      <c r="I882" s="4" t="str">
        <f t="shared" si="2"/>
        <v>A</v>
      </c>
    </row>
    <row r="883">
      <c r="A883" s="2">
        <v>882.0</v>
      </c>
      <c r="B883" s="2">
        <v>23310.0</v>
      </c>
      <c r="C883" s="2" t="s">
        <v>1029</v>
      </c>
      <c r="D883" s="2">
        <v>0.42</v>
      </c>
      <c r="E883" s="2">
        <v>6025.0</v>
      </c>
      <c r="F883" s="2">
        <v>2498.64</v>
      </c>
      <c r="G883" s="4">
        <f t="shared" si="3"/>
        <v>7254462.72</v>
      </c>
      <c r="H883" s="4">
        <f t="shared" si="1"/>
        <v>0.7600738686</v>
      </c>
      <c r="I883" s="4" t="str">
        <f t="shared" si="2"/>
        <v>A</v>
      </c>
    </row>
    <row r="884">
      <c r="A884" s="2">
        <v>883.0</v>
      </c>
      <c r="B884" s="2">
        <v>23314.0</v>
      </c>
      <c r="C884" s="2" t="s">
        <v>1030</v>
      </c>
      <c r="D884" s="2">
        <v>12.5</v>
      </c>
      <c r="E884" s="2">
        <v>202.0</v>
      </c>
      <c r="F884" s="2">
        <v>2493.98</v>
      </c>
      <c r="G884" s="4">
        <f t="shared" si="3"/>
        <v>7256956.7</v>
      </c>
      <c r="H884" s="4">
        <f t="shared" si="1"/>
        <v>0.760335171</v>
      </c>
      <c r="I884" s="4" t="str">
        <f t="shared" si="2"/>
        <v>A</v>
      </c>
    </row>
    <row r="885">
      <c r="A885" s="2">
        <v>884.0</v>
      </c>
      <c r="B885" s="2">
        <v>23556.0</v>
      </c>
      <c r="C885" s="2" t="s">
        <v>1031</v>
      </c>
      <c r="D885" s="2">
        <v>12.5</v>
      </c>
      <c r="E885" s="2">
        <v>220.0</v>
      </c>
      <c r="F885" s="2">
        <v>2487.26</v>
      </c>
      <c r="G885" s="4">
        <f t="shared" si="3"/>
        <v>7259443.96</v>
      </c>
      <c r="H885" s="4">
        <f t="shared" si="1"/>
        <v>0.7605957694</v>
      </c>
      <c r="I885" s="4" t="str">
        <f t="shared" si="2"/>
        <v>A</v>
      </c>
    </row>
    <row r="886">
      <c r="A886" s="2">
        <v>885.0</v>
      </c>
      <c r="B886" s="2">
        <v>21896.0</v>
      </c>
      <c r="C886" s="2" t="s">
        <v>1032</v>
      </c>
      <c r="D886" s="2">
        <v>2.1</v>
      </c>
      <c r="E886" s="2">
        <v>1200.0</v>
      </c>
      <c r="F886" s="2">
        <v>2486.72</v>
      </c>
      <c r="G886" s="4">
        <f t="shared" si="3"/>
        <v>7261930.68</v>
      </c>
      <c r="H886" s="4">
        <f t="shared" si="1"/>
        <v>0.7608563112</v>
      </c>
      <c r="I886" s="4" t="str">
        <f t="shared" si="2"/>
        <v>A</v>
      </c>
    </row>
    <row r="887">
      <c r="A887" s="2">
        <v>886.0</v>
      </c>
      <c r="B887" s="2">
        <v>22318.0</v>
      </c>
      <c r="C887" s="2" t="s">
        <v>1033</v>
      </c>
      <c r="D887" s="2">
        <v>2.95</v>
      </c>
      <c r="E887" s="2">
        <v>788.0</v>
      </c>
      <c r="F887" s="2">
        <v>2481.67</v>
      </c>
      <c r="G887" s="4">
        <f t="shared" si="3"/>
        <v>7264412.35</v>
      </c>
      <c r="H887" s="4">
        <f t="shared" si="1"/>
        <v>0.7611163239</v>
      </c>
      <c r="I887" s="4" t="str">
        <f t="shared" si="2"/>
        <v>A</v>
      </c>
    </row>
    <row r="888">
      <c r="A888" s="2">
        <v>887.0</v>
      </c>
      <c r="B888" s="2">
        <v>21706.0</v>
      </c>
      <c r="C888" s="2" t="s">
        <v>1034</v>
      </c>
      <c r="D888" s="2">
        <v>4.95</v>
      </c>
      <c r="E888" s="2">
        <v>668.0</v>
      </c>
      <c r="F888" s="2">
        <v>2480.93</v>
      </c>
      <c r="G888" s="4">
        <f t="shared" si="3"/>
        <v>7266893.28</v>
      </c>
      <c r="H888" s="4">
        <f t="shared" si="1"/>
        <v>0.7613762591</v>
      </c>
      <c r="I888" s="4" t="str">
        <f t="shared" si="2"/>
        <v>A</v>
      </c>
    </row>
    <row r="889">
      <c r="A889" s="2">
        <v>888.0</v>
      </c>
      <c r="B889" s="2">
        <v>47568.0</v>
      </c>
      <c r="C889" s="2" t="s">
        <v>1035</v>
      </c>
      <c r="D889" s="2">
        <v>2.1</v>
      </c>
      <c r="E889" s="2">
        <v>1186.0</v>
      </c>
      <c r="F889" s="2">
        <v>2477.86</v>
      </c>
      <c r="G889" s="4">
        <f t="shared" si="3"/>
        <v>7269371.14</v>
      </c>
      <c r="H889" s="4">
        <f t="shared" si="1"/>
        <v>0.7616358727</v>
      </c>
      <c r="I889" s="4" t="str">
        <f t="shared" si="2"/>
        <v>A</v>
      </c>
    </row>
    <row r="890">
      <c r="A890" s="2">
        <v>889.0</v>
      </c>
      <c r="B890" s="2">
        <v>23570.0</v>
      </c>
      <c r="C890" s="2" t="s">
        <v>1036</v>
      </c>
      <c r="D890" s="2">
        <v>1.25</v>
      </c>
      <c r="E890" s="2">
        <v>1391.0</v>
      </c>
      <c r="F890" s="2">
        <v>2472.18</v>
      </c>
      <c r="G890" s="4">
        <f t="shared" si="3"/>
        <v>7271843.32</v>
      </c>
      <c r="H890" s="4">
        <f t="shared" si="1"/>
        <v>0.7618948911</v>
      </c>
      <c r="I890" s="4" t="str">
        <f t="shared" si="2"/>
        <v>A</v>
      </c>
    </row>
    <row r="891">
      <c r="A891" s="2">
        <v>890.0</v>
      </c>
      <c r="B891" s="2">
        <v>22583.0</v>
      </c>
      <c r="C891" s="2" t="s">
        <v>1037</v>
      </c>
      <c r="D891" s="2">
        <v>2.55</v>
      </c>
      <c r="E891" s="2">
        <v>932.0</v>
      </c>
      <c r="F891" s="2">
        <v>2466.4</v>
      </c>
      <c r="G891" s="4">
        <f t="shared" si="3"/>
        <v>7274309.72</v>
      </c>
      <c r="H891" s="4">
        <f t="shared" si="1"/>
        <v>0.7621533039</v>
      </c>
      <c r="I891" s="4" t="str">
        <f t="shared" si="2"/>
        <v>A</v>
      </c>
    </row>
    <row r="892">
      <c r="A892" s="2">
        <v>891.0</v>
      </c>
      <c r="B892" s="2" t="s">
        <v>1038</v>
      </c>
      <c r="C892" s="2" t="s">
        <v>1039</v>
      </c>
      <c r="D892" s="2">
        <v>1.45</v>
      </c>
      <c r="E892" s="2">
        <v>1700.0</v>
      </c>
      <c r="F892" s="2">
        <v>2465.72</v>
      </c>
      <c r="G892" s="4">
        <f t="shared" si="3"/>
        <v>7276775.44</v>
      </c>
      <c r="H892" s="4">
        <f t="shared" si="1"/>
        <v>0.7624116455</v>
      </c>
      <c r="I892" s="4" t="str">
        <f t="shared" si="2"/>
        <v>A</v>
      </c>
    </row>
    <row r="893">
      <c r="A893" s="2">
        <v>892.0</v>
      </c>
      <c r="B893" s="2">
        <v>22604.0</v>
      </c>
      <c r="C893" s="2" t="s">
        <v>1040</v>
      </c>
      <c r="D893" s="2">
        <v>2.55</v>
      </c>
      <c r="E893" s="2">
        <v>1002.0</v>
      </c>
      <c r="F893" s="2">
        <v>2460.96</v>
      </c>
      <c r="G893" s="4">
        <f t="shared" si="3"/>
        <v>7279236.4</v>
      </c>
      <c r="H893" s="4">
        <f t="shared" si="1"/>
        <v>0.7626694883</v>
      </c>
      <c r="I893" s="4" t="str">
        <f t="shared" si="2"/>
        <v>A</v>
      </c>
    </row>
    <row r="894">
      <c r="A894" s="2">
        <v>893.0</v>
      </c>
      <c r="B894" s="2" t="s">
        <v>1041</v>
      </c>
      <c r="C894" s="2" t="s">
        <v>1042</v>
      </c>
      <c r="D894" s="2">
        <v>2.95</v>
      </c>
      <c r="E894" s="2">
        <v>1141.0</v>
      </c>
      <c r="F894" s="2">
        <v>2456.18</v>
      </c>
      <c r="G894" s="4">
        <f t="shared" si="3"/>
        <v>7281692.58</v>
      </c>
      <c r="H894" s="4">
        <f t="shared" si="1"/>
        <v>0.7629268304</v>
      </c>
      <c r="I894" s="4" t="str">
        <f t="shared" si="2"/>
        <v>A</v>
      </c>
    </row>
    <row r="895">
      <c r="A895" s="2">
        <v>894.0</v>
      </c>
      <c r="B895" s="2">
        <v>22276.0</v>
      </c>
      <c r="C895" s="2" t="s">
        <v>1043</v>
      </c>
      <c r="D895" s="2">
        <v>2.55</v>
      </c>
      <c r="E895" s="2">
        <v>947.0</v>
      </c>
      <c r="F895" s="2">
        <v>2448.8</v>
      </c>
      <c r="G895" s="4">
        <f t="shared" si="3"/>
        <v>7284141.38</v>
      </c>
      <c r="H895" s="4">
        <f t="shared" si="1"/>
        <v>0.7631833992</v>
      </c>
      <c r="I895" s="4" t="str">
        <f t="shared" si="2"/>
        <v>A</v>
      </c>
    </row>
    <row r="896">
      <c r="A896" s="2">
        <v>895.0</v>
      </c>
      <c r="B896" s="2">
        <v>21207.0</v>
      </c>
      <c r="C896" s="2" t="s">
        <v>1044</v>
      </c>
      <c r="D896" s="2">
        <v>1.65</v>
      </c>
      <c r="E896" s="2">
        <v>1556.0</v>
      </c>
      <c r="F896" s="2">
        <v>2444.91</v>
      </c>
      <c r="G896" s="4">
        <f t="shared" si="3"/>
        <v>7286586.29</v>
      </c>
      <c r="H896" s="4">
        <f t="shared" si="1"/>
        <v>0.7634395604</v>
      </c>
      <c r="I896" s="4" t="str">
        <f t="shared" si="2"/>
        <v>A</v>
      </c>
    </row>
    <row r="897">
      <c r="A897" s="2">
        <v>896.0</v>
      </c>
      <c r="B897" s="2">
        <v>22509.0</v>
      </c>
      <c r="C897" s="2" t="s">
        <v>1045</v>
      </c>
      <c r="D897" s="2">
        <v>16.95</v>
      </c>
      <c r="E897" s="2">
        <v>186.0</v>
      </c>
      <c r="F897" s="2">
        <v>2432.58</v>
      </c>
      <c r="G897" s="4">
        <f t="shared" si="3"/>
        <v>7289018.87</v>
      </c>
      <c r="H897" s="4">
        <f t="shared" si="1"/>
        <v>0.7636944298</v>
      </c>
      <c r="I897" s="4" t="str">
        <f t="shared" si="2"/>
        <v>A</v>
      </c>
    </row>
    <row r="898">
      <c r="A898" s="2">
        <v>897.0</v>
      </c>
      <c r="B898" s="2">
        <v>23503.0</v>
      </c>
      <c r="C898" s="2" t="s">
        <v>1046</v>
      </c>
      <c r="D898" s="2">
        <v>1.25</v>
      </c>
      <c r="E898" s="2">
        <v>1823.0</v>
      </c>
      <c r="F898" s="2">
        <v>2432.15</v>
      </c>
      <c r="G898" s="4">
        <f t="shared" si="3"/>
        <v>7291451.02</v>
      </c>
      <c r="H898" s="4">
        <f t="shared" si="1"/>
        <v>0.7639492541</v>
      </c>
      <c r="I898" s="4" t="str">
        <f t="shared" si="2"/>
        <v>A</v>
      </c>
    </row>
    <row r="899">
      <c r="A899" s="2">
        <v>898.0</v>
      </c>
      <c r="B899" s="2">
        <v>23010.0</v>
      </c>
      <c r="C899" s="2" t="s">
        <v>1047</v>
      </c>
      <c r="D899" s="2">
        <v>16.95</v>
      </c>
      <c r="E899" s="2">
        <v>157.0</v>
      </c>
      <c r="F899" s="2">
        <v>2431.32</v>
      </c>
      <c r="G899" s="4">
        <f t="shared" si="3"/>
        <v>7293882.34</v>
      </c>
      <c r="H899" s="4">
        <f t="shared" si="1"/>
        <v>0.7642039915</v>
      </c>
      <c r="I899" s="4" t="str">
        <f t="shared" si="2"/>
        <v>A</v>
      </c>
    </row>
    <row r="900">
      <c r="A900" s="2">
        <v>899.0</v>
      </c>
      <c r="B900" s="2">
        <v>85063.0</v>
      </c>
      <c r="C900" s="2" t="s">
        <v>1048</v>
      </c>
      <c r="D900" s="2">
        <v>16.95</v>
      </c>
      <c r="E900" s="2">
        <v>136.0</v>
      </c>
      <c r="F900" s="2">
        <v>2428.74</v>
      </c>
      <c r="G900" s="4">
        <f t="shared" si="3"/>
        <v>7296311.08</v>
      </c>
      <c r="H900" s="4">
        <f t="shared" si="1"/>
        <v>0.7644584586</v>
      </c>
      <c r="I900" s="4" t="str">
        <f t="shared" si="2"/>
        <v>A</v>
      </c>
    </row>
    <row r="901">
      <c r="A901" s="2">
        <v>900.0</v>
      </c>
      <c r="B901" s="2">
        <v>23554.0</v>
      </c>
      <c r="C901" s="2" t="s">
        <v>1049</v>
      </c>
      <c r="D901" s="2">
        <v>12.5</v>
      </c>
      <c r="E901" s="2">
        <v>212.0</v>
      </c>
      <c r="F901" s="2">
        <v>2415.26</v>
      </c>
      <c r="G901" s="4">
        <f t="shared" si="3"/>
        <v>7298726.34</v>
      </c>
      <c r="H901" s="4">
        <f t="shared" si="1"/>
        <v>0.7647115133</v>
      </c>
      <c r="I901" s="4" t="str">
        <f t="shared" si="2"/>
        <v>A</v>
      </c>
    </row>
    <row r="902">
      <c r="A902" s="2">
        <v>901.0</v>
      </c>
      <c r="B902" s="2">
        <v>21534.0</v>
      </c>
      <c r="C902" s="2" t="s">
        <v>1050</v>
      </c>
      <c r="D902" s="2">
        <v>4.95</v>
      </c>
      <c r="E902" s="2">
        <v>474.0</v>
      </c>
      <c r="F902" s="2">
        <v>2409.07</v>
      </c>
      <c r="G902" s="4">
        <f t="shared" si="3"/>
        <v>7301135.41</v>
      </c>
      <c r="H902" s="4">
        <f t="shared" si="1"/>
        <v>0.7649639195</v>
      </c>
      <c r="I902" s="4" t="str">
        <f t="shared" si="2"/>
        <v>A</v>
      </c>
    </row>
    <row r="903">
      <c r="A903" s="2">
        <v>902.0</v>
      </c>
      <c r="B903" s="2">
        <v>23555.0</v>
      </c>
      <c r="C903" s="2" t="s">
        <v>1051</v>
      </c>
      <c r="D903" s="2">
        <v>12.5</v>
      </c>
      <c r="E903" s="2">
        <v>212.0</v>
      </c>
      <c r="F903" s="2">
        <v>2409.04</v>
      </c>
      <c r="G903" s="4">
        <f t="shared" si="3"/>
        <v>7303544.45</v>
      </c>
      <c r="H903" s="4">
        <f t="shared" si="1"/>
        <v>0.7652163225</v>
      </c>
      <c r="I903" s="4" t="str">
        <f t="shared" si="2"/>
        <v>A</v>
      </c>
    </row>
    <row r="904">
      <c r="A904" s="2">
        <v>903.0</v>
      </c>
      <c r="B904" s="2">
        <v>23351.0</v>
      </c>
      <c r="C904" s="2" t="s">
        <v>1052</v>
      </c>
      <c r="D904" s="2">
        <v>1.25</v>
      </c>
      <c r="E904" s="2">
        <v>1728.0</v>
      </c>
      <c r="F904" s="2">
        <v>2395.39</v>
      </c>
      <c r="G904" s="4">
        <f t="shared" si="3"/>
        <v>7305939.84</v>
      </c>
      <c r="H904" s="4">
        <f t="shared" si="1"/>
        <v>0.7654672954</v>
      </c>
      <c r="I904" s="4" t="str">
        <f t="shared" si="2"/>
        <v>A</v>
      </c>
    </row>
    <row r="905">
      <c r="A905" s="2">
        <v>904.0</v>
      </c>
      <c r="B905" s="2">
        <v>21986.0</v>
      </c>
      <c r="C905" s="2" t="s">
        <v>1053</v>
      </c>
      <c r="D905" s="2">
        <v>0.29</v>
      </c>
      <c r="E905" s="2">
        <v>6730.0</v>
      </c>
      <c r="F905" s="2">
        <v>2390.74</v>
      </c>
      <c r="G905" s="4">
        <f t="shared" si="3"/>
        <v>7308330.58</v>
      </c>
      <c r="H905" s="4">
        <f t="shared" si="1"/>
        <v>0.765717781</v>
      </c>
      <c r="I905" s="4" t="str">
        <f t="shared" si="2"/>
        <v>A</v>
      </c>
    </row>
    <row r="906">
      <c r="A906" s="2">
        <v>905.0</v>
      </c>
      <c r="B906" s="2">
        <v>23389.0</v>
      </c>
      <c r="C906" s="2" t="s">
        <v>1054</v>
      </c>
      <c r="D906" s="2">
        <v>4.15</v>
      </c>
      <c r="E906" s="2">
        <v>561.0</v>
      </c>
      <c r="F906" s="2">
        <v>2390.27</v>
      </c>
      <c r="G906" s="4">
        <f t="shared" si="3"/>
        <v>7310720.85</v>
      </c>
      <c r="H906" s="4">
        <f t="shared" si="1"/>
        <v>0.7659682175</v>
      </c>
      <c r="I906" s="4" t="str">
        <f t="shared" si="2"/>
        <v>A</v>
      </c>
    </row>
    <row r="907">
      <c r="A907" s="2">
        <v>906.0</v>
      </c>
      <c r="B907" s="2">
        <v>21249.0</v>
      </c>
      <c r="C907" s="2" t="s">
        <v>1055</v>
      </c>
      <c r="D907" s="2">
        <v>2.95</v>
      </c>
      <c r="E907" s="2">
        <v>830.0</v>
      </c>
      <c r="F907" s="2">
        <v>2383.79</v>
      </c>
      <c r="G907" s="4">
        <f t="shared" si="3"/>
        <v>7313104.64</v>
      </c>
      <c r="H907" s="4">
        <f t="shared" si="1"/>
        <v>0.766217975</v>
      </c>
      <c r="I907" s="4" t="str">
        <f t="shared" si="2"/>
        <v>A</v>
      </c>
    </row>
    <row r="908">
      <c r="A908" s="2">
        <v>907.0</v>
      </c>
      <c r="B908" s="2">
        <v>22593.0</v>
      </c>
      <c r="C908" s="2" t="s">
        <v>1056</v>
      </c>
      <c r="D908" s="2">
        <v>0.85</v>
      </c>
      <c r="E908" s="2">
        <v>2666.0</v>
      </c>
      <c r="F908" s="2">
        <v>2383.48</v>
      </c>
      <c r="G908" s="4">
        <f t="shared" si="3"/>
        <v>7315488.12</v>
      </c>
      <c r="H908" s="4">
        <f t="shared" si="1"/>
        <v>0.7664677</v>
      </c>
      <c r="I908" s="4" t="str">
        <f t="shared" si="2"/>
        <v>A</v>
      </c>
    </row>
    <row r="909">
      <c r="A909" s="2">
        <v>908.0</v>
      </c>
      <c r="B909" s="2">
        <v>22027.0</v>
      </c>
      <c r="C909" s="2" t="s">
        <v>1057</v>
      </c>
      <c r="D909" s="2">
        <v>0.42</v>
      </c>
      <c r="E909" s="2">
        <v>5582.0</v>
      </c>
      <c r="F909" s="2">
        <v>2379.84</v>
      </c>
      <c r="G909" s="4">
        <f t="shared" si="3"/>
        <v>7317867.96</v>
      </c>
      <c r="H909" s="4">
        <f t="shared" si="1"/>
        <v>0.7667170437</v>
      </c>
      <c r="I909" s="4" t="str">
        <f t="shared" si="2"/>
        <v>A</v>
      </c>
    </row>
    <row r="910">
      <c r="A910" s="2">
        <v>909.0</v>
      </c>
      <c r="B910" s="2">
        <v>22688.0</v>
      </c>
      <c r="C910" s="2" t="s">
        <v>1058</v>
      </c>
      <c r="D910" s="2">
        <v>7.95</v>
      </c>
      <c r="E910" s="2">
        <v>432.0</v>
      </c>
      <c r="F910" s="2">
        <v>2378.35</v>
      </c>
      <c r="G910" s="4">
        <f t="shared" si="3"/>
        <v>7320246.31</v>
      </c>
      <c r="H910" s="4">
        <f t="shared" si="1"/>
        <v>0.7669662312</v>
      </c>
      <c r="I910" s="4" t="str">
        <f t="shared" si="2"/>
        <v>A</v>
      </c>
    </row>
    <row r="911">
      <c r="A911" s="2">
        <v>910.0</v>
      </c>
      <c r="B911" s="2">
        <v>23569.0</v>
      </c>
      <c r="C911" s="2" t="s">
        <v>1059</v>
      </c>
      <c r="D911" s="2">
        <v>4.95</v>
      </c>
      <c r="E911" s="2">
        <v>480.0</v>
      </c>
      <c r="F911" s="2">
        <v>2376.16</v>
      </c>
      <c r="G911" s="4">
        <f t="shared" si="3"/>
        <v>7322622.47</v>
      </c>
      <c r="H911" s="4">
        <f t="shared" si="1"/>
        <v>0.7672151893</v>
      </c>
      <c r="I911" s="4" t="str">
        <f t="shared" si="2"/>
        <v>A</v>
      </c>
    </row>
    <row r="912">
      <c r="A912" s="2">
        <v>911.0</v>
      </c>
      <c r="B912" s="2">
        <v>22128.0</v>
      </c>
      <c r="C912" s="2" t="s">
        <v>1060</v>
      </c>
      <c r="D912" s="2">
        <v>1.25</v>
      </c>
      <c r="E912" s="2">
        <v>1958.0</v>
      </c>
      <c r="F912" s="2">
        <v>2376.04</v>
      </c>
      <c r="G912" s="4">
        <f t="shared" si="3"/>
        <v>7324998.51</v>
      </c>
      <c r="H912" s="4">
        <f t="shared" si="1"/>
        <v>0.7674641348</v>
      </c>
      <c r="I912" s="4" t="str">
        <f t="shared" si="2"/>
        <v>A</v>
      </c>
    </row>
    <row r="913">
      <c r="A913" s="2">
        <v>912.0</v>
      </c>
      <c r="B913" s="2">
        <v>20681.0</v>
      </c>
      <c r="C913" s="2" t="s">
        <v>1061</v>
      </c>
      <c r="D913" s="2">
        <v>3.25</v>
      </c>
      <c r="E913" s="2">
        <v>702.0</v>
      </c>
      <c r="F913" s="2">
        <v>2375.32</v>
      </c>
      <c r="G913" s="4">
        <f t="shared" si="3"/>
        <v>7327373.83</v>
      </c>
      <c r="H913" s="4">
        <f t="shared" si="1"/>
        <v>0.7677130048</v>
      </c>
      <c r="I913" s="4" t="str">
        <f t="shared" si="2"/>
        <v>A</v>
      </c>
    </row>
    <row r="914">
      <c r="A914" s="2">
        <v>913.0</v>
      </c>
      <c r="B914" s="2">
        <v>22107.0</v>
      </c>
      <c r="C914" s="2" t="s">
        <v>1062</v>
      </c>
      <c r="D914" s="2">
        <v>3.75</v>
      </c>
      <c r="E914" s="2">
        <v>608.0</v>
      </c>
      <c r="F914" s="2">
        <v>2374.04</v>
      </c>
      <c r="G914" s="4">
        <f t="shared" si="3"/>
        <v>7329747.87</v>
      </c>
      <c r="H914" s="4">
        <f t="shared" si="1"/>
        <v>0.7679617408</v>
      </c>
      <c r="I914" s="4" t="str">
        <f t="shared" si="2"/>
        <v>A</v>
      </c>
    </row>
    <row r="915">
      <c r="A915" s="2">
        <v>914.0</v>
      </c>
      <c r="B915" s="2">
        <v>23159.0</v>
      </c>
      <c r="C915" s="2" t="s">
        <v>1063</v>
      </c>
      <c r="D915" s="2">
        <v>2.08</v>
      </c>
      <c r="E915" s="2">
        <v>1154.0</v>
      </c>
      <c r="F915" s="2">
        <v>2372.36</v>
      </c>
      <c r="G915" s="4">
        <f t="shared" si="3"/>
        <v>7332120.23</v>
      </c>
      <c r="H915" s="4">
        <f t="shared" si="1"/>
        <v>0.7682103008</v>
      </c>
      <c r="I915" s="4" t="str">
        <f t="shared" si="2"/>
        <v>A</v>
      </c>
    </row>
    <row r="916">
      <c r="A916" s="2">
        <v>915.0</v>
      </c>
      <c r="B916" s="2">
        <v>23558.0</v>
      </c>
      <c r="C916" s="2" t="s">
        <v>1064</v>
      </c>
      <c r="D916" s="2">
        <v>12.5</v>
      </c>
      <c r="E916" s="2">
        <v>209.0</v>
      </c>
      <c r="F916" s="2">
        <v>2370.68</v>
      </c>
      <c r="G916" s="4">
        <f t="shared" si="3"/>
        <v>7334490.91</v>
      </c>
      <c r="H916" s="4">
        <f t="shared" si="1"/>
        <v>0.7684586847</v>
      </c>
      <c r="I916" s="4" t="str">
        <f t="shared" si="2"/>
        <v>A</v>
      </c>
    </row>
    <row r="917">
      <c r="A917" s="2">
        <v>916.0</v>
      </c>
      <c r="B917" s="2">
        <v>23286.0</v>
      </c>
      <c r="C917" s="2" t="s">
        <v>1065</v>
      </c>
      <c r="D917" s="2">
        <v>0.85</v>
      </c>
      <c r="E917" s="2">
        <v>2520.0</v>
      </c>
      <c r="F917" s="2">
        <v>2370.41</v>
      </c>
      <c r="G917" s="4">
        <f t="shared" si="3"/>
        <v>7336861.32</v>
      </c>
      <c r="H917" s="4">
        <f t="shared" si="1"/>
        <v>0.7687070403</v>
      </c>
      <c r="I917" s="4" t="str">
        <f t="shared" si="2"/>
        <v>A</v>
      </c>
    </row>
    <row r="918">
      <c r="A918" s="2">
        <v>917.0</v>
      </c>
      <c r="B918" s="2">
        <v>22442.0</v>
      </c>
      <c r="C918" s="2" t="s">
        <v>1066</v>
      </c>
      <c r="D918" s="2">
        <v>7.95</v>
      </c>
      <c r="E918" s="2">
        <v>431.0</v>
      </c>
      <c r="F918" s="2">
        <v>2366.76</v>
      </c>
      <c r="G918" s="4">
        <f t="shared" si="3"/>
        <v>7339228.08</v>
      </c>
      <c r="H918" s="4">
        <f t="shared" si="1"/>
        <v>0.7689550135</v>
      </c>
      <c r="I918" s="4" t="str">
        <f t="shared" si="2"/>
        <v>A</v>
      </c>
    </row>
    <row r="919">
      <c r="A919" s="2">
        <v>918.0</v>
      </c>
      <c r="B919" s="2">
        <v>23157.0</v>
      </c>
      <c r="C919" s="2" t="s">
        <v>1067</v>
      </c>
      <c r="D919" s="2">
        <v>2.08</v>
      </c>
      <c r="E919" s="2">
        <v>1165.0</v>
      </c>
      <c r="F919" s="2">
        <v>2363.05</v>
      </c>
      <c r="G919" s="4">
        <f t="shared" si="3"/>
        <v>7341591.13</v>
      </c>
      <c r="H919" s="4">
        <f t="shared" si="1"/>
        <v>0.769202598</v>
      </c>
      <c r="I919" s="4" t="str">
        <f t="shared" si="2"/>
        <v>A</v>
      </c>
    </row>
    <row r="920">
      <c r="A920" s="2">
        <v>919.0</v>
      </c>
      <c r="B920" s="2">
        <v>23184.0</v>
      </c>
      <c r="C920" s="2" t="s">
        <v>1068</v>
      </c>
      <c r="D920" s="2">
        <v>4.95</v>
      </c>
      <c r="E920" s="2">
        <v>433.0</v>
      </c>
      <c r="F920" s="2">
        <v>2362.45</v>
      </c>
      <c r="G920" s="4">
        <f t="shared" si="3"/>
        <v>7343953.58</v>
      </c>
      <c r="H920" s="4">
        <f t="shared" si="1"/>
        <v>0.7694501197</v>
      </c>
      <c r="I920" s="4" t="str">
        <f t="shared" si="2"/>
        <v>A</v>
      </c>
    </row>
    <row r="921">
      <c r="A921" s="2">
        <v>920.0</v>
      </c>
      <c r="B921" s="2">
        <v>21916.0</v>
      </c>
      <c r="C921" s="2" t="s">
        <v>1069</v>
      </c>
      <c r="D921" s="2">
        <v>0.42</v>
      </c>
      <c r="E921" s="2">
        <v>5472.0</v>
      </c>
      <c r="F921" s="2">
        <v>2361.46</v>
      </c>
      <c r="G921" s="4">
        <f t="shared" si="3"/>
        <v>7346315.04</v>
      </c>
      <c r="H921" s="4">
        <f t="shared" si="1"/>
        <v>0.7696975376</v>
      </c>
      <c r="I921" s="4" t="str">
        <f t="shared" si="2"/>
        <v>A</v>
      </c>
    </row>
    <row r="922">
      <c r="A922" s="2">
        <v>921.0</v>
      </c>
      <c r="B922" s="2">
        <v>22672.0</v>
      </c>
      <c r="C922" s="2" t="s">
        <v>1070</v>
      </c>
      <c r="D922" s="2">
        <v>1.65</v>
      </c>
      <c r="E922" s="2">
        <v>1420.0</v>
      </c>
      <c r="F922" s="2">
        <v>2358.98</v>
      </c>
      <c r="G922" s="4">
        <f t="shared" si="3"/>
        <v>7348674.02</v>
      </c>
      <c r="H922" s="4">
        <f t="shared" si="1"/>
        <v>0.7699446957</v>
      </c>
      <c r="I922" s="4" t="str">
        <f t="shared" si="2"/>
        <v>A</v>
      </c>
    </row>
    <row r="923">
      <c r="A923" s="2">
        <v>922.0</v>
      </c>
      <c r="B923" s="2">
        <v>22434.0</v>
      </c>
      <c r="C923" s="2" t="s">
        <v>1071</v>
      </c>
      <c r="D923" s="2">
        <v>1.95</v>
      </c>
      <c r="E923" s="2">
        <v>1270.0</v>
      </c>
      <c r="F923" s="2">
        <v>2358.95</v>
      </c>
      <c r="G923" s="4">
        <f t="shared" si="3"/>
        <v>7351032.97</v>
      </c>
      <c r="H923" s="4">
        <f t="shared" si="1"/>
        <v>0.7701918506</v>
      </c>
      <c r="I923" s="4" t="str">
        <f t="shared" si="2"/>
        <v>A</v>
      </c>
    </row>
    <row r="924">
      <c r="A924" s="2">
        <v>923.0</v>
      </c>
      <c r="B924" s="2">
        <v>22399.0</v>
      </c>
      <c r="C924" s="2" t="s">
        <v>1072</v>
      </c>
      <c r="D924" s="2">
        <v>1.25</v>
      </c>
      <c r="E924" s="2">
        <v>2013.0</v>
      </c>
      <c r="F924" s="2">
        <v>2358.55</v>
      </c>
      <c r="G924" s="4">
        <f t="shared" si="3"/>
        <v>7353391.52</v>
      </c>
      <c r="H924" s="4">
        <f t="shared" si="1"/>
        <v>0.7704389636</v>
      </c>
      <c r="I924" s="4" t="str">
        <f t="shared" si="2"/>
        <v>A</v>
      </c>
    </row>
    <row r="925">
      <c r="A925" s="2">
        <v>924.0</v>
      </c>
      <c r="B925" s="2">
        <v>23241.0</v>
      </c>
      <c r="C925" s="2" t="s">
        <v>1073</v>
      </c>
      <c r="D925" s="2">
        <v>2.08</v>
      </c>
      <c r="E925" s="2">
        <v>1092.0</v>
      </c>
      <c r="F925" s="2">
        <v>2353.5</v>
      </c>
      <c r="G925" s="4">
        <f t="shared" si="3"/>
        <v>7355745.02</v>
      </c>
      <c r="H925" s="4">
        <f t="shared" si="1"/>
        <v>0.7706855475</v>
      </c>
      <c r="I925" s="4" t="str">
        <f t="shared" si="2"/>
        <v>A</v>
      </c>
    </row>
    <row r="926">
      <c r="A926" s="2">
        <v>925.0</v>
      </c>
      <c r="B926" s="2">
        <v>22305.0</v>
      </c>
      <c r="C926" s="2" t="s">
        <v>1074</v>
      </c>
      <c r="D926" s="2">
        <v>2.55</v>
      </c>
      <c r="E926" s="2">
        <v>1132.0</v>
      </c>
      <c r="F926" s="2">
        <v>2350.66</v>
      </c>
      <c r="G926" s="4">
        <f t="shared" si="3"/>
        <v>7358095.68</v>
      </c>
      <c r="H926" s="4">
        <f t="shared" si="1"/>
        <v>0.7709318339</v>
      </c>
      <c r="I926" s="4" t="str">
        <f t="shared" si="2"/>
        <v>A</v>
      </c>
    </row>
    <row r="927">
      <c r="A927" s="2">
        <v>926.0</v>
      </c>
      <c r="B927" s="2">
        <v>22562.0</v>
      </c>
      <c r="C927" s="2" t="s">
        <v>1075</v>
      </c>
      <c r="D927" s="2">
        <v>1.25</v>
      </c>
      <c r="E927" s="2">
        <v>1994.0</v>
      </c>
      <c r="F927" s="2">
        <v>2346.78</v>
      </c>
      <c r="G927" s="4">
        <f t="shared" si="3"/>
        <v>7360442.46</v>
      </c>
      <c r="H927" s="4">
        <f t="shared" si="1"/>
        <v>0.7711777137</v>
      </c>
      <c r="I927" s="4" t="str">
        <f t="shared" si="2"/>
        <v>A</v>
      </c>
    </row>
    <row r="928">
      <c r="A928" s="2">
        <v>927.0</v>
      </c>
      <c r="B928" s="2" t="s">
        <v>1076</v>
      </c>
      <c r="C928" s="2" t="s">
        <v>1077</v>
      </c>
      <c r="D928" s="2">
        <v>1.25</v>
      </c>
      <c r="E928" s="2">
        <v>1899.0</v>
      </c>
      <c r="F928" s="2">
        <v>2339.94</v>
      </c>
      <c r="G928" s="4">
        <f t="shared" si="3"/>
        <v>7362782.4</v>
      </c>
      <c r="H928" s="4">
        <f t="shared" si="1"/>
        <v>0.7714228769</v>
      </c>
      <c r="I928" s="4" t="str">
        <f t="shared" si="2"/>
        <v>A</v>
      </c>
    </row>
    <row r="929">
      <c r="A929" s="2">
        <v>928.0</v>
      </c>
      <c r="B929" s="2">
        <v>22721.0</v>
      </c>
      <c r="C929" s="2" t="s">
        <v>1078</v>
      </c>
      <c r="D929" s="2">
        <v>4.95</v>
      </c>
      <c r="E929" s="2">
        <v>511.0</v>
      </c>
      <c r="F929" s="2">
        <v>2339.36</v>
      </c>
      <c r="G929" s="4">
        <f t="shared" si="3"/>
        <v>7365121.76</v>
      </c>
      <c r="H929" s="4">
        <f t="shared" si="1"/>
        <v>0.7716679794</v>
      </c>
      <c r="I929" s="4" t="str">
        <f t="shared" si="2"/>
        <v>A</v>
      </c>
    </row>
    <row r="930">
      <c r="A930" s="2">
        <v>929.0</v>
      </c>
      <c r="B930" s="2">
        <v>22304.0</v>
      </c>
      <c r="C930" s="2" t="s">
        <v>1079</v>
      </c>
      <c r="D930" s="2">
        <v>2.55</v>
      </c>
      <c r="E930" s="2">
        <v>1187.0</v>
      </c>
      <c r="F930" s="2">
        <v>2337.13</v>
      </c>
      <c r="G930" s="4">
        <f t="shared" si="3"/>
        <v>7367458.89</v>
      </c>
      <c r="H930" s="4">
        <f t="shared" si="1"/>
        <v>0.7719128481</v>
      </c>
      <c r="I930" s="4" t="str">
        <f t="shared" si="2"/>
        <v>A</v>
      </c>
    </row>
    <row r="931">
      <c r="A931" s="2">
        <v>930.0</v>
      </c>
      <c r="B931" s="2">
        <v>20963.0</v>
      </c>
      <c r="C931" s="2" t="s">
        <v>1080</v>
      </c>
      <c r="D931" s="2">
        <v>1.25</v>
      </c>
      <c r="E931" s="2">
        <v>1726.0</v>
      </c>
      <c r="F931" s="2">
        <v>2334.32</v>
      </c>
      <c r="G931" s="4">
        <f t="shared" si="3"/>
        <v>7369793.21</v>
      </c>
      <c r="H931" s="4">
        <f t="shared" si="1"/>
        <v>0.7721574225</v>
      </c>
      <c r="I931" s="4" t="str">
        <f t="shared" si="2"/>
        <v>A</v>
      </c>
    </row>
    <row r="932">
      <c r="A932" s="2">
        <v>931.0</v>
      </c>
      <c r="B932" s="2">
        <v>21069.0</v>
      </c>
      <c r="C932" s="2" t="s">
        <v>1081</v>
      </c>
      <c r="D932" s="2">
        <v>1.25</v>
      </c>
      <c r="E932" s="2">
        <v>2200.0</v>
      </c>
      <c r="F932" s="2">
        <v>2332.52</v>
      </c>
      <c r="G932" s="4">
        <f t="shared" si="3"/>
        <v>7372125.73</v>
      </c>
      <c r="H932" s="4">
        <f t="shared" si="1"/>
        <v>0.7724018083</v>
      </c>
      <c r="I932" s="4" t="str">
        <f t="shared" si="2"/>
        <v>A</v>
      </c>
    </row>
    <row r="933">
      <c r="A933" s="2">
        <v>932.0</v>
      </c>
      <c r="B933" s="2" t="s">
        <v>1082</v>
      </c>
      <c r="C933" s="2" t="s">
        <v>1083</v>
      </c>
      <c r="D933" s="2">
        <v>4.25</v>
      </c>
      <c r="E933" s="2">
        <v>531.0</v>
      </c>
      <c r="F933" s="2">
        <v>2329.31</v>
      </c>
      <c r="G933" s="4">
        <f t="shared" si="3"/>
        <v>7374455.04</v>
      </c>
      <c r="H933" s="4">
        <f t="shared" si="1"/>
        <v>0.7726458577</v>
      </c>
      <c r="I933" s="4" t="str">
        <f t="shared" si="2"/>
        <v>A</v>
      </c>
    </row>
    <row r="934">
      <c r="A934" s="2">
        <v>933.0</v>
      </c>
      <c r="B934" s="2">
        <v>22075.0</v>
      </c>
      <c r="C934" s="2" t="s">
        <v>1084</v>
      </c>
      <c r="D934" s="2">
        <v>1.65</v>
      </c>
      <c r="E934" s="2">
        <v>1548.0</v>
      </c>
      <c r="F934" s="2">
        <v>2328.42</v>
      </c>
      <c r="G934" s="4">
        <f t="shared" si="3"/>
        <v>7376783.46</v>
      </c>
      <c r="H934" s="4">
        <f t="shared" si="1"/>
        <v>0.7728898139</v>
      </c>
      <c r="I934" s="4" t="str">
        <f t="shared" si="2"/>
        <v>A</v>
      </c>
    </row>
    <row r="935">
      <c r="A935" s="2">
        <v>934.0</v>
      </c>
      <c r="B935" s="2" t="s">
        <v>1085</v>
      </c>
      <c r="C935" s="2" t="s">
        <v>1086</v>
      </c>
      <c r="D935" s="2">
        <v>2.95</v>
      </c>
      <c r="E935" s="2">
        <v>835.0</v>
      </c>
      <c r="F935" s="2">
        <v>2322.06</v>
      </c>
      <c r="G935" s="4">
        <f t="shared" si="3"/>
        <v>7379105.52</v>
      </c>
      <c r="H935" s="4">
        <f t="shared" si="1"/>
        <v>0.7731331038</v>
      </c>
      <c r="I935" s="4" t="str">
        <f t="shared" si="2"/>
        <v>A</v>
      </c>
    </row>
    <row r="936">
      <c r="A936" s="2">
        <v>935.0</v>
      </c>
      <c r="B936" s="2">
        <v>20961.0</v>
      </c>
      <c r="C936" s="2" t="s">
        <v>1087</v>
      </c>
      <c r="D936" s="2">
        <v>1.25</v>
      </c>
      <c r="E936" s="2">
        <v>1746.0</v>
      </c>
      <c r="F936" s="2">
        <v>2320.07</v>
      </c>
      <c r="G936" s="4">
        <f t="shared" si="3"/>
        <v>7381425.59</v>
      </c>
      <c r="H936" s="4">
        <f t="shared" si="1"/>
        <v>0.7733761851</v>
      </c>
      <c r="I936" s="4" t="str">
        <f t="shared" si="2"/>
        <v>A</v>
      </c>
    </row>
    <row r="937">
      <c r="A937" s="2">
        <v>936.0</v>
      </c>
      <c r="B937" s="2">
        <v>82581.0</v>
      </c>
      <c r="C937" s="2" t="s">
        <v>1088</v>
      </c>
      <c r="D937" s="2">
        <v>0.55</v>
      </c>
      <c r="E937" s="2">
        <v>4190.0</v>
      </c>
      <c r="F937" s="2">
        <v>2319.55</v>
      </c>
      <c r="G937" s="4">
        <f t="shared" si="3"/>
        <v>7383745.14</v>
      </c>
      <c r="H937" s="4">
        <f t="shared" si="1"/>
        <v>0.773619212</v>
      </c>
      <c r="I937" s="4" t="str">
        <f t="shared" si="2"/>
        <v>A</v>
      </c>
    </row>
    <row r="938">
      <c r="A938" s="2">
        <v>937.0</v>
      </c>
      <c r="B938" s="2">
        <v>21328.0</v>
      </c>
      <c r="C938" s="2" t="s">
        <v>1089</v>
      </c>
      <c r="D938" s="2">
        <v>1.65</v>
      </c>
      <c r="E938" s="2">
        <v>1226.0</v>
      </c>
      <c r="F938" s="2">
        <v>2314.56</v>
      </c>
      <c r="G938" s="4">
        <f t="shared" si="3"/>
        <v>7386059.7</v>
      </c>
      <c r="H938" s="4">
        <f t="shared" si="1"/>
        <v>0.7738617161</v>
      </c>
      <c r="I938" s="4" t="str">
        <f t="shared" si="2"/>
        <v>A</v>
      </c>
    </row>
    <row r="939">
      <c r="A939" s="2">
        <v>938.0</v>
      </c>
      <c r="B939" s="2">
        <v>23176.0</v>
      </c>
      <c r="C939" s="2" t="s">
        <v>1090</v>
      </c>
      <c r="D939" s="2">
        <v>2.25</v>
      </c>
      <c r="E939" s="2">
        <v>1068.0</v>
      </c>
      <c r="F939" s="2">
        <v>2312.79</v>
      </c>
      <c r="G939" s="4">
        <f t="shared" si="3"/>
        <v>7388372.49</v>
      </c>
      <c r="H939" s="4">
        <f t="shared" si="1"/>
        <v>0.7741040347</v>
      </c>
      <c r="I939" s="4" t="str">
        <f t="shared" si="2"/>
        <v>A</v>
      </c>
    </row>
    <row r="940">
      <c r="A940" s="2">
        <v>939.0</v>
      </c>
      <c r="B940" s="2">
        <v>22474.0</v>
      </c>
      <c r="C940" s="2" t="s">
        <v>1091</v>
      </c>
      <c r="D940" s="2">
        <v>4.95</v>
      </c>
      <c r="E940" s="2">
        <v>472.0</v>
      </c>
      <c r="F940" s="2">
        <v>2312.69</v>
      </c>
      <c r="G940" s="4">
        <f t="shared" si="3"/>
        <v>7390685.18</v>
      </c>
      <c r="H940" s="4">
        <f t="shared" si="1"/>
        <v>0.7743463428</v>
      </c>
      <c r="I940" s="4" t="str">
        <f t="shared" si="2"/>
        <v>A</v>
      </c>
    </row>
    <row r="941">
      <c r="A941" s="2">
        <v>940.0</v>
      </c>
      <c r="B941" s="2">
        <v>22800.0</v>
      </c>
      <c r="C941" s="2" t="s">
        <v>1092</v>
      </c>
      <c r="D941" s="2">
        <v>3.75</v>
      </c>
      <c r="E941" s="2">
        <v>564.0</v>
      </c>
      <c r="F941" s="2">
        <v>2295.07</v>
      </c>
      <c r="G941" s="4">
        <f t="shared" si="3"/>
        <v>7392980.25</v>
      </c>
      <c r="H941" s="4">
        <f t="shared" si="1"/>
        <v>0.7745868048</v>
      </c>
      <c r="I941" s="4" t="str">
        <f t="shared" si="2"/>
        <v>A</v>
      </c>
    </row>
    <row r="942">
      <c r="A942" s="2">
        <v>941.0</v>
      </c>
      <c r="B942" s="2">
        <v>22956.0</v>
      </c>
      <c r="C942" s="2" t="s">
        <v>1093</v>
      </c>
      <c r="D942" s="2">
        <v>2.1</v>
      </c>
      <c r="E942" s="2">
        <v>1176.0</v>
      </c>
      <c r="F942" s="2">
        <v>2290.75</v>
      </c>
      <c r="G942" s="4">
        <f t="shared" si="3"/>
        <v>7395271</v>
      </c>
      <c r="H942" s="4">
        <f t="shared" si="1"/>
        <v>0.7748268142</v>
      </c>
      <c r="I942" s="4" t="str">
        <f t="shared" si="2"/>
        <v>A</v>
      </c>
    </row>
    <row r="943">
      <c r="A943" s="2">
        <v>942.0</v>
      </c>
      <c r="B943" s="2">
        <v>21811.0</v>
      </c>
      <c r="C943" s="2" t="s">
        <v>1094</v>
      </c>
      <c r="D943" s="2">
        <v>1.25</v>
      </c>
      <c r="E943" s="2">
        <v>3152.0</v>
      </c>
      <c r="F943" s="2">
        <v>2286.73</v>
      </c>
      <c r="G943" s="4">
        <f t="shared" si="3"/>
        <v>7397557.73</v>
      </c>
      <c r="H943" s="4">
        <f t="shared" si="1"/>
        <v>0.7750664024</v>
      </c>
      <c r="I943" s="4" t="str">
        <f t="shared" si="2"/>
        <v>A</v>
      </c>
    </row>
    <row r="944">
      <c r="A944" s="2">
        <v>943.0</v>
      </c>
      <c r="B944" s="2">
        <v>23285.0</v>
      </c>
      <c r="C944" s="2" t="s">
        <v>1095</v>
      </c>
      <c r="D944" s="2">
        <v>0.85</v>
      </c>
      <c r="E944" s="2">
        <v>2404.0</v>
      </c>
      <c r="F944" s="2">
        <v>2286.2</v>
      </c>
      <c r="G944" s="4">
        <f t="shared" si="3"/>
        <v>7399843.93</v>
      </c>
      <c r="H944" s="4">
        <f t="shared" si="1"/>
        <v>0.7753059351</v>
      </c>
      <c r="I944" s="4" t="str">
        <f t="shared" si="2"/>
        <v>A</v>
      </c>
    </row>
    <row r="945">
      <c r="A945" s="2">
        <v>944.0</v>
      </c>
      <c r="B945" s="2">
        <v>84270.0</v>
      </c>
      <c r="C945" s="2" t="s">
        <v>1096</v>
      </c>
      <c r="D945" s="2">
        <v>0.21</v>
      </c>
      <c r="E945" s="2">
        <v>10673.0</v>
      </c>
      <c r="F945" s="2">
        <v>2281.2</v>
      </c>
      <c r="G945" s="4">
        <f t="shared" si="3"/>
        <v>7402125.13</v>
      </c>
      <c r="H945" s="4">
        <f t="shared" si="1"/>
        <v>0.7755449439</v>
      </c>
      <c r="I945" s="4" t="str">
        <f t="shared" si="2"/>
        <v>A</v>
      </c>
    </row>
    <row r="946">
      <c r="A946" s="2">
        <v>945.0</v>
      </c>
      <c r="B946" s="2">
        <v>10135.0</v>
      </c>
      <c r="C946" s="2" t="s">
        <v>1097</v>
      </c>
      <c r="D946" s="2">
        <v>1.25</v>
      </c>
      <c r="E946" s="2">
        <v>2109.0</v>
      </c>
      <c r="F946" s="2">
        <v>2278.1</v>
      </c>
      <c r="G946" s="4">
        <f t="shared" si="3"/>
        <v>7404403.23</v>
      </c>
      <c r="H946" s="4">
        <f t="shared" si="1"/>
        <v>0.7757836279</v>
      </c>
      <c r="I946" s="4" t="str">
        <f t="shared" si="2"/>
        <v>A</v>
      </c>
    </row>
    <row r="947">
      <c r="A947" s="2">
        <v>946.0</v>
      </c>
      <c r="B947" s="2">
        <v>21506.0</v>
      </c>
      <c r="C947" s="2" t="s">
        <v>1098</v>
      </c>
      <c r="D947" s="2">
        <v>0.42</v>
      </c>
      <c r="E947" s="2">
        <v>5463.0</v>
      </c>
      <c r="F947" s="2">
        <v>2277.32</v>
      </c>
      <c r="G947" s="4">
        <f t="shared" si="3"/>
        <v>7406680.55</v>
      </c>
      <c r="H947" s="4">
        <f t="shared" si="1"/>
        <v>0.7760222302</v>
      </c>
      <c r="I947" s="4" t="str">
        <f t="shared" si="2"/>
        <v>A</v>
      </c>
    </row>
    <row r="948">
      <c r="A948" s="2">
        <v>947.0</v>
      </c>
      <c r="B948" s="2">
        <v>22601.0</v>
      </c>
      <c r="C948" s="2" t="s">
        <v>1099</v>
      </c>
      <c r="D948" s="2">
        <v>0.85</v>
      </c>
      <c r="E948" s="2">
        <v>2626.0</v>
      </c>
      <c r="F948" s="2">
        <v>2274.87</v>
      </c>
      <c r="G948" s="4">
        <f t="shared" si="3"/>
        <v>7408955.42</v>
      </c>
      <c r="H948" s="4">
        <f t="shared" si="1"/>
        <v>0.7762605758</v>
      </c>
      <c r="I948" s="4" t="str">
        <f t="shared" si="2"/>
        <v>A</v>
      </c>
    </row>
    <row r="949">
      <c r="A949" s="2">
        <v>948.0</v>
      </c>
      <c r="B949" s="2">
        <v>22691.0</v>
      </c>
      <c r="C949" s="2" t="s">
        <v>1100</v>
      </c>
      <c r="D949" s="2">
        <v>7.95</v>
      </c>
      <c r="E949" s="2">
        <v>308.0</v>
      </c>
      <c r="F949" s="2">
        <v>2274.5</v>
      </c>
      <c r="G949" s="4">
        <f t="shared" si="3"/>
        <v>7411229.92</v>
      </c>
      <c r="H949" s="4">
        <f t="shared" si="1"/>
        <v>0.7764988826</v>
      </c>
      <c r="I949" s="4" t="str">
        <f t="shared" si="2"/>
        <v>A</v>
      </c>
    </row>
    <row r="950">
      <c r="A950" s="2">
        <v>949.0</v>
      </c>
      <c r="B950" s="2">
        <v>22743.0</v>
      </c>
      <c r="C950" s="2" t="s">
        <v>1101</v>
      </c>
      <c r="D950" s="2">
        <v>2.95</v>
      </c>
      <c r="E950" s="2">
        <v>752.0</v>
      </c>
      <c r="F950" s="2">
        <v>2272.73</v>
      </c>
      <c r="G950" s="4">
        <f t="shared" si="3"/>
        <v>7413502.65</v>
      </c>
      <c r="H950" s="4">
        <f t="shared" si="1"/>
        <v>0.776737004</v>
      </c>
      <c r="I950" s="4" t="str">
        <f t="shared" si="2"/>
        <v>A</v>
      </c>
    </row>
    <row r="951">
      <c r="A951" s="2">
        <v>950.0</v>
      </c>
      <c r="B951" s="2">
        <v>23168.0</v>
      </c>
      <c r="C951" s="2" t="s">
        <v>1102</v>
      </c>
      <c r="D951" s="2">
        <v>1.25</v>
      </c>
      <c r="E951" s="2">
        <v>1640.0</v>
      </c>
      <c r="F951" s="2">
        <v>2272.46</v>
      </c>
      <c r="G951" s="4">
        <f t="shared" si="3"/>
        <v>7415775.11</v>
      </c>
      <c r="H951" s="4">
        <f t="shared" si="1"/>
        <v>0.7769750971</v>
      </c>
      <c r="I951" s="4" t="str">
        <f t="shared" si="2"/>
        <v>A</v>
      </c>
    </row>
    <row r="952">
      <c r="A952" s="2">
        <v>951.0</v>
      </c>
      <c r="B952" s="2" t="s">
        <v>1103</v>
      </c>
      <c r="C952" s="2" t="s">
        <v>1104</v>
      </c>
      <c r="D952" s="2">
        <v>2.95</v>
      </c>
      <c r="E952" s="2">
        <v>796.0</v>
      </c>
      <c r="F952" s="2">
        <v>2272.45</v>
      </c>
      <c r="G952" s="4">
        <f t="shared" si="3"/>
        <v>7418047.56</v>
      </c>
      <c r="H952" s="4">
        <f t="shared" si="1"/>
        <v>0.7772131891</v>
      </c>
      <c r="I952" s="4" t="str">
        <f t="shared" si="2"/>
        <v>A</v>
      </c>
    </row>
    <row r="953">
      <c r="A953" s="2">
        <v>952.0</v>
      </c>
      <c r="B953" s="2">
        <v>21990.0</v>
      </c>
      <c r="C953" s="2" t="s">
        <v>1105</v>
      </c>
      <c r="D953" s="2">
        <v>2.46</v>
      </c>
      <c r="E953" s="2">
        <v>1230.0</v>
      </c>
      <c r="F953" s="2">
        <v>2270.5</v>
      </c>
      <c r="G953" s="4">
        <f t="shared" si="3"/>
        <v>7420318.06</v>
      </c>
      <c r="H953" s="4">
        <f t="shared" si="1"/>
        <v>0.7774510769</v>
      </c>
      <c r="I953" s="4" t="str">
        <f t="shared" si="2"/>
        <v>A</v>
      </c>
    </row>
    <row r="954">
      <c r="A954" s="2">
        <v>953.0</v>
      </c>
      <c r="B954" s="2">
        <v>23404.0</v>
      </c>
      <c r="C954" s="2" t="s">
        <v>1106</v>
      </c>
      <c r="D954" s="2">
        <v>4.95</v>
      </c>
      <c r="E954" s="2">
        <v>502.0</v>
      </c>
      <c r="F954" s="2">
        <v>2266.03</v>
      </c>
      <c r="G954" s="4">
        <f t="shared" si="3"/>
        <v>7422584.09</v>
      </c>
      <c r="H954" s="4">
        <f t="shared" si="1"/>
        <v>0.7776884963</v>
      </c>
      <c r="I954" s="4" t="str">
        <f t="shared" si="2"/>
        <v>A</v>
      </c>
    </row>
    <row r="955">
      <c r="A955" s="2">
        <v>954.0</v>
      </c>
      <c r="B955" s="2">
        <v>22736.0</v>
      </c>
      <c r="C955" s="2" t="s">
        <v>1107</v>
      </c>
      <c r="D955" s="2">
        <v>1.65</v>
      </c>
      <c r="E955" s="2">
        <v>1261.0</v>
      </c>
      <c r="F955" s="2">
        <v>2265.02</v>
      </c>
      <c r="G955" s="4">
        <f t="shared" si="3"/>
        <v>7424849.11</v>
      </c>
      <c r="H955" s="4">
        <f t="shared" si="1"/>
        <v>0.7779258099</v>
      </c>
      <c r="I955" s="4" t="str">
        <f t="shared" si="2"/>
        <v>A</v>
      </c>
    </row>
    <row r="956">
      <c r="A956" s="2">
        <v>955.0</v>
      </c>
      <c r="B956" s="2">
        <v>22908.0</v>
      </c>
      <c r="C956" s="2" t="s">
        <v>1108</v>
      </c>
      <c r="D956" s="2">
        <v>0.85</v>
      </c>
      <c r="E956" s="2">
        <v>2808.0</v>
      </c>
      <c r="F956" s="2">
        <v>2264.98</v>
      </c>
      <c r="G956" s="4">
        <f t="shared" si="3"/>
        <v>7427114.09</v>
      </c>
      <c r="H956" s="4">
        <f t="shared" si="1"/>
        <v>0.7781631192</v>
      </c>
      <c r="I956" s="4" t="str">
        <f t="shared" si="2"/>
        <v>A</v>
      </c>
    </row>
    <row r="957">
      <c r="A957" s="2">
        <v>956.0</v>
      </c>
      <c r="B957" s="2">
        <v>21564.0</v>
      </c>
      <c r="C957" s="2" t="s">
        <v>1109</v>
      </c>
      <c r="D957" s="2">
        <v>2.95</v>
      </c>
      <c r="E957" s="2">
        <v>976.0</v>
      </c>
      <c r="F957" s="2">
        <v>2262.25</v>
      </c>
      <c r="G957" s="4">
        <f t="shared" si="3"/>
        <v>7429376.34</v>
      </c>
      <c r="H957" s="4">
        <f t="shared" si="1"/>
        <v>0.7784001426</v>
      </c>
      <c r="I957" s="4" t="str">
        <f t="shared" si="2"/>
        <v>A</v>
      </c>
    </row>
    <row r="958">
      <c r="A958" s="2">
        <v>957.0</v>
      </c>
      <c r="B958" s="2">
        <v>21614.0</v>
      </c>
      <c r="C958" s="2" t="s">
        <v>1110</v>
      </c>
      <c r="D958" s="2">
        <v>2.95</v>
      </c>
      <c r="E958" s="2">
        <v>811.0</v>
      </c>
      <c r="F958" s="2">
        <v>2261.71</v>
      </c>
      <c r="G958" s="4">
        <f t="shared" si="3"/>
        <v>7431638.05</v>
      </c>
      <c r="H958" s="4">
        <f t="shared" si="1"/>
        <v>0.7786371094</v>
      </c>
      <c r="I958" s="4" t="str">
        <f t="shared" si="2"/>
        <v>A</v>
      </c>
    </row>
    <row r="959">
      <c r="A959" s="2">
        <v>958.0</v>
      </c>
      <c r="B959" s="2">
        <v>22564.0</v>
      </c>
      <c r="C959" s="2" t="s">
        <v>1111</v>
      </c>
      <c r="D959" s="2">
        <v>1.25</v>
      </c>
      <c r="E959" s="2">
        <v>1952.0</v>
      </c>
      <c r="F959" s="2">
        <v>2258.29</v>
      </c>
      <c r="G959" s="4">
        <f t="shared" si="3"/>
        <v>7433896.34</v>
      </c>
      <c r="H959" s="4">
        <f t="shared" si="1"/>
        <v>0.7788737178</v>
      </c>
      <c r="I959" s="4" t="str">
        <f t="shared" si="2"/>
        <v>A</v>
      </c>
    </row>
    <row r="960">
      <c r="A960" s="2">
        <v>959.0</v>
      </c>
      <c r="B960" s="2">
        <v>37447.0</v>
      </c>
      <c r="C960" s="2" t="s">
        <v>1112</v>
      </c>
      <c r="D960" s="2">
        <v>1.49</v>
      </c>
      <c r="E960" s="2">
        <v>1436.0</v>
      </c>
      <c r="F960" s="2">
        <v>2257.02</v>
      </c>
      <c r="G960" s="4">
        <f t="shared" si="3"/>
        <v>7436153.36</v>
      </c>
      <c r="H960" s="4">
        <f t="shared" si="1"/>
        <v>0.7791101932</v>
      </c>
      <c r="I960" s="4" t="str">
        <f t="shared" si="2"/>
        <v>A</v>
      </c>
    </row>
    <row r="961">
      <c r="A961" s="2">
        <v>960.0</v>
      </c>
      <c r="B961" s="2" t="s">
        <v>1113</v>
      </c>
      <c r="C961" s="2" t="s">
        <v>1114</v>
      </c>
      <c r="D961" s="2">
        <v>0.83</v>
      </c>
      <c r="E961" s="2">
        <v>3324.0</v>
      </c>
      <c r="F961" s="2">
        <v>2257.01</v>
      </c>
      <c r="G961" s="4">
        <f t="shared" si="3"/>
        <v>7438410.37</v>
      </c>
      <c r="H961" s="4">
        <f t="shared" si="1"/>
        <v>0.7793466676</v>
      </c>
      <c r="I961" s="4" t="str">
        <f t="shared" si="2"/>
        <v>A</v>
      </c>
    </row>
    <row r="962">
      <c r="A962" s="2">
        <v>961.0</v>
      </c>
      <c r="B962" s="2">
        <v>22747.0</v>
      </c>
      <c r="C962" s="2" t="s">
        <v>1115</v>
      </c>
      <c r="D962" s="2">
        <v>2.1</v>
      </c>
      <c r="E962" s="2">
        <v>1020.0</v>
      </c>
      <c r="F962" s="2">
        <v>2249.9</v>
      </c>
      <c r="G962" s="4">
        <f t="shared" si="3"/>
        <v>7440660.27</v>
      </c>
      <c r="H962" s="4">
        <f t="shared" si="1"/>
        <v>0.779582397</v>
      </c>
      <c r="I962" s="4" t="str">
        <f t="shared" si="2"/>
        <v>A</v>
      </c>
    </row>
    <row r="963">
      <c r="A963" s="2">
        <v>962.0</v>
      </c>
      <c r="B963" s="2">
        <v>22760.0</v>
      </c>
      <c r="C963" s="2" t="s">
        <v>1116</v>
      </c>
      <c r="D963" s="2">
        <v>12.75</v>
      </c>
      <c r="E963" s="2">
        <v>178.0</v>
      </c>
      <c r="F963" s="2">
        <v>2247.07</v>
      </c>
      <c r="G963" s="4">
        <f t="shared" si="3"/>
        <v>7442907.34</v>
      </c>
      <c r="H963" s="4">
        <f t="shared" si="1"/>
        <v>0.7798178299</v>
      </c>
      <c r="I963" s="4" t="str">
        <f t="shared" si="2"/>
        <v>A</v>
      </c>
    </row>
    <row r="964">
      <c r="A964" s="2">
        <v>963.0</v>
      </c>
      <c r="B964" s="2">
        <v>23309.0</v>
      </c>
      <c r="C964" s="2" t="s">
        <v>1117</v>
      </c>
      <c r="D964" s="2">
        <v>0.55</v>
      </c>
      <c r="E964" s="2">
        <v>4130.0</v>
      </c>
      <c r="F964" s="2">
        <v>2243.8</v>
      </c>
      <c r="G964" s="4">
        <f t="shared" si="3"/>
        <v>7445151.14</v>
      </c>
      <c r="H964" s="4">
        <f t="shared" si="1"/>
        <v>0.7800529202</v>
      </c>
      <c r="I964" s="4" t="str">
        <f t="shared" si="2"/>
        <v>A</v>
      </c>
    </row>
    <row r="965">
      <c r="A965" s="2">
        <v>964.0</v>
      </c>
      <c r="B965" s="2">
        <v>22451.0</v>
      </c>
      <c r="C965" s="2" t="s">
        <v>1118</v>
      </c>
      <c r="D965" s="2">
        <v>3.35</v>
      </c>
      <c r="E965" s="2">
        <v>668.0</v>
      </c>
      <c r="F965" s="2">
        <v>2243.47</v>
      </c>
      <c r="G965" s="4">
        <f t="shared" si="3"/>
        <v>7447394.61</v>
      </c>
      <c r="H965" s="4">
        <f t="shared" si="1"/>
        <v>0.7802879759</v>
      </c>
      <c r="I965" s="4" t="str">
        <f t="shared" si="2"/>
        <v>A</v>
      </c>
    </row>
    <row r="966">
      <c r="A966" s="2">
        <v>965.0</v>
      </c>
      <c r="B966" s="2">
        <v>21109.0</v>
      </c>
      <c r="C966" s="2" t="s">
        <v>1119</v>
      </c>
      <c r="D966" s="2">
        <v>6.75</v>
      </c>
      <c r="E966" s="2">
        <v>588.0</v>
      </c>
      <c r="F966" s="2">
        <v>2242.59</v>
      </c>
      <c r="G966" s="4">
        <f t="shared" si="3"/>
        <v>7449637.2</v>
      </c>
      <c r="H966" s="4">
        <f t="shared" si="1"/>
        <v>0.7805229394</v>
      </c>
      <c r="I966" s="4" t="str">
        <f t="shared" si="2"/>
        <v>A</v>
      </c>
    </row>
    <row r="967">
      <c r="A967" s="2">
        <v>966.0</v>
      </c>
      <c r="B967" s="2">
        <v>23530.0</v>
      </c>
      <c r="C967" s="2" t="s">
        <v>1120</v>
      </c>
      <c r="D967" s="2">
        <v>4.95</v>
      </c>
      <c r="E967" s="2">
        <v>531.0</v>
      </c>
      <c r="F967" s="2">
        <v>2232.98</v>
      </c>
      <c r="G967" s="4">
        <f t="shared" si="3"/>
        <v>7451870.18</v>
      </c>
      <c r="H967" s="4">
        <f t="shared" si="1"/>
        <v>0.780756896</v>
      </c>
      <c r="I967" s="4" t="str">
        <f t="shared" si="2"/>
        <v>A</v>
      </c>
    </row>
    <row r="968">
      <c r="A968" s="2">
        <v>967.0</v>
      </c>
      <c r="B968" s="2">
        <v>23275.0</v>
      </c>
      <c r="C968" s="2" t="s">
        <v>1121</v>
      </c>
      <c r="D968" s="2">
        <v>1.25</v>
      </c>
      <c r="E968" s="2">
        <v>1836.0</v>
      </c>
      <c r="F968" s="2">
        <v>2231.48</v>
      </c>
      <c r="G968" s="4">
        <f t="shared" si="3"/>
        <v>7454101.66</v>
      </c>
      <c r="H968" s="4">
        <f t="shared" si="1"/>
        <v>0.7809906955</v>
      </c>
      <c r="I968" s="4" t="str">
        <f t="shared" si="2"/>
        <v>A</v>
      </c>
    </row>
    <row r="969">
      <c r="A969" s="2">
        <v>968.0</v>
      </c>
      <c r="B969" s="2">
        <v>21864.0</v>
      </c>
      <c r="C969" s="2" t="s">
        <v>1122</v>
      </c>
      <c r="D969" s="2">
        <v>2.1</v>
      </c>
      <c r="E969" s="2">
        <v>929.0</v>
      </c>
      <c r="F969" s="2">
        <v>2221.02</v>
      </c>
      <c r="G969" s="4">
        <f t="shared" si="3"/>
        <v>7456322.68</v>
      </c>
      <c r="H969" s="4">
        <f t="shared" si="1"/>
        <v>0.7812233991</v>
      </c>
      <c r="I969" s="4" t="str">
        <f t="shared" si="2"/>
        <v>A</v>
      </c>
    </row>
    <row r="970">
      <c r="A970" s="2">
        <v>969.0</v>
      </c>
      <c r="B970" s="2" t="s">
        <v>1123</v>
      </c>
      <c r="C970" s="2" t="s">
        <v>1124</v>
      </c>
      <c r="D970" s="2">
        <v>12.75</v>
      </c>
      <c r="E970" s="2">
        <v>192.0</v>
      </c>
      <c r="F970" s="2">
        <v>2219.74</v>
      </c>
      <c r="G970" s="4">
        <f t="shared" si="3"/>
        <v>7458542.42</v>
      </c>
      <c r="H970" s="4">
        <f t="shared" si="1"/>
        <v>0.7814559685</v>
      </c>
      <c r="I970" s="4" t="str">
        <f t="shared" si="2"/>
        <v>A</v>
      </c>
    </row>
    <row r="971">
      <c r="A971" s="2">
        <v>970.0</v>
      </c>
      <c r="B971" s="2">
        <v>23288.0</v>
      </c>
      <c r="C971" s="2" t="s">
        <v>1125</v>
      </c>
      <c r="D971" s="2">
        <v>0.85</v>
      </c>
      <c r="E971" s="2">
        <v>2304.0</v>
      </c>
      <c r="F971" s="2">
        <v>2215.32</v>
      </c>
      <c r="G971" s="4">
        <f t="shared" si="3"/>
        <v>7460757.74</v>
      </c>
      <c r="H971" s="4">
        <f t="shared" si="1"/>
        <v>0.7816880749</v>
      </c>
      <c r="I971" s="4" t="str">
        <f t="shared" si="2"/>
        <v>A</v>
      </c>
    </row>
    <row r="972">
      <c r="A972" s="2">
        <v>971.0</v>
      </c>
      <c r="B972" s="2">
        <v>23112.0</v>
      </c>
      <c r="C972" s="2" t="s">
        <v>1126</v>
      </c>
      <c r="D972" s="2">
        <v>7.5</v>
      </c>
      <c r="E972" s="2">
        <v>267.0</v>
      </c>
      <c r="F972" s="2">
        <v>2208.54</v>
      </c>
      <c r="G972" s="4">
        <f t="shared" si="3"/>
        <v>7462966.28</v>
      </c>
      <c r="H972" s="4">
        <f t="shared" si="1"/>
        <v>0.7819194709</v>
      </c>
      <c r="I972" s="4" t="str">
        <f t="shared" si="2"/>
        <v>A</v>
      </c>
    </row>
    <row r="973">
      <c r="A973" s="2">
        <v>972.0</v>
      </c>
      <c r="B973" s="2">
        <v>23163.0</v>
      </c>
      <c r="C973" s="2" t="s">
        <v>1127</v>
      </c>
      <c r="D973" s="2">
        <v>2.49</v>
      </c>
      <c r="E973" s="2">
        <v>892.0</v>
      </c>
      <c r="F973" s="2">
        <v>2207.69</v>
      </c>
      <c r="G973" s="4">
        <f t="shared" si="3"/>
        <v>7465173.97</v>
      </c>
      <c r="H973" s="4">
        <f t="shared" si="1"/>
        <v>0.7821507778</v>
      </c>
      <c r="I973" s="4" t="str">
        <f t="shared" si="2"/>
        <v>A</v>
      </c>
    </row>
    <row r="974">
      <c r="A974" s="2">
        <v>973.0</v>
      </c>
      <c r="B974" s="2">
        <v>22574.0</v>
      </c>
      <c r="C974" s="2" t="s">
        <v>1128</v>
      </c>
      <c r="D974" s="2">
        <v>0.85</v>
      </c>
      <c r="E974" s="2">
        <v>2395.0</v>
      </c>
      <c r="F974" s="2">
        <v>2206.36</v>
      </c>
      <c r="G974" s="4">
        <f t="shared" si="3"/>
        <v>7467380.33</v>
      </c>
      <c r="H974" s="4">
        <f t="shared" si="1"/>
        <v>0.7823819454</v>
      </c>
      <c r="I974" s="4" t="str">
        <f t="shared" si="2"/>
        <v>A</v>
      </c>
    </row>
    <row r="975">
      <c r="A975" s="2">
        <v>974.0</v>
      </c>
      <c r="B975" s="2">
        <v>22548.0</v>
      </c>
      <c r="C975" s="2" t="s">
        <v>1129</v>
      </c>
      <c r="D975" s="2">
        <v>1.25</v>
      </c>
      <c r="E975" s="2">
        <v>1766.0</v>
      </c>
      <c r="F975" s="2">
        <v>2205.91</v>
      </c>
      <c r="G975" s="4">
        <f t="shared" si="3"/>
        <v>7469586.24</v>
      </c>
      <c r="H975" s="4">
        <f t="shared" si="1"/>
        <v>0.7826130658</v>
      </c>
      <c r="I975" s="4" t="str">
        <f t="shared" si="2"/>
        <v>A</v>
      </c>
    </row>
    <row r="976">
      <c r="A976" s="2">
        <v>975.0</v>
      </c>
      <c r="B976" s="2" t="s">
        <v>1130</v>
      </c>
      <c r="C976" s="2" t="s">
        <v>1131</v>
      </c>
      <c r="D976" s="2">
        <v>4.21</v>
      </c>
      <c r="E976" s="2">
        <v>550.0</v>
      </c>
      <c r="F976" s="2">
        <v>2204.96</v>
      </c>
      <c r="G976" s="4">
        <f t="shared" si="3"/>
        <v>7471791.2</v>
      </c>
      <c r="H976" s="4">
        <f t="shared" si="1"/>
        <v>0.7828440867</v>
      </c>
      <c r="I976" s="4" t="str">
        <f t="shared" si="2"/>
        <v>A</v>
      </c>
    </row>
    <row r="977">
      <c r="A977" s="2">
        <v>976.0</v>
      </c>
      <c r="B977" s="2">
        <v>22573.0</v>
      </c>
      <c r="C977" s="2" t="s">
        <v>1132</v>
      </c>
      <c r="D977" s="2">
        <v>0.85</v>
      </c>
      <c r="E977" s="2">
        <v>2456.0</v>
      </c>
      <c r="F977" s="2">
        <v>2204.04</v>
      </c>
      <c r="G977" s="4">
        <f t="shared" si="3"/>
        <v>7473995.24</v>
      </c>
      <c r="H977" s="4">
        <f t="shared" si="1"/>
        <v>0.7830750112</v>
      </c>
      <c r="I977" s="4" t="str">
        <f t="shared" si="2"/>
        <v>A</v>
      </c>
    </row>
    <row r="978">
      <c r="A978" s="2">
        <v>977.0</v>
      </c>
      <c r="B978" s="2">
        <v>21967.0</v>
      </c>
      <c r="C978" s="2" t="s">
        <v>1133</v>
      </c>
      <c r="D978" s="2">
        <v>0.29</v>
      </c>
      <c r="E978" s="2">
        <v>7834.0</v>
      </c>
      <c r="F978" s="2">
        <v>2203.23</v>
      </c>
      <c r="G978" s="4">
        <f t="shared" si="3"/>
        <v>7476198.47</v>
      </c>
      <c r="H978" s="4">
        <f t="shared" si="1"/>
        <v>0.7833058508</v>
      </c>
      <c r="I978" s="4" t="str">
        <f t="shared" si="2"/>
        <v>A</v>
      </c>
    </row>
    <row r="979">
      <c r="A979" s="2">
        <v>978.0</v>
      </c>
      <c r="B979" s="2" t="s">
        <v>1134</v>
      </c>
      <c r="C979" s="2" t="s">
        <v>1135</v>
      </c>
      <c r="D979" s="2">
        <v>3.75</v>
      </c>
      <c r="E979" s="2">
        <v>563.0</v>
      </c>
      <c r="F979" s="2">
        <v>2202.71</v>
      </c>
      <c r="G979" s="4">
        <f t="shared" si="3"/>
        <v>7478401.18</v>
      </c>
      <c r="H979" s="4">
        <f t="shared" si="1"/>
        <v>0.783536636</v>
      </c>
      <c r="I979" s="4" t="str">
        <f t="shared" si="2"/>
        <v>A</v>
      </c>
    </row>
    <row r="980">
      <c r="A980" s="2">
        <v>979.0</v>
      </c>
      <c r="B980" s="2">
        <v>22733.0</v>
      </c>
      <c r="C980" s="2" t="s">
        <v>1136</v>
      </c>
      <c r="D980" s="2">
        <v>1.25</v>
      </c>
      <c r="E980" s="2">
        <v>1712.0</v>
      </c>
      <c r="F980" s="2">
        <v>2202.12</v>
      </c>
      <c r="G980" s="4">
        <f t="shared" si="3"/>
        <v>7480603.3</v>
      </c>
      <c r="H980" s="4">
        <f t="shared" si="1"/>
        <v>0.7837673593</v>
      </c>
      <c r="I980" s="4" t="str">
        <f t="shared" si="2"/>
        <v>A</v>
      </c>
    </row>
    <row r="981">
      <c r="A981" s="2">
        <v>980.0</v>
      </c>
      <c r="B981" s="2">
        <v>22299.0</v>
      </c>
      <c r="C981" s="2" t="s">
        <v>1137</v>
      </c>
      <c r="D981" s="2">
        <v>1.25</v>
      </c>
      <c r="E981" s="2">
        <v>1944.0</v>
      </c>
      <c r="F981" s="2">
        <v>2201.04</v>
      </c>
      <c r="G981" s="4">
        <f t="shared" si="3"/>
        <v>7482804.34</v>
      </c>
      <c r="H981" s="4">
        <f t="shared" si="1"/>
        <v>0.7839979695</v>
      </c>
      <c r="I981" s="4" t="str">
        <f t="shared" si="2"/>
        <v>A</v>
      </c>
    </row>
    <row r="982">
      <c r="A982" s="2">
        <v>981.0</v>
      </c>
      <c r="B982" s="2">
        <v>21064.0</v>
      </c>
      <c r="C982" s="2" t="s">
        <v>1138</v>
      </c>
      <c r="D982" s="2">
        <v>5.95</v>
      </c>
      <c r="E982" s="2">
        <v>440.0</v>
      </c>
      <c r="F982" s="2">
        <v>2199.86</v>
      </c>
      <c r="G982" s="4">
        <f t="shared" si="3"/>
        <v>7485004.2</v>
      </c>
      <c r="H982" s="4">
        <f t="shared" si="1"/>
        <v>0.7842284561</v>
      </c>
      <c r="I982" s="4" t="str">
        <f t="shared" si="2"/>
        <v>A</v>
      </c>
    </row>
    <row r="983">
      <c r="A983" s="2">
        <v>982.0</v>
      </c>
      <c r="B983" s="2">
        <v>79341.0</v>
      </c>
      <c r="C983" s="2" t="s">
        <v>1139</v>
      </c>
      <c r="D983" s="2">
        <v>6.75</v>
      </c>
      <c r="E983" s="2">
        <v>360.0</v>
      </c>
      <c r="F983" s="2">
        <v>2194.97</v>
      </c>
      <c r="G983" s="4">
        <f t="shared" si="3"/>
        <v>7487199.17</v>
      </c>
      <c r="H983" s="4">
        <f t="shared" si="1"/>
        <v>0.7844584303</v>
      </c>
      <c r="I983" s="4" t="str">
        <f t="shared" si="2"/>
        <v>A</v>
      </c>
    </row>
    <row r="984">
      <c r="A984" s="2">
        <v>983.0</v>
      </c>
      <c r="B984" s="2">
        <v>22291.0</v>
      </c>
      <c r="C984" s="2" t="s">
        <v>1140</v>
      </c>
      <c r="D984" s="2">
        <v>1.45</v>
      </c>
      <c r="E984" s="2">
        <v>1588.0</v>
      </c>
      <c r="F984" s="2">
        <v>2193.42</v>
      </c>
      <c r="G984" s="4">
        <f t="shared" si="3"/>
        <v>7489392.59</v>
      </c>
      <c r="H984" s="4">
        <f t="shared" si="1"/>
        <v>0.7846882421</v>
      </c>
      <c r="I984" s="4" t="str">
        <f t="shared" si="2"/>
        <v>A</v>
      </c>
    </row>
    <row r="985">
      <c r="A985" s="2">
        <v>984.0</v>
      </c>
      <c r="B985" s="2">
        <v>22594.0</v>
      </c>
      <c r="C985" s="2" t="s">
        <v>1141</v>
      </c>
      <c r="D985" s="2">
        <v>0.85</v>
      </c>
      <c r="E985" s="2">
        <v>2397.0</v>
      </c>
      <c r="F985" s="2">
        <v>2189.94</v>
      </c>
      <c r="G985" s="4">
        <f t="shared" si="3"/>
        <v>7491582.53</v>
      </c>
      <c r="H985" s="4">
        <f t="shared" si="1"/>
        <v>0.7849176893</v>
      </c>
      <c r="I985" s="4" t="str">
        <f t="shared" si="2"/>
        <v>A</v>
      </c>
    </row>
    <row r="986">
      <c r="A986" s="2">
        <v>985.0</v>
      </c>
      <c r="B986" s="2">
        <v>20674.0</v>
      </c>
      <c r="C986" s="2" t="s">
        <v>1142</v>
      </c>
      <c r="D986" s="2">
        <v>1.25</v>
      </c>
      <c r="E986" s="2">
        <v>1714.0</v>
      </c>
      <c r="F986" s="2">
        <v>2184.89</v>
      </c>
      <c r="G986" s="4">
        <f t="shared" si="3"/>
        <v>7493767.42</v>
      </c>
      <c r="H986" s="4">
        <f t="shared" si="1"/>
        <v>0.7851466074</v>
      </c>
      <c r="I986" s="4" t="str">
        <f t="shared" si="2"/>
        <v>A</v>
      </c>
    </row>
    <row r="987">
      <c r="A987" s="2">
        <v>986.0</v>
      </c>
      <c r="B987" s="2">
        <v>85053.0</v>
      </c>
      <c r="C987" s="2" t="s">
        <v>1143</v>
      </c>
      <c r="D987" s="2">
        <v>2.1</v>
      </c>
      <c r="E987" s="2">
        <v>1016.0</v>
      </c>
      <c r="F987" s="2">
        <v>2182.69</v>
      </c>
      <c r="G987" s="4">
        <f t="shared" si="3"/>
        <v>7495950.11</v>
      </c>
      <c r="H987" s="4">
        <f t="shared" si="1"/>
        <v>0.785375295</v>
      </c>
      <c r="I987" s="4" t="str">
        <f t="shared" si="2"/>
        <v>A</v>
      </c>
    </row>
    <row r="988">
      <c r="A988" s="2">
        <v>987.0</v>
      </c>
      <c r="B988" s="2">
        <v>21537.0</v>
      </c>
      <c r="C988" s="2" t="s">
        <v>1144</v>
      </c>
      <c r="D988" s="2">
        <v>4.25</v>
      </c>
      <c r="E988" s="2">
        <v>504.0</v>
      </c>
      <c r="F988" s="2">
        <v>2173.6</v>
      </c>
      <c r="G988" s="4">
        <f t="shared" si="3"/>
        <v>7498123.71</v>
      </c>
      <c r="H988" s="4">
        <f t="shared" si="1"/>
        <v>0.7856030302</v>
      </c>
      <c r="I988" s="4" t="str">
        <f t="shared" si="2"/>
        <v>A</v>
      </c>
    </row>
    <row r="989">
      <c r="A989" s="2">
        <v>988.0</v>
      </c>
      <c r="B989" s="2">
        <v>22449.0</v>
      </c>
      <c r="C989" s="2" t="s">
        <v>1145</v>
      </c>
      <c r="D989" s="2">
        <v>3.35</v>
      </c>
      <c r="E989" s="2">
        <v>657.0</v>
      </c>
      <c r="F989" s="2">
        <v>2172.15</v>
      </c>
      <c r="G989" s="4">
        <f t="shared" si="3"/>
        <v>7500295.86</v>
      </c>
      <c r="H989" s="4">
        <f t="shared" si="1"/>
        <v>0.7858306135</v>
      </c>
      <c r="I989" s="4" t="str">
        <f t="shared" si="2"/>
        <v>A</v>
      </c>
    </row>
    <row r="990">
      <c r="A990" s="2">
        <v>989.0</v>
      </c>
      <c r="B990" s="2">
        <v>21810.0</v>
      </c>
      <c r="C990" s="2" t="s">
        <v>1146</v>
      </c>
      <c r="D990" s="2">
        <v>0.83</v>
      </c>
      <c r="E990" s="2">
        <v>3502.0</v>
      </c>
      <c r="F990" s="2">
        <v>2170.8</v>
      </c>
      <c r="G990" s="4">
        <f t="shared" si="3"/>
        <v>7502466.66</v>
      </c>
      <c r="H990" s="4">
        <f t="shared" si="1"/>
        <v>0.7860580553</v>
      </c>
      <c r="I990" s="4" t="str">
        <f t="shared" si="2"/>
        <v>A</v>
      </c>
    </row>
    <row r="991">
      <c r="A991" s="2">
        <v>990.0</v>
      </c>
      <c r="B991" s="2">
        <v>23349.0</v>
      </c>
      <c r="C991" s="2" t="s">
        <v>1147</v>
      </c>
      <c r="D991" s="2">
        <v>1.25</v>
      </c>
      <c r="E991" s="2">
        <v>1610.0</v>
      </c>
      <c r="F991" s="2">
        <v>2170.05</v>
      </c>
      <c r="G991" s="4">
        <f t="shared" si="3"/>
        <v>7504636.71</v>
      </c>
      <c r="H991" s="4">
        <f t="shared" si="1"/>
        <v>0.7862854186</v>
      </c>
      <c r="I991" s="4" t="str">
        <f t="shared" si="2"/>
        <v>A</v>
      </c>
    </row>
    <row r="992">
      <c r="A992" s="2">
        <v>991.0</v>
      </c>
      <c r="B992" s="2">
        <v>79320.0</v>
      </c>
      <c r="C992" s="2" t="s">
        <v>1148</v>
      </c>
      <c r="D992" s="2">
        <v>4.95</v>
      </c>
      <c r="E992" s="2">
        <v>450.0</v>
      </c>
      <c r="F992" s="2">
        <v>2168.79</v>
      </c>
      <c r="G992" s="4">
        <f t="shared" si="3"/>
        <v>7506805.5</v>
      </c>
      <c r="H992" s="4">
        <f t="shared" si="1"/>
        <v>0.7865126498</v>
      </c>
      <c r="I992" s="4" t="str">
        <f t="shared" si="2"/>
        <v>A</v>
      </c>
    </row>
    <row r="993">
      <c r="A993" s="2">
        <v>992.0</v>
      </c>
      <c r="B993" s="2">
        <v>22227.0</v>
      </c>
      <c r="C993" s="2" t="s">
        <v>1149</v>
      </c>
      <c r="D993" s="2">
        <v>0.65</v>
      </c>
      <c r="E993" s="2">
        <v>3004.0</v>
      </c>
      <c r="F993" s="2">
        <v>2168.18</v>
      </c>
      <c r="G993" s="4">
        <f t="shared" si="3"/>
        <v>7508973.68</v>
      </c>
      <c r="H993" s="4">
        <f t="shared" si="1"/>
        <v>0.7867398172</v>
      </c>
      <c r="I993" s="4" t="str">
        <f t="shared" si="2"/>
        <v>A</v>
      </c>
    </row>
    <row r="994">
      <c r="A994" s="2">
        <v>993.0</v>
      </c>
      <c r="B994" s="2">
        <v>21899.0</v>
      </c>
      <c r="C994" s="2" t="s">
        <v>1150</v>
      </c>
      <c r="D994" s="2">
        <v>0.65</v>
      </c>
      <c r="E994" s="2">
        <v>3348.0</v>
      </c>
      <c r="F994" s="2">
        <v>2168.06</v>
      </c>
      <c r="G994" s="4">
        <f t="shared" si="3"/>
        <v>7511141.74</v>
      </c>
      <c r="H994" s="4">
        <f t="shared" si="1"/>
        <v>0.7869669719</v>
      </c>
      <c r="I994" s="4" t="str">
        <f t="shared" si="2"/>
        <v>A</v>
      </c>
    </row>
    <row r="995">
      <c r="A995" s="2">
        <v>994.0</v>
      </c>
      <c r="B995" s="2">
        <v>15039.0</v>
      </c>
      <c r="C995" s="2" t="s">
        <v>1151</v>
      </c>
      <c r="D995" s="2">
        <v>0.85</v>
      </c>
      <c r="E995" s="2">
        <v>2542.0</v>
      </c>
      <c r="F995" s="2">
        <v>2165.16</v>
      </c>
      <c r="G995" s="4">
        <f t="shared" si="3"/>
        <v>7513306.9</v>
      </c>
      <c r="H995" s="4">
        <f t="shared" si="1"/>
        <v>0.7871938228</v>
      </c>
      <c r="I995" s="4" t="str">
        <f t="shared" si="2"/>
        <v>A</v>
      </c>
    </row>
    <row r="996">
      <c r="A996" s="2">
        <v>995.0</v>
      </c>
      <c r="B996" s="2">
        <v>22611.0</v>
      </c>
      <c r="C996" s="2" t="s">
        <v>1152</v>
      </c>
      <c r="D996" s="2">
        <v>4.95</v>
      </c>
      <c r="E996" s="2">
        <v>452.0</v>
      </c>
      <c r="F996" s="2">
        <v>2164.37</v>
      </c>
      <c r="G996" s="4">
        <f t="shared" si="3"/>
        <v>7515471.27</v>
      </c>
      <c r="H996" s="4">
        <f t="shared" si="1"/>
        <v>0.787420591</v>
      </c>
      <c r="I996" s="4" t="str">
        <f t="shared" si="2"/>
        <v>A</v>
      </c>
    </row>
    <row r="997">
      <c r="A997" s="2">
        <v>996.0</v>
      </c>
      <c r="B997" s="2" t="s">
        <v>1153</v>
      </c>
      <c r="C997" s="2" t="s">
        <v>1154</v>
      </c>
      <c r="D997" s="2">
        <v>8.29</v>
      </c>
      <c r="E997" s="2">
        <v>257.0</v>
      </c>
      <c r="F997" s="2">
        <v>2161.28</v>
      </c>
      <c r="G997" s="4">
        <f t="shared" si="3"/>
        <v>7517632.55</v>
      </c>
      <c r="H997" s="4">
        <f t="shared" si="1"/>
        <v>0.7876470354</v>
      </c>
      <c r="I997" s="4" t="str">
        <f t="shared" si="2"/>
        <v>A</v>
      </c>
    </row>
    <row r="998">
      <c r="A998" s="2">
        <v>997.0</v>
      </c>
      <c r="B998" s="2">
        <v>22202.0</v>
      </c>
      <c r="C998" s="2" t="s">
        <v>1155</v>
      </c>
      <c r="D998" s="2">
        <v>3.75</v>
      </c>
      <c r="E998" s="2">
        <v>534.0</v>
      </c>
      <c r="F998" s="2">
        <v>2156.88</v>
      </c>
      <c r="G998" s="4">
        <f t="shared" si="3"/>
        <v>7519789.43</v>
      </c>
      <c r="H998" s="4">
        <f t="shared" si="1"/>
        <v>0.7878730188</v>
      </c>
      <c r="I998" s="4" t="str">
        <f t="shared" si="2"/>
        <v>A</v>
      </c>
    </row>
    <row r="999">
      <c r="A999" s="2">
        <v>998.0</v>
      </c>
      <c r="B999" s="2">
        <v>21913.0</v>
      </c>
      <c r="C999" s="2" t="s">
        <v>1156</v>
      </c>
      <c r="D999" s="2">
        <v>3.75</v>
      </c>
      <c r="E999" s="2">
        <v>564.0</v>
      </c>
      <c r="F999" s="2">
        <v>2151.24</v>
      </c>
      <c r="G999" s="4">
        <f t="shared" si="3"/>
        <v>7521940.67</v>
      </c>
      <c r="H999" s="4">
        <f t="shared" si="1"/>
        <v>0.7880984113</v>
      </c>
      <c r="I999" s="4" t="str">
        <f t="shared" si="2"/>
        <v>A</v>
      </c>
    </row>
    <row r="1000">
      <c r="A1000" s="2">
        <v>999.0</v>
      </c>
      <c r="B1000" s="2">
        <v>21012.0</v>
      </c>
      <c r="C1000" s="2" t="s">
        <v>1157</v>
      </c>
      <c r="D1000" s="2">
        <v>2.46</v>
      </c>
      <c r="E1000" s="2">
        <v>1150.0</v>
      </c>
      <c r="F1000" s="2">
        <v>2150.0</v>
      </c>
      <c r="G1000" s="4">
        <f t="shared" si="3"/>
        <v>7524090.67</v>
      </c>
      <c r="H1000" s="4">
        <f t="shared" si="1"/>
        <v>0.7883236738</v>
      </c>
      <c r="I1000" s="4" t="str">
        <f t="shared" si="2"/>
        <v>A</v>
      </c>
    </row>
    <row r="1001">
      <c r="A1001" s="2">
        <v>1000.0</v>
      </c>
      <c r="B1001" s="2">
        <v>21153.0</v>
      </c>
      <c r="C1001" s="2" t="s">
        <v>1158</v>
      </c>
      <c r="D1001" s="2">
        <v>10.65</v>
      </c>
      <c r="E1001" s="2">
        <v>196.0</v>
      </c>
      <c r="F1001" s="2">
        <v>2147.35</v>
      </c>
      <c r="G1001" s="4">
        <f t="shared" si="3"/>
        <v>7526238.02</v>
      </c>
      <c r="H1001" s="4">
        <f t="shared" si="1"/>
        <v>0.7885486587</v>
      </c>
      <c r="I1001" s="4" t="str">
        <f t="shared" si="2"/>
        <v>A</v>
      </c>
    </row>
    <row r="1002">
      <c r="A1002" s="2">
        <v>1001.0</v>
      </c>
      <c r="B1002" s="2">
        <v>21245.0</v>
      </c>
      <c r="C1002" s="2" t="s">
        <v>1159</v>
      </c>
      <c r="D1002" s="2">
        <v>1.69</v>
      </c>
      <c r="E1002" s="2">
        <v>1290.0</v>
      </c>
      <c r="F1002" s="2">
        <v>2144.32</v>
      </c>
      <c r="G1002" s="4">
        <f t="shared" si="3"/>
        <v>7528382.34</v>
      </c>
      <c r="H1002" s="4">
        <f t="shared" si="1"/>
        <v>0.7887733262</v>
      </c>
      <c r="I1002" s="4" t="str">
        <f t="shared" si="2"/>
        <v>A</v>
      </c>
    </row>
    <row r="1003">
      <c r="A1003" s="2">
        <v>1002.0</v>
      </c>
      <c r="B1003" s="2">
        <v>84969.0</v>
      </c>
      <c r="C1003" s="2" t="s">
        <v>1160</v>
      </c>
      <c r="D1003" s="2">
        <v>4.25</v>
      </c>
      <c r="E1003" s="2">
        <v>486.0</v>
      </c>
      <c r="F1003" s="2">
        <v>2144.22</v>
      </c>
      <c r="G1003" s="4">
        <f t="shared" si="3"/>
        <v>7530526.56</v>
      </c>
      <c r="H1003" s="4">
        <f t="shared" si="1"/>
        <v>0.7889979831</v>
      </c>
      <c r="I1003" s="4" t="str">
        <f t="shared" si="2"/>
        <v>A</v>
      </c>
    </row>
    <row r="1004">
      <c r="A1004" s="2">
        <v>1003.0</v>
      </c>
      <c r="B1004" s="2">
        <v>21878.0</v>
      </c>
      <c r="C1004" s="2" t="s">
        <v>1161</v>
      </c>
      <c r="D1004" s="2">
        <v>0.85</v>
      </c>
      <c r="E1004" s="2">
        <v>2586.0</v>
      </c>
      <c r="F1004" s="2">
        <v>2143.38</v>
      </c>
      <c r="G1004" s="4">
        <f t="shared" si="3"/>
        <v>7532669.94</v>
      </c>
      <c r="H1004" s="4">
        <f t="shared" si="1"/>
        <v>0.7892225521</v>
      </c>
      <c r="I1004" s="4" t="str">
        <f t="shared" si="2"/>
        <v>A</v>
      </c>
    </row>
    <row r="1005">
      <c r="A1005" s="2">
        <v>1004.0</v>
      </c>
      <c r="B1005" s="2">
        <v>20966.0</v>
      </c>
      <c r="C1005" s="2" t="s">
        <v>1162</v>
      </c>
      <c r="D1005" s="2">
        <v>1.25</v>
      </c>
      <c r="E1005" s="2">
        <v>1510.0</v>
      </c>
      <c r="F1005" s="2">
        <v>2140.74</v>
      </c>
      <c r="G1005" s="4">
        <f t="shared" si="3"/>
        <v>7534810.68</v>
      </c>
      <c r="H1005" s="4">
        <f t="shared" si="1"/>
        <v>0.7894468444</v>
      </c>
      <c r="I1005" s="4" t="str">
        <f t="shared" si="2"/>
        <v>A</v>
      </c>
    </row>
    <row r="1006">
      <c r="A1006" s="2">
        <v>1005.0</v>
      </c>
      <c r="B1006" s="2">
        <v>22723.0</v>
      </c>
      <c r="C1006" s="2" t="s">
        <v>1163</v>
      </c>
      <c r="D1006" s="2">
        <v>3.95</v>
      </c>
      <c r="E1006" s="2">
        <v>584.0</v>
      </c>
      <c r="F1006" s="2">
        <v>2139.31</v>
      </c>
      <c r="G1006" s="4">
        <f t="shared" si="3"/>
        <v>7536949.99</v>
      </c>
      <c r="H1006" s="4">
        <f t="shared" si="1"/>
        <v>0.789670987</v>
      </c>
      <c r="I1006" s="4" t="str">
        <f t="shared" si="2"/>
        <v>A</v>
      </c>
    </row>
    <row r="1007">
      <c r="A1007" s="2">
        <v>1006.0</v>
      </c>
      <c r="B1007" s="2">
        <v>23050.0</v>
      </c>
      <c r="C1007" s="2" t="s">
        <v>1164</v>
      </c>
      <c r="D1007" s="2">
        <v>8.25</v>
      </c>
      <c r="E1007" s="2">
        <v>248.0</v>
      </c>
      <c r="F1007" s="2">
        <v>2139.15</v>
      </c>
      <c r="G1007" s="4">
        <f t="shared" si="3"/>
        <v>7539089.14</v>
      </c>
      <c r="H1007" s="4">
        <f t="shared" si="1"/>
        <v>0.7898951127</v>
      </c>
      <c r="I1007" s="4" t="str">
        <f t="shared" si="2"/>
        <v>A</v>
      </c>
    </row>
    <row r="1008">
      <c r="A1008" s="2">
        <v>1007.0</v>
      </c>
      <c r="B1008" s="2">
        <v>22312.0</v>
      </c>
      <c r="C1008" s="2" t="s">
        <v>1165</v>
      </c>
      <c r="D1008" s="2">
        <v>2.95</v>
      </c>
      <c r="E1008" s="2">
        <v>620.0</v>
      </c>
      <c r="F1008" s="2">
        <v>2138.83</v>
      </c>
      <c r="G1008" s="4">
        <f t="shared" si="3"/>
        <v>7541227.97</v>
      </c>
      <c r="H1008" s="4">
        <f t="shared" si="1"/>
        <v>0.790119205</v>
      </c>
      <c r="I1008" s="4" t="str">
        <f t="shared" si="2"/>
        <v>A</v>
      </c>
    </row>
    <row r="1009">
      <c r="A1009" s="2">
        <v>1008.0</v>
      </c>
      <c r="B1009" s="2">
        <v>21056.0</v>
      </c>
      <c r="C1009" s="2" t="s">
        <v>1166</v>
      </c>
      <c r="D1009" s="2">
        <v>8.95</v>
      </c>
      <c r="E1009" s="2">
        <v>232.0</v>
      </c>
      <c r="F1009" s="2">
        <v>2138.19</v>
      </c>
      <c r="G1009" s="4">
        <f t="shared" si="3"/>
        <v>7543366.16</v>
      </c>
      <c r="H1009" s="4">
        <f t="shared" si="1"/>
        <v>0.7903432302</v>
      </c>
      <c r="I1009" s="4" t="str">
        <f t="shared" si="2"/>
        <v>A</v>
      </c>
    </row>
    <row r="1010">
      <c r="A1010" s="2">
        <v>1009.0</v>
      </c>
      <c r="B1010" s="2">
        <v>22892.0</v>
      </c>
      <c r="C1010" s="2" t="s">
        <v>1167</v>
      </c>
      <c r="D1010" s="2">
        <v>1.25</v>
      </c>
      <c r="E1010" s="2">
        <v>1739.0</v>
      </c>
      <c r="F1010" s="2">
        <v>2134.78</v>
      </c>
      <c r="G1010" s="4">
        <f t="shared" si="3"/>
        <v>7545500.94</v>
      </c>
      <c r="H1010" s="4">
        <f t="shared" si="1"/>
        <v>0.7905668981</v>
      </c>
      <c r="I1010" s="4" t="str">
        <f t="shared" si="2"/>
        <v>A</v>
      </c>
    </row>
    <row r="1011">
      <c r="A1011" s="2">
        <v>1010.0</v>
      </c>
      <c r="B1011" s="2">
        <v>47580.0</v>
      </c>
      <c r="C1011" s="2" t="s">
        <v>1168</v>
      </c>
      <c r="D1011" s="2">
        <v>2.55</v>
      </c>
      <c r="E1011" s="2">
        <v>824.0</v>
      </c>
      <c r="F1011" s="2">
        <v>2131.45</v>
      </c>
      <c r="G1011" s="4">
        <f t="shared" si="3"/>
        <v>7547632.39</v>
      </c>
      <c r="H1011" s="4">
        <f t="shared" si="1"/>
        <v>0.7907902171</v>
      </c>
      <c r="I1011" s="4" t="str">
        <f t="shared" si="2"/>
        <v>A</v>
      </c>
    </row>
    <row r="1012">
      <c r="A1012" s="2">
        <v>1011.0</v>
      </c>
      <c r="B1012" s="2">
        <v>20665.0</v>
      </c>
      <c r="C1012" s="2" t="s">
        <v>1169</v>
      </c>
      <c r="D1012" s="2">
        <v>2.95</v>
      </c>
      <c r="E1012" s="2">
        <v>668.0</v>
      </c>
      <c r="F1012" s="2">
        <v>2131.12</v>
      </c>
      <c r="G1012" s="4">
        <f t="shared" si="3"/>
        <v>7549763.51</v>
      </c>
      <c r="H1012" s="4">
        <f t="shared" si="1"/>
        <v>0.7910135015</v>
      </c>
      <c r="I1012" s="4" t="str">
        <f t="shared" si="2"/>
        <v>A</v>
      </c>
    </row>
    <row r="1013">
      <c r="A1013" s="2">
        <v>1012.0</v>
      </c>
      <c r="B1013" s="2">
        <v>22285.0</v>
      </c>
      <c r="C1013" s="2" t="s">
        <v>1170</v>
      </c>
      <c r="D1013" s="2">
        <v>1.65</v>
      </c>
      <c r="E1013" s="2">
        <v>1356.0</v>
      </c>
      <c r="F1013" s="2">
        <v>2130.6</v>
      </c>
      <c r="G1013" s="4">
        <f t="shared" si="3"/>
        <v>7551894.11</v>
      </c>
      <c r="H1013" s="4">
        <f t="shared" si="1"/>
        <v>0.7912367315</v>
      </c>
      <c r="I1013" s="4" t="str">
        <f t="shared" si="2"/>
        <v>A</v>
      </c>
    </row>
    <row r="1014">
      <c r="A1014" s="2">
        <v>1013.0</v>
      </c>
      <c r="B1014" s="2">
        <v>21556.0</v>
      </c>
      <c r="C1014" s="2" t="s">
        <v>1171</v>
      </c>
      <c r="D1014" s="2">
        <v>2.55</v>
      </c>
      <c r="E1014" s="2">
        <v>804.0</v>
      </c>
      <c r="F1014" s="2">
        <v>2124.76</v>
      </c>
      <c r="G1014" s="4">
        <f t="shared" si="3"/>
        <v>7554018.87</v>
      </c>
      <c r="H1014" s="4">
        <f t="shared" si="1"/>
        <v>0.7914593495</v>
      </c>
      <c r="I1014" s="4" t="str">
        <f t="shared" si="2"/>
        <v>A</v>
      </c>
    </row>
    <row r="1015">
      <c r="A1015" s="2">
        <v>1014.0</v>
      </c>
      <c r="B1015" s="2">
        <v>23237.0</v>
      </c>
      <c r="C1015" s="2" t="s">
        <v>1172</v>
      </c>
      <c r="D1015" s="2">
        <v>4.15</v>
      </c>
      <c r="E1015" s="2">
        <v>524.0</v>
      </c>
      <c r="F1015" s="2">
        <v>2124.75</v>
      </c>
      <c r="G1015" s="4">
        <f t="shared" si="3"/>
        <v>7556143.62</v>
      </c>
      <c r="H1015" s="4">
        <f t="shared" si="1"/>
        <v>0.7916819666</v>
      </c>
      <c r="I1015" s="4" t="str">
        <f t="shared" si="2"/>
        <v>A</v>
      </c>
    </row>
    <row r="1016">
      <c r="A1016" s="2">
        <v>1015.0</v>
      </c>
      <c r="B1016" s="2">
        <v>84950.0</v>
      </c>
      <c r="C1016" s="2" t="s">
        <v>1173</v>
      </c>
      <c r="D1016" s="2">
        <v>0.72</v>
      </c>
      <c r="E1016" s="2">
        <v>3056.0</v>
      </c>
      <c r="F1016" s="2">
        <v>2124.24</v>
      </c>
      <c r="G1016" s="4">
        <f t="shared" si="3"/>
        <v>7558267.86</v>
      </c>
      <c r="H1016" s="4">
        <f t="shared" si="1"/>
        <v>0.7919045302</v>
      </c>
      <c r="I1016" s="4" t="str">
        <f t="shared" si="2"/>
        <v>A</v>
      </c>
    </row>
    <row r="1017">
      <c r="A1017" s="2">
        <v>1016.0</v>
      </c>
      <c r="B1017" s="2">
        <v>20982.0</v>
      </c>
      <c r="C1017" s="2" t="s">
        <v>1174</v>
      </c>
      <c r="D1017" s="2">
        <v>0.85</v>
      </c>
      <c r="E1017" s="2">
        <v>2425.0</v>
      </c>
      <c r="F1017" s="2">
        <v>2121.48</v>
      </c>
      <c r="G1017" s="4">
        <f t="shared" si="3"/>
        <v>7560389.34</v>
      </c>
      <c r="H1017" s="4">
        <f t="shared" si="1"/>
        <v>0.7921268046</v>
      </c>
      <c r="I1017" s="4" t="str">
        <f t="shared" si="2"/>
        <v>A</v>
      </c>
    </row>
    <row r="1018">
      <c r="A1018" s="2">
        <v>1017.0</v>
      </c>
      <c r="B1018" s="2">
        <v>22530.0</v>
      </c>
      <c r="C1018" s="2" t="s">
        <v>1175</v>
      </c>
      <c r="D1018" s="2">
        <v>0.42</v>
      </c>
      <c r="E1018" s="2">
        <v>5010.0</v>
      </c>
      <c r="F1018" s="2">
        <v>2119.3</v>
      </c>
      <c r="G1018" s="4">
        <f t="shared" si="3"/>
        <v>7562508.64</v>
      </c>
      <c r="H1018" s="4">
        <f t="shared" si="1"/>
        <v>0.7923488506</v>
      </c>
      <c r="I1018" s="4" t="str">
        <f t="shared" si="2"/>
        <v>A</v>
      </c>
    </row>
    <row r="1019">
      <c r="A1019" s="2">
        <v>1018.0</v>
      </c>
      <c r="B1019" s="2">
        <v>23166.0</v>
      </c>
      <c r="C1019" s="2" t="s">
        <v>1176</v>
      </c>
      <c r="D1019" s="2">
        <v>1.25</v>
      </c>
      <c r="E1019" s="2">
        <v>1776.0</v>
      </c>
      <c r="F1019" s="2">
        <v>2118.24</v>
      </c>
      <c r="G1019" s="4">
        <f t="shared" si="3"/>
        <v>7564626.88</v>
      </c>
      <c r="H1019" s="4">
        <f t="shared" si="1"/>
        <v>0.7925707856</v>
      </c>
      <c r="I1019" s="4" t="str">
        <f t="shared" si="2"/>
        <v>A</v>
      </c>
    </row>
    <row r="1020">
      <c r="A1020" s="2">
        <v>1019.0</v>
      </c>
      <c r="B1020" s="2">
        <v>84598.0</v>
      </c>
      <c r="C1020" s="2" t="s">
        <v>1177</v>
      </c>
      <c r="D1020" s="2">
        <v>0.42</v>
      </c>
      <c r="E1020" s="2">
        <v>10100.0</v>
      </c>
      <c r="F1020" s="2">
        <v>2114.59</v>
      </c>
      <c r="G1020" s="4">
        <f t="shared" si="3"/>
        <v>7566741.47</v>
      </c>
      <c r="H1020" s="4">
        <f t="shared" si="1"/>
        <v>0.7927923381</v>
      </c>
      <c r="I1020" s="4" t="str">
        <f t="shared" si="2"/>
        <v>A</v>
      </c>
    </row>
    <row r="1021">
      <c r="A1021" s="2">
        <v>1020.0</v>
      </c>
      <c r="B1021" s="2">
        <v>22425.0</v>
      </c>
      <c r="C1021" s="2" t="s">
        <v>1178</v>
      </c>
      <c r="D1021" s="2">
        <v>4.95</v>
      </c>
      <c r="E1021" s="2">
        <v>416.0</v>
      </c>
      <c r="F1021" s="2">
        <v>2114.39</v>
      </c>
      <c r="G1021" s="4">
        <f t="shared" si="3"/>
        <v>7568855.86</v>
      </c>
      <c r="H1021" s="4">
        <f t="shared" si="1"/>
        <v>0.7930138697</v>
      </c>
      <c r="I1021" s="4" t="str">
        <f t="shared" si="2"/>
        <v>A</v>
      </c>
    </row>
    <row r="1022">
      <c r="A1022" s="2">
        <v>1021.0</v>
      </c>
      <c r="B1022" s="2">
        <v>22497.0</v>
      </c>
      <c r="C1022" s="2" t="s">
        <v>1179</v>
      </c>
      <c r="D1022" s="2">
        <v>4.25</v>
      </c>
      <c r="E1022" s="2">
        <v>463.0</v>
      </c>
      <c r="F1022" s="2">
        <v>2113.16</v>
      </c>
      <c r="G1022" s="4">
        <f t="shared" si="3"/>
        <v>7570969.02</v>
      </c>
      <c r="H1022" s="4">
        <f t="shared" si="1"/>
        <v>0.7932352724</v>
      </c>
      <c r="I1022" s="4" t="str">
        <f t="shared" si="2"/>
        <v>A</v>
      </c>
    </row>
    <row r="1023">
      <c r="A1023" s="2">
        <v>1022.0</v>
      </c>
      <c r="B1023" s="2">
        <v>23089.0</v>
      </c>
      <c r="C1023" s="2" t="s">
        <v>1180</v>
      </c>
      <c r="D1023" s="2">
        <v>1.95</v>
      </c>
      <c r="E1023" s="2">
        <v>1177.0</v>
      </c>
      <c r="F1023" s="2">
        <v>2108.04</v>
      </c>
      <c r="G1023" s="4">
        <f t="shared" si="3"/>
        <v>7573077.06</v>
      </c>
      <c r="H1023" s="4">
        <f t="shared" si="1"/>
        <v>0.7934561387</v>
      </c>
      <c r="I1023" s="4" t="str">
        <f t="shared" si="2"/>
        <v>A</v>
      </c>
    </row>
    <row r="1024">
      <c r="A1024" s="2">
        <v>1023.0</v>
      </c>
      <c r="B1024" s="2">
        <v>22071.0</v>
      </c>
      <c r="C1024" s="2" t="s">
        <v>1181</v>
      </c>
      <c r="D1024" s="2">
        <v>3.75</v>
      </c>
      <c r="E1024" s="2">
        <v>627.0</v>
      </c>
      <c r="F1024" s="2">
        <v>2106.44</v>
      </c>
      <c r="G1024" s="4">
        <f t="shared" si="3"/>
        <v>7575183.5</v>
      </c>
      <c r="H1024" s="4">
        <f t="shared" si="1"/>
        <v>0.7936768373</v>
      </c>
      <c r="I1024" s="4" t="str">
        <f t="shared" si="2"/>
        <v>A</v>
      </c>
    </row>
    <row r="1025">
      <c r="A1025" s="2">
        <v>1024.0</v>
      </c>
      <c r="B1025" s="2">
        <v>21355.0</v>
      </c>
      <c r="C1025" s="2" t="s">
        <v>1182</v>
      </c>
      <c r="D1025" s="2">
        <v>1.25</v>
      </c>
      <c r="E1025" s="2">
        <v>1723.0</v>
      </c>
      <c r="F1025" s="2">
        <v>2105.28</v>
      </c>
      <c r="G1025" s="4">
        <f t="shared" si="3"/>
        <v>7577288.78</v>
      </c>
      <c r="H1025" s="4">
        <f t="shared" si="1"/>
        <v>0.7938974144</v>
      </c>
      <c r="I1025" s="4" t="str">
        <f t="shared" si="2"/>
        <v>A</v>
      </c>
    </row>
    <row r="1026">
      <c r="A1026" s="2">
        <v>1025.0</v>
      </c>
      <c r="B1026" s="2">
        <v>21707.0</v>
      </c>
      <c r="C1026" s="2" t="s">
        <v>1183</v>
      </c>
      <c r="D1026" s="2">
        <v>4.95</v>
      </c>
      <c r="E1026" s="2">
        <v>505.0</v>
      </c>
      <c r="F1026" s="2">
        <v>2104.85</v>
      </c>
      <c r="G1026" s="4">
        <f t="shared" si="3"/>
        <v>7579393.63</v>
      </c>
      <c r="H1026" s="4">
        <f t="shared" si="1"/>
        <v>0.7941179464</v>
      </c>
      <c r="I1026" s="4" t="str">
        <f t="shared" si="2"/>
        <v>A</v>
      </c>
    </row>
    <row r="1027">
      <c r="A1027" s="2">
        <v>1026.0</v>
      </c>
      <c r="B1027" s="2" t="s">
        <v>1184</v>
      </c>
      <c r="C1027" s="2" t="s">
        <v>1185</v>
      </c>
      <c r="D1027" s="2">
        <v>4.25</v>
      </c>
      <c r="E1027" s="2">
        <v>460.0</v>
      </c>
      <c r="F1027" s="2">
        <v>2100.4</v>
      </c>
      <c r="G1027" s="4">
        <f t="shared" si="3"/>
        <v>7581494.03</v>
      </c>
      <c r="H1027" s="4">
        <f t="shared" si="1"/>
        <v>0.7943380122</v>
      </c>
      <c r="I1027" s="4" t="str">
        <f t="shared" si="2"/>
        <v>A</v>
      </c>
    </row>
    <row r="1028">
      <c r="A1028" s="2">
        <v>1027.0</v>
      </c>
      <c r="B1028" s="2">
        <v>21068.0</v>
      </c>
      <c r="C1028" s="2" t="s">
        <v>1186</v>
      </c>
      <c r="D1028" s="2">
        <v>1.25</v>
      </c>
      <c r="E1028" s="2">
        <v>2022.0</v>
      </c>
      <c r="F1028" s="2">
        <v>2099.7</v>
      </c>
      <c r="G1028" s="4">
        <f t="shared" si="3"/>
        <v>7583593.73</v>
      </c>
      <c r="H1028" s="4">
        <f t="shared" si="1"/>
        <v>0.7945580047</v>
      </c>
      <c r="I1028" s="4" t="str">
        <f t="shared" si="2"/>
        <v>A</v>
      </c>
    </row>
    <row r="1029">
      <c r="A1029" s="2">
        <v>1028.0</v>
      </c>
      <c r="B1029" s="2">
        <v>21609.0</v>
      </c>
      <c r="C1029" s="2" t="s">
        <v>1187</v>
      </c>
      <c r="D1029" s="2">
        <v>2.95</v>
      </c>
      <c r="E1029" s="2">
        <v>751.0</v>
      </c>
      <c r="F1029" s="2">
        <v>2097.57</v>
      </c>
      <c r="G1029" s="4">
        <f t="shared" si="3"/>
        <v>7585691.3</v>
      </c>
      <c r="H1029" s="4">
        <f t="shared" si="1"/>
        <v>0.794777774</v>
      </c>
      <c r="I1029" s="4" t="str">
        <f t="shared" si="2"/>
        <v>A</v>
      </c>
    </row>
    <row r="1030">
      <c r="A1030" s="2">
        <v>1029.0</v>
      </c>
      <c r="B1030" s="2">
        <v>23012.0</v>
      </c>
      <c r="C1030" s="2" t="s">
        <v>1188</v>
      </c>
      <c r="D1030" s="2">
        <v>3.95</v>
      </c>
      <c r="E1030" s="2">
        <v>535.0</v>
      </c>
      <c r="F1030" s="2">
        <v>2096.58</v>
      </c>
      <c r="G1030" s="4">
        <f t="shared" si="3"/>
        <v>7587787.88</v>
      </c>
      <c r="H1030" s="4">
        <f t="shared" si="1"/>
        <v>0.7949974396</v>
      </c>
      <c r="I1030" s="4" t="str">
        <f t="shared" si="2"/>
        <v>A</v>
      </c>
    </row>
    <row r="1031">
      <c r="A1031" s="2">
        <v>1030.0</v>
      </c>
      <c r="B1031" s="2">
        <v>22600.0</v>
      </c>
      <c r="C1031" s="2" t="s">
        <v>1189</v>
      </c>
      <c r="D1031" s="2">
        <v>0.85</v>
      </c>
      <c r="E1031" s="2">
        <v>2420.0</v>
      </c>
      <c r="F1031" s="2">
        <v>2096.02</v>
      </c>
      <c r="G1031" s="4">
        <f t="shared" si="3"/>
        <v>7589883.9</v>
      </c>
      <c r="H1031" s="4">
        <f t="shared" si="1"/>
        <v>0.7952170465</v>
      </c>
      <c r="I1031" s="4" t="str">
        <f t="shared" si="2"/>
        <v>A</v>
      </c>
    </row>
    <row r="1032">
      <c r="A1032" s="2">
        <v>1031.0</v>
      </c>
      <c r="B1032" s="2">
        <v>21470.0</v>
      </c>
      <c r="C1032" s="2" t="s">
        <v>1190</v>
      </c>
      <c r="D1032" s="2">
        <v>3.75</v>
      </c>
      <c r="E1032" s="2">
        <v>551.0</v>
      </c>
      <c r="F1032" s="2">
        <v>2095.46</v>
      </c>
      <c r="G1032" s="4">
        <f t="shared" si="3"/>
        <v>7591979.36</v>
      </c>
      <c r="H1032" s="4">
        <f t="shared" si="1"/>
        <v>0.7954365947</v>
      </c>
      <c r="I1032" s="4" t="str">
        <f t="shared" si="2"/>
        <v>A</v>
      </c>
    </row>
    <row r="1033">
      <c r="A1033" s="2">
        <v>1032.0</v>
      </c>
      <c r="B1033" s="2">
        <v>22670.0</v>
      </c>
      <c r="C1033" s="2" t="s">
        <v>1191</v>
      </c>
      <c r="D1033" s="2">
        <v>1.25</v>
      </c>
      <c r="E1033" s="2">
        <v>1641.0</v>
      </c>
      <c r="F1033" s="2">
        <v>2091.26</v>
      </c>
      <c r="G1033" s="4">
        <f t="shared" si="3"/>
        <v>7594070.62</v>
      </c>
      <c r="H1033" s="4">
        <f t="shared" si="1"/>
        <v>0.7956557028</v>
      </c>
      <c r="I1033" s="4" t="str">
        <f t="shared" si="2"/>
        <v>A</v>
      </c>
    </row>
    <row r="1034">
      <c r="A1034" s="2">
        <v>1033.0</v>
      </c>
      <c r="B1034" s="2">
        <v>23144.0</v>
      </c>
      <c r="C1034" s="2" t="s">
        <v>1192</v>
      </c>
      <c r="D1034" s="2">
        <v>0.83</v>
      </c>
      <c r="E1034" s="2">
        <v>2532.0</v>
      </c>
      <c r="F1034" s="2">
        <v>2088.96</v>
      </c>
      <c r="G1034" s="4">
        <f t="shared" si="3"/>
        <v>7596159.58</v>
      </c>
      <c r="H1034" s="4">
        <f t="shared" si="1"/>
        <v>0.79587457</v>
      </c>
      <c r="I1034" s="4" t="str">
        <f t="shared" si="2"/>
        <v>A</v>
      </c>
    </row>
    <row r="1035">
      <c r="A1035" s="2">
        <v>1034.0</v>
      </c>
      <c r="B1035" s="2">
        <v>21143.0</v>
      </c>
      <c r="C1035" s="2" t="s">
        <v>1193</v>
      </c>
      <c r="D1035" s="2">
        <v>1.95</v>
      </c>
      <c r="E1035" s="2">
        <v>1048.0</v>
      </c>
      <c r="F1035" s="2">
        <v>2083.35</v>
      </c>
      <c r="G1035" s="4">
        <f t="shared" si="3"/>
        <v>7598242.93</v>
      </c>
      <c r="H1035" s="4">
        <f t="shared" si="1"/>
        <v>0.7960928495</v>
      </c>
      <c r="I1035" s="4" t="str">
        <f t="shared" si="2"/>
        <v>A</v>
      </c>
    </row>
    <row r="1036">
      <c r="A1036" s="2">
        <v>1035.0</v>
      </c>
      <c r="B1036" s="2">
        <v>22833.0</v>
      </c>
      <c r="C1036" s="2" t="s">
        <v>1194</v>
      </c>
      <c r="D1036" s="2">
        <v>49.95</v>
      </c>
      <c r="E1036" s="2">
        <v>60.0</v>
      </c>
      <c r="F1036" s="2">
        <v>2081.77</v>
      </c>
      <c r="G1036" s="4">
        <f t="shared" si="3"/>
        <v>7600324.7</v>
      </c>
      <c r="H1036" s="4">
        <f t="shared" si="1"/>
        <v>0.7963109633</v>
      </c>
      <c r="I1036" s="4" t="str">
        <f t="shared" si="2"/>
        <v>A</v>
      </c>
    </row>
    <row r="1037">
      <c r="A1037" s="2">
        <v>1036.0</v>
      </c>
      <c r="B1037" s="2">
        <v>22851.0</v>
      </c>
      <c r="C1037" s="2" t="s">
        <v>1195</v>
      </c>
      <c r="D1037" s="2">
        <v>0.85</v>
      </c>
      <c r="E1037" s="2">
        <v>2558.0</v>
      </c>
      <c r="F1037" s="2">
        <v>2074.74</v>
      </c>
      <c r="G1037" s="4">
        <f t="shared" si="3"/>
        <v>7602399.44</v>
      </c>
      <c r="H1037" s="4">
        <f t="shared" si="1"/>
        <v>0.7965283407</v>
      </c>
      <c r="I1037" s="4" t="str">
        <f t="shared" si="2"/>
        <v>A</v>
      </c>
    </row>
    <row r="1038">
      <c r="A1038" s="2">
        <v>1037.0</v>
      </c>
      <c r="B1038" s="2">
        <v>70006.0</v>
      </c>
      <c r="C1038" s="2" t="s">
        <v>1196</v>
      </c>
      <c r="D1038" s="2">
        <v>1.65</v>
      </c>
      <c r="E1038" s="2">
        <v>2222.0</v>
      </c>
      <c r="F1038" s="2">
        <v>2073.9</v>
      </c>
      <c r="G1038" s="4">
        <f t="shared" si="3"/>
        <v>7604473.34</v>
      </c>
      <c r="H1038" s="4">
        <f t="shared" si="1"/>
        <v>0.79674563</v>
      </c>
      <c r="I1038" s="4" t="str">
        <f t="shared" si="2"/>
        <v>A</v>
      </c>
    </row>
    <row r="1039">
      <c r="A1039" s="2">
        <v>1038.0</v>
      </c>
      <c r="B1039" s="2">
        <v>23167.0</v>
      </c>
      <c r="C1039" s="2" t="s">
        <v>1197</v>
      </c>
      <c r="D1039" s="2">
        <v>0.83</v>
      </c>
      <c r="E1039" s="2">
        <v>2677.0</v>
      </c>
      <c r="F1039" s="2">
        <v>2067.01</v>
      </c>
      <c r="G1039" s="4">
        <f t="shared" si="3"/>
        <v>7606540.35</v>
      </c>
      <c r="H1039" s="4">
        <f t="shared" si="1"/>
        <v>0.7969621974</v>
      </c>
      <c r="I1039" s="4" t="str">
        <f t="shared" si="2"/>
        <v>A</v>
      </c>
    </row>
    <row r="1040">
      <c r="A1040" s="2">
        <v>1039.0</v>
      </c>
      <c r="B1040" s="2">
        <v>22926.0</v>
      </c>
      <c r="C1040" s="2" t="s">
        <v>1198</v>
      </c>
      <c r="D1040" s="2">
        <v>5.95</v>
      </c>
      <c r="E1040" s="2">
        <v>338.0</v>
      </c>
      <c r="F1040" s="2">
        <v>2063.26</v>
      </c>
      <c r="G1040" s="4">
        <f t="shared" si="3"/>
        <v>7608603.61</v>
      </c>
      <c r="H1040" s="4">
        <f t="shared" si="1"/>
        <v>0.7971783719</v>
      </c>
      <c r="I1040" s="4" t="str">
        <f t="shared" si="2"/>
        <v>A</v>
      </c>
    </row>
    <row r="1041">
      <c r="A1041" s="2">
        <v>1040.0</v>
      </c>
      <c r="B1041" s="2">
        <v>23306.0</v>
      </c>
      <c r="C1041" s="2" t="s">
        <v>1199</v>
      </c>
      <c r="D1041" s="2">
        <v>1.45</v>
      </c>
      <c r="E1041" s="2">
        <v>1404.0</v>
      </c>
      <c r="F1041" s="2">
        <v>2060.96</v>
      </c>
      <c r="G1041" s="4">
        <f t="shared" si="3"/>
        <v>7610664.57</v>
      </c>
      <c r="H1041" s="4">
        <f t="shared" si="1"/>
        <v>0.7973943054</v>
      </c>
      <c r="I1041" s="4" t="str">
        <f t="shared" si="2"/>
        <v>A</v>
      </c>
    </row>
    <row r="1042">
      <c r="A1042" s="2">
        <v>1041.0</v>
      </c>
      <c r="B1042" s="2">
        <v>22125.0</v>
      </c>
      <c r="C1042" s="2" t="s">
        <v>1200</v>
      </c>
      <c r="D1042" s="2">
        <v>5.95</v>
      </c>
      <c r="E1042" s="2">
        <v>329.0</v>
      </c>
      <c r="F1042" s="2">
        <v>2059.42</v>
      </c>
      <c r="G1042" s="4">
        <f t="shared" si="3"/>
        <v>7612723.99</v>
      </c>
      <c r="H1042" s="4">
        <f t="shared" si="1"/>
        <v>0.7976100776</v>
      </c>
      <c r="I1042" s="4" t="str">
        <f t="shared" si="2"/>
        <v>A</v>
      </c>
    </row>
    <row r="1043">
      <c r="A1043" s="2">
        <v>1042.0</v>
      </c>
      <c r="B1043" s="2">
        <v>21590.0</v>
      </c>
      <c r="C1043" s="2" t="s">
        <v>1201</v>
      </c>
      <c r="D1043" s="2">
        <v>1.25</v>
      </c>
      <c r="E1043" s="2">
        <v>1715.0</v>
      </c>
      <c r="F1043" s="2">
        <v>2059.39</v>
      </c>
      <c r="G1043" s="4">
        <f t="shared" si="3"/>
        <v>7614783.38</v>
      </c>
      <c r="H1043" s="4">
        <f t="shared" si="1"/>
        <v>0.7978258467</v>
      </c>
      <c r="I1043" s="4" t="str">
        <f t="shared" si="2"/>
        <v>A</v>
      </c>
    </row>
    <row r="1044">
      <c r="A1044" s="2">
        <v>1043.0</v>
      </c>
      <c r="B1044" s="2">
        <v>21474.0</v>
      </c>
      <c r="C1044" s="2" t="s">
        <v>1202</v>
      </c>
      <c r="D1044" s="2">
        <v>19.95</v>
      </c>
      <c r="E1044" s="2">
        <v>103.0</v>
      </c>
      <c r="F1044" s="2">
        <v>2054.85</v>
      </c>
      <c r="G1044" s="4">
        <f t="shared" si="3"/>
        <v>7616838.23</v>
      </c>
      <c r="H1044" s="4">
        <f t="shared" si="1"/>
        <v>0.7980411401</v>
      </c>
      <c r="I1044" s="4" t="str">
        <f t="shared" si="2"/>
        <v>A</v>
      </c>
    </row>
    <row r="1045">
      <c r="A1045" s="2">
        <v>1044.0</v>
      </c>
      <c r="B1045" s="2">
        <v>22744.0</v>
      </c>
      <c r="C1045" s="2" t="s">
        <v>1203</v>
      </c>
      <c r="D1045" s="2">
        <v>2.95</v>
      </c>
      <c r="E1045" s="2">
        <v>730.0</v>
      </c>
      <c r="F1045" s="2">
        <v>2051.46</v>
      </c>
      <c r="G1045" s="4">
        <f t="shared" si="3"/>
        <v>7618889.69</v>
      </c>
      <c r="H1045" s="4">
        <f t="shared" si="1"/>
        <v>0.7982560783</v>
      </c>
      <c r="I1045" s="4" t="str">
        <f t="shared" si="2"/>
        <v>A</v>
      </c>
    </row>
    <row r="1046">
      <c r="A1046" s="2">
        <v>1045.0</v>
      </c>
      <c r="B1046" s="2">
        <v>22127.0</v>
      </c>
      <c r="C1046" s="2" t="s">
        <v>1204</v>
      </c>
      <c r="D1046" s="2">
        <v>1.25</v>
      </c>
      <c r="E1046" s="2">
        <v>1713.0</v>
      </c>
      <c r="F1046" s="2">
        <v>2050.3</v>
      </c>
      <c r="G1046" s="4">
        <f t="shared" si="3"/>
        <v>7620939.99</v>
      </c>
      <c r="H1046" s="4">
        <f t="shared" si="1"/>
        <v>0.7984708949</v>
      </c>
      <c r="I1046" s="4" t="str">
        <f t="shared" si="2"/>
        <v>A</v>
      </c>
    </row>
    <row r="1047">
      <c r="A1047" s="2">
        <v>1046.0</v>
      </c>
      <c r="B1047" s="2" t="s">
        <v>1205</v>
      </c>
      <c r="C1047" s="2" t="s">
        <v>1206</v>
      </c>
      <c r="D1047" s="2">
        <v>0.83</v>
      </c>
      <c r="E1047" s="2">
        <v>3131.0</v>
      </c>
      <c r="F1047" s="2">
        <v>2046.78</v>
      </c>
      <c r="G1047" s="4">
        <f t="shared" si="3"/>
        <v>7622986.77</v>
      </c>
      <c r="H1047" s="4">
        <f t="shared" si="1"/>
        <v>0.7986853428</v>
      </c>
      <c r="I1047" s="4" t="str">
        <f t="shared" si="2"/>
        <v>A</v>
      </c>
    </row>
    <row r="1048">
      <c r="A1048" s="2">
        <v>1047.0</v>
      </c>
      <c r="B1048" s="2">
        <v>23009.0</v>
      </c>
      <c r="C1048" s="2" t="s">
        <v>1207</v>
      </c>
      <c r="D1048" s="2">
        <v>16.95</v>
      </c>
      <c r="E1048" s="2">
        <v>132.0</v>
      </c>
      <c r="F1048" s="2">
        <v>2041.26</v>
      </c>
      <c r="G1048" s="4">
        <f t="shared" si="3"/>
        <v>7625028.03</v>
      </c>
      <c r="H1048" s="4">
        <f t="shared" si="1"/>
        <v>0.7988992123</v>
      </c>
      <c r="I1048" s="4" t="str">
        <f t="shared" si="2"/>
        <v>A</v>
      </c>
    </row>
    <row r="1049">
      <c r="A1049" s="2">
        <v>1048.0</v>
      </c>
      <c r="B1049" s="2">
        <v>22807.0</v>
      </c>
      <c r="C1049" s="2" t="s">
        <v>1208</v>
      </c>
      <c r="D1049" s="2">
        <v>2.95</v>
      </c>
      <c r="E1049" s="2">
        <v>688.0</v>
      </c>
      <c r="F1049" s="2">
        <v>2041.13</v>
      </c>
      <c r="G1049" s="4">
        <f t="shared" si="3"/>
        <v>7627069.16</v>
      </c>
      <c r="H1049" s="4">
        <f t="shared" si="1"/>
        <v>0.7991130682</v>
      </c>
      <c r="I1049" s="4" t="str">
        <f t="shared" si="2"/>
        <v>A</v>
      </c>
    </row>
    <row r="1050">
      <c r="A1050" s="2">
        <v>1049.0</v>
      </c>
      <c r="B1050" s="2">
        <v>21472.0</v>
      </c>
      <c r="C1050" s="2" t="s">
        <v>1209</v>
      </c>
      <c r="D1050" s="2">
        <v>3.75</v>
      </c>
      <c r="E1050" s="2">
        <v>528.0</v>
      </c>
      <c r="F1050" s="2">
        <v>2040.78</v>
      </c>
      <c r="G1050" s="4">
        <f t="shared" si="3"/>
        <v>7629109.94</v>
      </c>
      <c r="H1050" s="4">
        <f t="shared" si="1"/>
        <v>0.7993268874</v>
      </c>
      <c r="I1050" s="4" t="str">
        <f t="shared" si="2"/>
        <v>A</v>
      </c>
    </row>
    <row r="1051">
      <c r="A1051" s="2">
        <v>1050.0</v>
      </c>
      <c r="B1051" s="2">
        <v>21901.0</v>
      </c>
      <c r="C1051" s="2" t="s">
        <v>1210</v>
      </c>
      <c r="D1051" s="2">
        <v>0.65</v>
      </c>
      <c r="E1051" s="2">
        <v>3092.0</v>
      </c>
      <c r="F1051" s="2">
        <v>2038.88</v>
      </c>
      <c r="G1051" s="4">
        <f t="shared" si="3"/>
        <v>7631148.82</v>
      </c>
      <c r="H1051" s="4">
        <f t="shared" si="1"/>
        <v>0.7995405076</v>
      </c>
      <c r="I1051" s="4" t="str">
        <f t="shared" si="2"/>
        <v>A</v>
      </c>
    </row>
    <row r="1052">
      <c r="A1052" s="2">
        <v>1051.0</v>
      </c>
      <c r="B1052" s="2">
        <v>23193.0</v>
      </c>
      <c r="C1052" s="2" t="s">
        <v>1211</v>
      </c>
      <c r="D1052" s="2">
        <v>2.25</v>
      </c>
      <c r="E1052" s="2">
        <v>960.0</v>
      </c>
      <c r="F1052" s="2">
        <v>2037.39</v>
      </c>
      <c r="G1052" s="4">
        <f t="shared" si="3"/>
        <v>7633186.21</v>
      </c>
      <c r="H1052" s="4">
        <f t="shared" si="1"/>
        <v>0.7997539716</v>
      </c>
      <c r="I1052" s="4" t="str">
        <f t="shared" si="2"/>
        <v>A</v>
      </c>
    </row>
    <row r="1053">
      <c r="A1053" s="2">
        <v>1052.0</v>
      </c>
      <c r="B1053" s="2">
        <v>21911.0</v>
      </c>
      <c r="C1053" s="2" t="s">
        <v>1212</v>
      </c>
      <c r="D1053" s="2">
        <v>1.65</v>
      </c>
      <c r="E1053" s="2">
        <v>1268.0</v>
      </c>
      <c r="F1053" s="2">
        <v>2033.0</v>
      </c>
      <c r="G1053" s="4">
        <f t="shared" si="3"/>
        <v>7635219.21</v>
      </c>
      <c r="H1053" s="4">
        <f t="shared" si="1"/>
        <v>0.7999669757</v>
      </c>
      <c r="I1053" s="4" t="str">
        <f t="shared" si="2"/>
        <v>A</v>
      </c>
    </row>
    <row r="1054">
      <c r="A1054" s="2">
        <v>1053.0</v>
      </c>
      <c r="B1054" s="2">
        <v>23255.0</v>
      </c>
      <c r="C1054" s="2" t="s">
        <v>1213</v>
      </c>
      <c r="D1054" s="2">
        <v>4.15</v>
      </c>
      <c r="E1054" s="2">
        <v>503.0</v>
      </c>
      <c r="F1054" s="2">
        <v>2032.01</v>
      </c>
      <c r="G1054" s="4">
        <f t="shared" si="3"/>
        <v>7637251.22</v>
      </c>
      <c r="H1054" s="4">
        <f t="shared" si="1"/>
        <v>0.800179876</v>
      </c>
      <c r="I1054" s="4" t="str">
        <f t="shared" si="2"/>
        <v>B</v>
      </c>
    </row>
    <row r="1055">
      <c r="A1055" s="2">
        <v>1054.0</v>
      </c>
      <c r="B1055" s="2" t="s">
        <v>1214</v>
      </c>
      <c r="C1055" s="2" t="s">
        <v>1215</v>
      </c>
      <c r="D1055" s="2">
        <v>0.42</v>
      </c>
      <c r="E1055" s="2">
        <v>4988.0</v>
      </c>
      <c r="F1055" s="2">
        <v>2031.96</v>
      </c>
      <c r="G1055" s="4">
        <f t="shared" si="3"/>
        <v>7639283.18</v>
      </c>
      <c r="H1055" s="4">
        <f t="shared" si="1"/>
        <v>0.8003927711</v>
      </c>
      <c r="I1055" s="4" t="str">
        <f t="shared" si="2"/>
        <v>B</v>
      </c>
    </row>
    <row r="1056">
      <c r="A1056" s="2">
        <v>1055.0</v>
      </c>
      <c r="B1056" s="2">
        <v>21717.0</v>
      </c>
      <c r="C1056" s="2" t="s">
        <v>1216</v>
      </c>
      <c r="D1056" s="2">
        <v>2.55</v>
      </c>
      <c r="E1056" s="2">
        <v>780.0</v>
      </c>
      <c r="F1056" s="2">
        <v>2028.74</v>
      </c>
      <c r="G1056" s="4">
        <f t="shared" si="3"/>
        <v>7641311.92</v>
      </c>
      <c r="H1056" s="4">
        <f t="shared" si="1"/>
        <v>0.8006053289</v>
      </c>
      <c r="I1056" s="4" t="str">
        <f t="shared" si="2"/>
        <v>B</v>
      </c>
    </row>
    <row r="1057">
      <c r="A1057" s="2">
        <v>1056.0</v>
      </c>
      <c r="B1057" s="2">
        <v>23340.0</v>
      </c>
      <c r="C1057" s="2" t="s">
        <v>1217</v>
      </c>
      <c r="D1057" s="2">
        <v>1.65</v>
      </c>
      <c r="E1057" s="2">
        <v>1256.0</v>
      </c>
      <c r="F1057" s="2">
        <v>2026.94</v>
      </c>
      <c r="G1057" s="4">
        <f t="shared" si="3"/>
        <v>7643338.86</v>
      </c>
      <c r="H1057" s="4">
        <f t="shared" si="1"/>
        <v>0.8008176981</v>
      </c>
      <c r="I1057" s="4" t="str">
        <f t="shared" si="2"/>
        <v>B</v>
      </c>
    </row>
    <row r="1058">
      <c r="A1058" s="2">
        <v>1057.0</v>
      </c>
      <c r="B1058" s="2">
        <v>84580.0</v>
      </c>
      <c r="C1058" s="2" t="s">
        <v>1218</v>
      </c>
      <c r="D1058" s="2">
        <v>3.75</v>
      </c>
      <c r="E1058" s="2">
        <v>528.0</v>
      </c>
      <c r="F1058" s="2">
        <v>2025.97</v>
      </c>
      <c r="G1058" s="4">
        <f t="shared" si="3"/>
        <v>7645364.83</v>
      </c>
      <c r="H1058" s="4">
        <f t="shared" si="1"/>
        <v>0.8010299656</v>
      </c>
      <c r="I1058" s="4" t="str">
        <f t="shared" si="2"/>
        <v>B</v>
      </c>
    </row>
    <row r="1059">
      <c r="A1059" s="2">
        <v>1058.0</v>
      </c>
      <c r="B1059" s="2">
        <v>23194.0</v>
      </c>
      <c r="C1059" s="2" t="s">
        <v>1219</v>
      </c>
      <c r="D1059" s="2">
        <v>2.25</v>
      </c>
      <c r="E1059" s="2">
        <v>910.0</v>
      </c>
      <c r="F1059" s="2">
        <v>2022.94</v>
      </c>
      <c r="G1059" s="4">
        <f t="shared" si="3"/>
        <v>7647387.77</v>
      </c>
      <c r="H1059" s="4">
        <f t="shared" si="1"/>
        <v>0.8012419156</v>
      </c>
      <c r="I1059" s="4" t="str">
        <f t="shared" si="2"/>
        <v>B</v>
      </c>
    </row>
    <row r="1060">
      <c r="A1060" s="2">
        <v>1059.0</v>
      </c>
      <c r="B1060" s="2">
        <v>20981.0</v>
      </c>
      <c r="C1060" s="2" t="s">
        <v>1220</v>
      </c>
      <c r="D1060" s="2">
        <v>0.85</v>
      </c>
      <c r="E1060" s="2">
        <v>2345.0</v>
      </c>
      <c r="F1060" s="2">
        <v>2022.68</v>
      </c>
      <c r="G1060" s="4">
        <f t="shared" si="3"/>
        <v>7649410.45</v>
      </c>
      <c r="H1060" s="4">
        <f t="shared" si="1"/>
        <v>0.8014538385</v>
      </c>
      <c r="I1060" s="4" t="str">
        <f t="shared" si="2"/>
        <v>B</v>
      </c>
    </row>
    <row r="1061">
      <c r="A1061" s="2">
        <v>1060.0</v>
      </c>
      <c r="B1061" s="2" t="s">
        <v>1221</v>
      </c>
      <c r="C1061" s="2" t="s">
        <v>1222</v>
      </c>
      <c r="D1061" s="2">
        <v>2.1</v>
      </c>
      <c r="E1061" s="2">
        <v>991.0</v>
      </c>
      <c r="F1061" s="2">
        <v>2016.6</v>
      </c>
      <c r="G1061" s="4">
        <f t="shared" si="3"/>
        <v>7651427.05</v>
      </c>
      <c r="H1061" s="4">
        <f t="shared" si="1"/>
        <v>0.8016651243</v>
      </c>
      <c r="I1061" s="4" t="str">
        <f t="shared" si="2"/>
        <v>B</v>
      </c>
    </row>
    <row r="1062">
      <c r="A1062" s="2">
        <v>1061.0</v>
      </c>
      <c r="B1062" s="2">
        <v>23081.0</v>
      </c>
      <c r="C1062" s="2" t="s">
        <v>1223</v>
      </c>
      <c r="D1062" s="2">
        <v>8.25</v>
      </c>
      <c r="E1062" s="2">
        <v>241.0</v>
      </c>
      <c r="F1062" s="2">
        <v>2015.0</v>
      </c>
      <c r="G1062" s="4">
        <f t="shared" si="3"/>
        <v>7653442.05</v>
      </c>
      <c r="H1062" s="4">
        <f t="shared" si="1"/>
        <v>0.8018762424</v>
      </c>
      <c r="I1062" s="4" t="str">
        <f t="shared" si="2"/>
        <v>B</v>
      </c>
    </row>
    <row r="1063">
      <c r="A1063" s="2">
        <v>1062.0</v>
      </c>
      <c r="B1063" s="2">
        <v>22284.0</v>
      </c>
      <c r="C1063" s="2" t="s">
        <v>1224</v>
      </c>
      <c r="D1063" s="2">
        <v>1.65</v>
      </c>
      <c r="E1063" s="2">
        <v>1236.0</v>
      </c>
      <c r="F1063" s="2">
        <v>2013.82</v>
      </c>
      <c r="G1063" s="4">
        <f t="shared" si="3"/>
        <v>7655455.87</v>
      </c>
      <c r="H1063" s="4">
        <f t="shared" si="1"/>
        <v>0.802087237</v>
      </c>
      <c r="I1063" s="4" t="str">
        <f t="shared" si="2"/>
        <v>B</v>
      </c>
    </row>
    <row r="1064">
      <c r="A1064" s="2">
        <v>1063.0</v>
      </c>
      <c r="B1064" s="2">
        <v>22359.0</v>
      </c>
      <c r="C1064" s="2" t="s">
        <v>1225</v>
      </c>
      <c r="D1064" s="2">
        <v>2.95</v>
      </c>
      <c r="E1064" s="2">
        <v>634.0</v>
      </c>
      <c r="F1064" s="2">
        <v>2012.81</v>
      </c>
      <c r="G1064" s="4">
        <f t="shared" si="3"/>
        <v>7657468.68</v>
      </c>
      <c r="H1064" s="4">
        <f t="shared" si="1"/>
        <v>0.8022981257</v>
      </c>
      <c r="I1064" s="4" t="str">
        <f t="shared" si="2"/>
        <v>B</v>
      </c>
    </row>
    <row r="1065">
      <c r="A1065" s="2">
        <v>1064.0</v>
      </c>
      <c r="B1065" s="2">
        <v>22053.0</v>
      </c>
      <c r="C1065" s="2" t="s">
        <v>1226</v>
      </c>
      <c r="D1065" s="2">
        <v>1.25</v>
      </c>
      <c r="E1065" s="2">
        <v>2276.0</v>
      </c>
      <c r="F1065" s="2">
        <v>2011.69</v>
      </c>
      <c r="G1065" s="4">
        <f t="shared" si="3"/>
        <v>7659480.37</v>
      </c>
      <c r="H1065" s="4">
        <f t="shared" si="1"/>
        <v>0.802508897</v>
      </c>
      <c r="I1065" s="4" t="str">
        <f t="shared" si="2"/>
        <v>B</v>
      </c>
    </row>
    <row r="1066">
      <c r="A1066" s="2">
        <v>1065.0</v>
      </c>
      <c r="B1066" s="2">
        <v>22639.0</v>
      </c>
      <c r="C1066" s="2" t="s">
        <v>1227</v>
      </c>
      <c r="D1066" s="2">
        <v>2.55</v>
      </c>
      <c r="E1066" s="2">
        <v>826.0</v>
      </c>
      <c r="F1066" s="2">
        <v>2010.56</v>
      </c>
      <c r="G1066" s="4">
        <f t="shared" si="3"/>
        <v>7661490.93</v>
      </c>
      <c r="H1066" s="4">
        <f t="shared" si="1"/>
        <v>0.80271955</v>
      </c>
      <c r="I1066" s="4" t="str">
        <f t="shared" si="2"/>
        <v>B</v>
      </c>
    </row>
    <row r="1067">
      <c r="A1067" s="2">
        <v>1066.0</v>
      </c>
      <c r="B1067" s="2">
        <v>22245.0</v>
      </c>
      <c r="C1067" s="2" t="s">
        <v>1228</v>
      </c>
      <c r="D1067" s="2">
        <v>0.85</v>
      </c>
      <c r="E1067" s="2">
        <v>2326.0</v>
      </c>
      <c r="F1067" s="2">
        <v>2002.92</v>
      </c>
      <c r="G1067" s="4">
        <f t="shared" si="3"/>
        <v>7663493.85</v>
      </c>
      <c r="H1067" s="4">
        <f t="shared" si="1"/>
        <v>0.8029294025</v>
      </c>
      <c r="I1067" s="4" t="str">
        <f t="shared" si="2"/>
        <v>B</v>
      </c>
    </row>
    <row r="1068">
      <c r="A1068" s="2">
        <v>1067.0</v>
      </c>
      <c r="B1068" s="2">
        <v>23129.0</v>
      </c>
      <c r="C1068" s="2" t="s">
        <v>1229</v>
      </c>
      <c r="D1068" s="2">
        <v>4.15</v>
      </c>
      <c r="E1068" s="2">
        <v>475.0</v>
      </c>
      <c r="F1068" s="2">
        <v>1999.75</v>
      </c>
      <c r="G1068" s="4">
        <f t="shared" si="3"/>
        <v>7665493.6</v>
      </c>
      <c r="H1068" s="4">
        <f t="shared" si="1"/>
        <v>0.8031389229</v>
      </c>
      <c r="I1068" s="4" t="str">
        <f t="shared" si="2"/>
        <v>B</v>
      </c>
    </row>
    <row r="1069">
      <c r="A1069" s="2">
        <v>1068.0</v>
      </c>
      <c r="B1069" s="2" t="s">
        <v>1230</v>
      </c>
      <c r="C1069" s="2" t="s">
        <v>1231</v>
      </c>
      <c r="D1069" s="2">
        <v>1.65</v>
      </c>
      <c r="E1069" s="2">
        <v>1167.0</v>
      </c>
      <c r="F1069" s="2">
        <v>1997.23</v>
      </c>
      <c r="G1069" s="4">
        <f t="shared" si="3"/>
        <v>7667490.83</v>
      </c>
      <c r="H1069" s="4">
        <f t="shared" si="1"/>
        <v>0.8033481792</v>
      </c>
      <c r="I1069" s="4" t="str">
        <f t="shared" si="2"/>
        <v>B</v>
      </c>
    </row>
    <row r="1070">
      <c r="A1070" s="2">
        <v>1069.0</v>
      </c>
      <c r="B1070" s="2">
        <v>23486.0</v>
      </c>
      <c r="C1070" s="2" t="s">
        <v>1232</v>
      </c>
      <c r="D1070" s="2">
        <v>16.65</v>
      </c>
      <c r="E1070" s="2">
        <v>132.0</v>
      </c>
      <c r="F1070" s="2">
        <v>1995.78</v>
      </c>
      <c r="G1070" s="4">
        <f t="shared" si="3"/>
        <v>7669486.61</v>
      </c>
      <c r="H1070" s="4">
        <f t="shared" si="1"/>
        <v>0.8035572836</v>
      </c>
      <c r="I1070" s="4" t="str">
        <f t="shared" si="2"/>
        <v>B</v>
      </c>
    </row>
    <row r="1071">
      <c r="A1071" s="2">
        <v>1070.0</v>
      </c>
      <c r="B1071" s="2">
        <v>20967.0</v>
      </c>
      <c r="C1071" s="2" t="s">
        <v>1233</v>
      </c>
      <c r="D1071" s="2">
        <v>3.75</v>
      </c>
      <c r="E1071" s="2">
        <v>526.0</v>
      </c>
      <c r="F1071" s="2">
        <v>1994.92</v>
      </c>
      <c r="G1071" s="4">
        <f t="shared" si="3"/>
        <v>7671481.53</v>
      </c>
      <c r="H1071" s="4">
        <f t="shared" si="1"/>
        <v>0.803766298</v>
      </c>
      <c r="I1071" s="4" t="str">
        <f t="shared" si="2"/>
        <v>B</v>
      </c>
    </row>
    <row r="1072">
      <c r="A1072" s="2">
        <v>1071.0</v>
      </c>
      <c r="B1072" s="2">
        <v>22454.0</v>
      </c>
      <c r="C1072" s="2" t="s">
        <v>1234</v>
      </c>
      <c r="D1072" s="2">
        <v>2.95</v>
      </c>
      <c r="E1072" s="2">
        <v>712.0</v>
      </c>
      <c r="F1072" s="2">
        <v>1994.84</v>
      </c>
      <c r="G1072" s="4">
        <f t="shared" si="3"/>
        <v>7673476.37</v>
      </c>
      <c r="H1072" s="4">
        <f t="shared" si="1"/>
        <v>0.8039753039</v>
      </c>
      <c r="I1072" s="4" t="str">
        <f t="shared" si="2"/>
        <v>B</v>
      </c>
    </row>
    <row r="1073">
      <c r="A1073" s="2">
        <v>1072.0</v>
      </c>
      <c r="B1073" s="2">
        <v>22445.0</v>
      </c>
      <c r="C1073" s="2" t="s">
        <v>1235</v>
      </c>
      <c r="D1073" s="2">
        <v>2.95</v>
      </c>
      <c r="E1073" s="2">
        <v>648.0</v>
      </c>
      <c r="F1073" s="2">
        <v>1987.71</v>
      </c>
      <c r="G1073" s="4">
        <f t="shared" si="3"/>
        <v>7675464.08</v>
      </c>
      <c r="H1073" s="4">
        <f t="shared" si="1"/>
        <v>0.8041835628</v>
      </c>
      <c r="I1073" s="4" t="str">
        <f t="shared" si="2"/>
        <v>B</v>
      </c>
    </row>
    <row r="1074">
      <c r="A1074" s="2">
        <v>1073.0</v>
      </c>
      <c r="B1074" s="2">
        <v>21349.0</v>
      </c>
      <c r="C1074" s="2" t="s">
        <v>1236</v>
      </c>
      <c r="D1074" s="2">
        <v>6.75</v>
      </c>
      <c r="E1074" s="2">
        <v>274.0</v>
      </c>
      <c r="F1074" s="2">
        <v>1985.12</v>
      </c>
      <c r="G1074" s="4">
        <f t="shared" si="3"/>
        <v>7677449.2</v>
      </c>
      <c r="H1074" s="4">
        <f t="shared" si="1"/>
        <v>0.8043915503</v>
      </c>
      <c r="I1074" s="4" t="str">
        <f t="shared" si="2"/>
        <v>B</v>
      </c>
    </row>
    <row r="1075">
      <c r="A1075" s="2">
        <v>1074.0</v>
      </c>
      <c r="B1075" s="2">
        <v>22612.0</v>
      </c>
      <c r="C1075" s="2" t="s">
        <v>1237</v>
      </c>
      <c r="D1075" s="2">
        <v>3.75</v>
      </c>
      <c r="E1075" s="2">
        <v>498.0</v>
      </c>
      <c r="F1075" s="2">
        <v>1985.0</v>
      </c>
      <c r="G1075" s="4">
        <f t="shared" si="3"/>
        <v>7679434.2</v>
      </c>
      <c r="H1075" s="4">
        <f t="shared" si="1"/>
        <v>0.8045995253</v>
      </c>
      <c r="I1075" s="4" t="str">
        <f t="shared" si="2"/>
        <v>B</v>
      </c>
    </row>
    <row r="1076">
      <c r="A1076" s="2">
        <v>1075.0</v>
      </c>
      <c r="B1076" s="2">
        <v>23110.0</v>
      </c>
      <c r="C1076" s="2" t="s">
        <v>1238</v>
      </c>
      <c r="D1076" s="2">
        <v>5.75</v>
      </c>
      <c r="E1076" s="2">
        <v>334.0</v>
      </c>
      <c r="F1076" s="2">
        <v>1981.59</v>
      </c>
      <c r="G1076" s="4">
        <f t="shared" si="3"/>
        <v>7681415.79</v>
      </c>
      <c r="H1076" s="4">
        <f t="shared" si="1"/>
        <v>0.804807143</v>
      </c>
      <c r="I1076" s="4" t="str">
        <f t="shared" si="2"/>
        <v>B</v>
      </c>
    </row>
    <row r="1077">
      <c r="A1077" s="2">
        <v>1076.0</v>
      </c>
      <c r="B1077" s="2">
        <v>23130.0</v>
      </c>
      <c r="C1077" s="2" t="s">
        <v>1239</v>
      </c>
      <c r="D1077" s="2">
        <v>4.15</v>
      </c>
      <c r="E1077" s="2">
        <v>477.0</v>
      </c>
      <c r="F1077" s="2">
        <v>1977.89</v>
      </c>
      <c r="G1077" s="4">
        <f t="shared" si="3"/>
        <v>7683393.68</v>
      </c>
      <c r="H1077" s="4">
        <f t="shared" si="1"/>
        <v>0.805014373</v>
      </c>
      <c r="I1077" s="4" t="str">
        <f t="shared" si="2"/>
        <v>B</v>
      </c>
    </row>
    <row r="1078">
      <c r="A1078" s="2">
        <v>1077.0</v>
      </c>
      <c r="B1078" s="2">
        <v>22731.0</v>
      </c>
      <c r="C1078" s="2" t="s">
        <v>1240</v>
      </c>
      <c r="D1078" s="2">
        <v>1.25</v>
      </c>
      <c r="E1078" s="2">
        <v>1472.0</v>
      </c>
      <c r="F1078" s="2">
        <v>1974.68</v>
      </c>
      <c r="G1078" s="4">
        <f t="shared" si="3"/>
        <v>7685368.36</v>
      </c>
      <c r="H1078" s="4">
        <f t="shared" si="1"/>
        <v>0.8052212667</v>
      </c>
      <c r="I1078" s="4" t="str">
        <f t="shared" si="2"/>
        <v>B</v>
      </c>
    </row>
    <row r="1079">
      <c r="A1079" s="2">
        <v>1078.0</v>
      </c>
      <c r="B1079" s="2">
        <v>21034.0</v>
      </c>
      <c r="C1079" s="2" t="s">
        <v>1241</v>
      </c>
      <c r="D1079" s="2">
        <v>0.95</v>
      </c>
      <c r="E1079" s="2">
        <v>2072.0</v>
      </c>
      <c r="F1079" s="2">
        <v>1968.4</v>
      </c>
      <c r="G1079" s="4">
        <f t="shared" si="3"/>
        <v>7687336.76</v>
      </c>
      <c r="H1079" s="4">
        <f t="shared" si="1"/>
        <v>0.8054275024</v>
      </c>
      <c r="I1079" s="4" t="str">
        <f t="shared" si="2"/>
        <v>B</v>
      </c>
    </row>
    <row r="1080">
      <c r="A1080" s="2">
        <v>1079.0</v>
      </c>
      <c r="B1080" s="2">
        <v>23557.0</v>
      </c>
      <c r="C1080" s="2" t="s">
        <v>1242</v>
      </c>
      <c r="D1080" s="2">
        <v>12.5</v>
      </c>
      <c r="E1080" s="2">
        <v>175.0</v>
      </c>
      <c r="F1080" s="2">
        <v>1965.14</v>
      </c>
      <c r="G1080" s="4">
        <f t="shared" si="3"/>
        <v>7689301.9</v>
      </c>
      <c r="H1080" s="4">
        <f t="shared" si="1"/>
        <v>0.8056333966</v>
      </c>
      <c r="I1080" s="4" t="str">
        <f t="shared" si="2"/>
        <v>B</v>
      </c>
    </row>
    <row r="1081">
      <c r="A1081" s="2">
        <v>1080.0</v>
      </c>
      <c r="B1081" s="2">
        <v>22057.0</v>
      </c>
      <c r="C1081" s="2" t="s">
        <v>1243</v>
      </c>
      <c r="D1081" s="2">
        <v>1.49</v>
      </c>
      <c r="E1081" s="2">
        <v>1500.0</v>
      </c>
      <c r="F1081" s="2">
        <v>1961.91</v>
      </c>
      <c r="G1081" s="4">
        <f t="shared" si="3"/>
        <v>7691263.81</v>
      </c>
      <c r="H1081" s="4">
        <f t="shared" si="1"/>
        <v>0.8058389524</v>
      </c>
      <c r="I1081" s="4" t="str">
        <f t="shared" si="2"/>
        <v>B</v>
      </c>
    </row>
    <row r="1082">
      <c r="A1082" s="2">
        <v>1081.0</v>
      </c>
      <c r="B1082" s="2">
        <v>22788.0</v>
      </c>
      <c r="C1082" s="2" t="s">
        <v>1244</v>
      </c>
      <c r="D1082" s="2">
        <v>9.95</v>
      </c>
      <c r="E1082" s="2">
        <v>236.0</v>
      </c>
      <c r="F1082" s="2">
        <v>1951.41</v>
      </c>
      <c r="G1082" s="4">
        <f t="shared" si="3"/>
        <v>7693215.22</v>
      </c>
      <c r="H1082" s="4">
        <f t="shared" si="1"/>
        <v>0.806043408</v>
      </c>
      <c r="I1082" s="4" t="str">
        <f t="shared" si="2"/>
        <v>B</v>
      </c>
    </row>
    <row r="1083">
      <c r="A1083" s="2">
        <v>1082.0</v>
      </c>
      <c r="B1083" s="2" t="s">
        <v>1245</v>
      </c>
      <c r="C1083" s="2" t="s">
        <v>1246</v>
      </c>
      <c r="D1083" s="2">
        <v>1.55</v>
      </c>
      <c r="E1083" s="2">
        <v>1258.0</v>
      </c>
      <c r="F1083" s="2">
        <v>1949.9</v>
      </c>
      <c r="G1083" s="4">
        <f t="shared" si="3"/>
        <v>7695165.12</v>
      </c>
      <c r="H1083" s="4">
        <f t="shared" si="1"/>
        <v>0.8062477054</v>
      </c>
      <c r="I1083" s="4" t="str">
        <f t="shared" si="2"/>
        <v>B</v>
      </c>
    </row>
    <row r="1084">
      <c r="A1084" s="2">
        <v>1083.0</v>
      </c>
      <c r="B1084" s="2">
        <v>22790.0</v>
      </c>
      <c r="C1084" s="2" t="s">
        <v>1247</v>
      </c>
      <c r="D1084" s="2">
        <v>19.42</v>
      </c>
      <c r="E1084" s="2">
        <v>100.0</v>
      </c>
      <c r="F1084" s="2">
        <v>1942.0</v>
      </c>
      <c r="G1084" s="4">
        <f t="shared" si="3"/>
        <v>7697107.12</v>
      </c>
      <c r="H1084" s="4">
        <f t="shared" si="1"/>
        <v>0.8064511751</v>
      </c>
      <c r="I1084" s="4" t="str">
        <f t="shared" si="2"/>
        <v>B</v>
      </c>
    </row>
    <row r="1085">
      <c r="A1085" s="2">
        <v>1084.0</v>
      </c>
      <c r="B1085" s="2">
        <v>23552.0</v>
      </c>
      <c r="C1085" s="2" t="s">
        <v>1248</v>
      </c>
      <c r="D1085" s="2">
        <v>2.08</v>
      </c>
      <c r="E1085" s="2">
        <v>932.0</v>
      </c>
      <c r="F1085" s="2">
        <v>1942.0</v>
      </c>
      <c r="G1085" s="4">
        <f t="shared" si="3"/>
        <v>7699049.12</v>
      </c>
      <c r="H1085" s="4">
        <f t="shared" si="1"/>
        <v>0.8066546448</v>
      </c>
      <c r="I1085" s="4" t="str">
        <f t="shared" si="2"/>
        <v>B</v>
      </c>
    </row>
    <row r="1086">
      <c r="A1086" s="2">
        <v>1085.0</v>
      </c>
      <c r="B1086" s="2">
        <v>22314.0</v>
      </c>
      <c r="C1086" s="2" t="s">
        <v>1249</v>
      </c>
      <c r="D1086" s="2">
        <v>4.95</v>
      </c>
      <c r="E1086" s="2">
        <v>554.0</v>
      </c>
      <c r="F1086" s="2">
        <v>1940.76</v>
      </c>
      <c r="G1086" s="4">
        <f t="shared" si="3"/>
        <v>7700989.88</v>
      </c>
      <c r="H1086" s="4">
        <f t="shared" si="1"/>
        <v>0.8068579846</v>
      </c>
      <c r="I1086" s="4" t="str">
        <f t="shared" si="2"/>
        <v>B</v>
      </c>
    </row>
    <row r="1087">
      <c r="A1087" s="2">
        <v>1086.0</v>
      </c>
      <c r="B1087" s="2">
        <v>22341.0</v>
      </c>
      <c r="C1087" s="2" t="s">
        <v>1250</v>
      </c>
      <c r="D1087" s="2">
        <v>1.65</v>
      </c>
      <c r="E1087" s="2">
        <v>1146.0</v>
      </c>
      <c r="F1087" s="2">
        <v>1938.5</v>
      </c>
      <c r="G1087" s="4">
        <f t="shared" si="3"/>
        <v>7702928.38</v>
      </c>
      <c r="H1087" s="4">
        <f t="shared" si="1"/>
        <v>0.8070610876</v>
      </c>
      <c r="I1087" s="4" t="str">
        <f t="shared" si="2"/>
        <v>B</v>
      </c>
    </row>
    <row r="1088">
      <c r="A1088" s="2">
        <v>1087.0</v>
      </c>
      <c r="B1088" s="2">
        <v>23049.0</v>
      </c>
      <c r="C1088" s="2" t="s">
        <v>1251</v>
      </c>
      <c r="D1088" s="2">
        <v>8.25</v>
      </c>
      <c r="E1088" s="2">
        <v>226.0</v>
      </c>
      <c r="F1088" s="2">
        <v>1936.04</v>
      </c>
      <c r="G1088" s="4">
        <f t="shared" si="3"/>
        <v>7704864.42</v>
      </c>
      <c r="H1088" s="4">
        <f t="shared" si="1"/>
        <v>0.8072639329</v>
      </c>
      <c r="I1088" s="4" t="str">
        <f t="shared" si="2"/>
        <v>B</v>
      </c>
    </row>
    <row r="1089">
      <c r="A1089" s="2">
        <v>1088.0</v>
      </c>
      <c r="B1089" s="2">
        <v>22118.0</v>
      </c>
      <c r="C1089" s="2" t="s">
        <v>1252</v>
      </c>
      <c r="D1089" s="2">
        <v>4.95</v>
      </c>
      <c r="E1089" s="2">
        <v>402.0</v>
      </c>
      <c r="F1089" s="2">
        <v>1931.56</v>
      </c>
      <c r="G1089" s="4">
        <f t="shared" si="3"/>
        <v>7706795.98</v>
      </c>
      <c r="H1089" s="4">
        <f t="shared" si="1"/>
        <v>0.8074663088</v>
      </c>
      <c r="I1089" s="4" t="str">
        <f t="shared" si="2"/>
        <v>B</v>
      </c>
    </row>
    <row r="1090">
      <c r="A1090" s="2">
        <v>1089.0</v>
      </c>
      <c r="B1090" s="2">
        <v>22797.0</v>
      </c>
      <c r="C1090" s="2" t="s">
        <v>1253</v>
      </c>
      <c r="D1090" s="2">
        <v>16.95</v>
      </c>
      <c r="E1090" s="2">
        <v>110.0</v>
      </c>
      <c r="F1090" s="2">
        <v>1930.8</v>
      </c>
      <c r="G1090" s="4">
        <f t="shared" si="3"/>
        <v>7708726.78</v>
      </c>
      <c r="H1090" s="4">
        <f t="shared" si="1"/>
        <v>0.807668605</v>
      </c>
      <c r="I1090" s="4" t="str">
        <f t="shared" si="2"/>
        <v>B</v>
      </c>
    </row>
    <row r="1091">
      <c r="A1091" s="2">
        <v>1090.0</v>
      </c>
      <c r="B1091" s="2">
        <v>22959.0</v>
      </c>
      <c r="C1091" s="2" t="s">
        <v>1254</v>
      </c>
      <c r="D1091" s="2">
        <v>0.42</v>
      </c>
      <c r="E1091" s="2">
        <v>4719.0</v>
      </c>
      <c r="F1091" s="2">
        <v>1927.98</v>
      </c>
      <c r="G1091" s="4">
        <f t="shared" si="3"/>
        <v>7710654.76</v>
      </c>
      <c r="H1091" s="4">
        <f t="shared" si="1"/>
        <v>0.8078706058</v>
      </c>
      <c r="I1091" s="4" t="str">
        <f t="shared" si="2"/>
        <v>B</v>
      </c>
    </row>
    <row r="1092">
      <c r="A1092" s="2">
        <v>1091.0</v>
      </c>
      <c r="B1092" s="2">
        <v>22478.0</v>
      </c>
      <c r="C1092" s="2" t="s">
        <v>1255</v>
      </c>
      <c r="D1092" s="2">
        <v>1.25</v>
      </c>
      <c r="E1092" s="2">
        <v>1389.0</v>
      </c>
      <c r="F1092" s="2">
        <v>1927.96</v>
      </c>
      <c r="G1092" s="4">
        <f t="shared" si="3"/>
        <v>7712582.72</v>
      </c>
      <c r="H1092" s="4">
        <f t="shared" si="1"/>
        <v>0.8080726045</v>
      </c>
      <c r="I1092" s="4" t="str">
        <f t="shared" si="2"/>
        <v>B</v>
      </c>
    </row>
    <row r="1093">
      <c r="A1093" s="2">
        <v>1092.0</v>
      </c>
      <c r="B1093" s="2">
        <v>23032.0</v>
      </c>
      <c r="C1093" s="2" t="s">
        <v>1256</v>
      </c>
      <c r="D1093" s="2">
        <v>1.65</v>
      </c>
      <c r="E1093" s="2">
        <v>1164.0</v>
      </c>
      <c r="F1093" s="2">
        <v>1927.66</v>
      </c>
      <c r="G1093" s="4">
        <f t="shared" si="3"/>
        <v>7714510.38</v>
      </c>
      <c r="H1093" s="4">
        <f t="shared" si="1"/>
        <v>0.8082745718</v>
      </c>
      <c r="I1093" s="4" t="str">
        <f t="shared" si="2"/>
        <v>B</v>
      </c>
    </row>
    <row r="1094">
      <c r="A1094" s="2">
        <v>1093.0</v>
      </c>
      <c r="B1094" s="2">
        <v>22272.0</v>
      </c>
      <c r="C1094" s="2" t="s">
        <v>1257</v>
      </c>
      <c r="D1094" s="2">
        <v>2.95</v>
      </c>
      <c r="E1094" s="2">
        <v>686.0</v>
      </c>
      <c r="F1094" s="2">
        <v>1925.65</v>
      </c>
      <c r="G1094" s="4">
        <f t="shared" si="3"/>
        <v>7716436.03</v>
      </c>
      <c r="H1094" s="4">
        <f t="shared" si="1"/>
        <v>0.8084763285</v>
      </c>
      <c r="I1094" s="4" t="str">
        <f t="shared" si="2"/>
        <v>B</v>
      </c>
    </row>
    <row r="1095">
      <c r="A1095" s="2">
        <v>1094.0</v>
      </c>
      <c r="B1095" s="2">
        <v>23253.0</v>
      </c>
      <c r="C1095" s="2" t="s">
        <v>1258</v>
      </c>
      <c r="D1095" s="2">
        <v>15.95</v>
      </c>
      <c r="E1095" s="2">
        <v>129.0</v>
      </c>
      <c r="F1095" s="2">
        <v>1924.43</v>
      </c>
      <c r="G1095" s="4">
        <f t="shared" si="3"/>
        <v>7718360.46</v>
      </c>
      <c r="H1095" s="4">
        <f t="shared" si="1"/>
        <v>0.8086779573</v>
      </c>
      <c r="I1095" s="4" t="str">
        <f t="shared" si="2"/>
        <v>B</v>
      </c>
    </row>
    <row r="1096">
      <c r="A1096" s="2">
        <v>1095.0</v>
      </c>
      <c r="B1096" s="2">
        <v>22777.0</v>
      </c>
      <c r="C1096" s="2" t="s">
        <v>1259</v>
      </c>
      <c r="D1096" s="2">
        <v>8.5</v>
      </c>
      <c r="E1096" s="2">
        <v>228.0</v>
      </c>
      <c r="F1096" s="2">
        <v>1923.66</v>
      </c>
      <c r="G1096" s="4">
        <f t="shared" si="3"/>
        <v>7720284.12</v>
      </c>
      <c r="H1096" s="4">
        <f t="shared" si="1"/>
        <v>0.8088795055</v>
      </c>
      <c r="I1096" s="4" t="str">
        <f t="shared" si="2"/>
        <v>B</v>
      </c>
    </row>
    <row r="1097">
      <c r="A1097" s="2">
        <v>1096.0</v>
      </c>
      <c r="B1097" s="2">
        <v>21447.0</v>
      </c>
      <c r="C1097" s="2" t="s">
        <v>1260</v>
      </c>
      <c r="D1097" s="2">
        <v>1.25</v>
      </c>
      <c r="E1097" s="2">
        <v>1389.0</v>
      </c>
      <c r="F1097" s="2">
        <v>1922.56</v>
      </c>
      <c r="G1097" s="4">
        <f t="shared" si="3"/>
        <v>7722206.68</v>
      </c>
      <c r="H1097" s="4">
        <f t="shared" si="1"/>
        <v>0.8090809384</v>
      </c>
      <c r="I1097" s="4" t="str">
        <f t="shared" si="2"/>
        <v>B</v>
      </c>
    </row>
    <row r="1098">
      <c r="A1098" s="2">
        <v>1097.0</v>
      </c>
      <c r="B1098" s="2">
        <v>22475.0</v>
      </c>
      <c r="C1098" s="2" t="s">
        <v>1261</v>
      </c>
      <c r="D1098" s="2">
        <v>4.95</v>
      </c>
      <c r="E1098" s="2">
        <v>383.0</v>
      </c>
      <c r="F1098" s="2">
        <v>1920.98</v>
      </c>
      <c r="G1098" s="4">
        <f t="shared" si="3"/>
        <v>7724127.66</v>
      </c>
      <c r="H1098" s="4">
        <f t="shared" si="1"/>
        <v>0.8092822058</v>
      </c>
      <c r="I1098" s="4" t="str">
        <f t="shared" si="2"/>
        <v>B</v>
      </c>
    </row>
    <row r="1099">
      <c r="A1099" s="2">
        <v>1098.0</v>
      </c>
      <c r="B1099" s="2">
        <v>23131.0</v>
      </c>
      <c r="C1099" s="2" t="s">
        <v>1262</v>
      </c>
      <c r="D1099" s="2">
        <v>4.15</v>
      </c>
      <c r="E1099" s="2">
        <v>472.0</v>
      </c>
      <c r="F1099" s="2">
        <v>1920.06</v>
      </c>
      <c r="G1099" s="4">
        <f t="shared" si="3"/>
        <v>7726047.72</v>
      </c>
      <c r="H1099" s="4">
        <f t="shared" si="1"/>
        <v>0.8094833768</v>
      </c>
      <c r="I1099" s="4" t="str">
        <f t="shared" si="2"/>
        <v>B</v>
      </c>
    </row>
    <row r="1100">
      <c r="A1100" s="2">
        <v>1099.0</v>
      </c>
      <c r="B1100" s="2">
        <v>21648.0</v>
      </c>
      <c r="C1100" s="2" t="s">
        <v>1263</v>
      </c>
      <c r="D1100" s="2">
        <v>1.25</v>
      </c>
      <c r="E1100" s="2">
        <v>1414.0</v>
      </c>
      <c r="F1100" s="2">
        <v>1919.64</v>
      </c>
      <c r="G1100" s="4">
        <f t="shared" si="3"/>
        <v>7727967.36</v>
      </c>
      <c r="H1100" s="4">
        <f t="shared" si="1"/>
        <v>0.8096845037</v>
      </c>
      <c r="I1100" s="4" t="str">
        <f t="shared" si="2"/>
        <v>B</v>
      </c>
    </row>
    <row r="1101">
      <c r="A1101" s="2">
        <v>1100.0</v>
      </c>
      <c r="B1101" s="2">
        <v>22843.0</v>
      </c>
      <c r="C1101" s="2" t="s">
        <v>1264</v>
      </c>
      <c r="D1101" s="2">
        <v>6.75</v>
      </c>
      <c r="E1101" s="2">
        <v>296.0</v>
      </c>
      <c r="F1101" s="2">
        <v>1919.13</v>
      </c>
      <c r="G1101" s="4">
        <f t="shared" si="3"/>
        <v>7729886.49</v>
      </c>
      <c r="H1101" s="4">
        <f t="shared" si="1"/>
        <v>0.8098855773</v>
      </c>
      <c r="I1101" s="4" t="str">
        <f t="shared" si="2"/>
        <v>B</v>
      </c>
    </row>
    <row r="1102">
      <c r="A1102" s="2">
        <v>1101.0</v>
      </c>
      <c r="B1102" s="2">
        <v>21812.0</v>
      </c>
      <c r="C1102" s="2" t="s">
        <v>1265</v>
      </c>
      <c r="D1102" s="2">
        <v>4.95</v>
      </c>
      <c r="E1102" s="2">
        <v>394.0</v>
      </c>
      <c r="F1102" s="2">
        <v>1914.2</v>
      </c>
      <c r="G1102" s="4">
        <f t="shared" si="3"/>
        <v>7731800.69</v>
      </c>
      <c r="H1102" s="4">
        <f t="shared" si="1"/>
        <v>0.8100861343</v>
      </c>
      <c r="I1102" s="4" t="str">
        <f t="shared" si="2"/>
        <v>B</v>
      </c>
    </row>
    <row r="1103">
      <c r="A1103" s="2">
        <v>1102.0</v>
      </c>
      <c r="B1103" s="2">
        <v>21192.0</v>
      </c>
      <c r="C1103" s="2" t="s">
        <v>1266</v>
      </c>
      <c r="D1103" s="2">
        <v>1.65</v>
      </c>
      <c r="E1103" s="2">
        <v>1060.0</v>
      </c>
      <c r="F1103" s="2">
        <v>1909.67</v>
      </c>
      <c r="G1103" s="4">
        <f t="shared" si="3"/>
        <v>7733710.36</v>
      </c>
      <c r="H1103" s="4">
        <f t="shared" si="1"/>
        <v>0.8102862167</v>
      </c>
      <c r="I1103" s="4" t="str">
        <f t="shared" si="2"/>
        <v>B</v>
      </c>
    </row>
    <row r="1104">
      <c r="A1104" s="2">
        <v>1103.0</v>
      </c>
      <c r="B1104" s="2">
        <v>21067.0</v>
      </c>
      <c r="C1104" s="2" t="s">
        <v>1267</v>
      </c>
      <c r="D1104" s="2">
        <v>1.25</v>
      </c>
      <c r="E1104" s="2">
        <v>2374.0</v>
      </c>
      <c r="F1104" s="2">
        <v>1908.14</v>
      </c>
      <c r="G1104" s="4">
        <f t="shared" si="3"/>
        <v>7735618.5</v>
      </c>
      <c r="H1104" s="4">
        <f t="shared" si="1"/>
        <v>0.8104861388</v>
      </c>
      <c r="I1104" s="4" t="str">
        <f t="shared" si="2"/>
        <v>B</v>
      </c>
    </row>
    <row r="1105">
      <c r="A1105" s="2">
        <v>1104.0</v>
      </c>
      <c r="B1105" s="2">
        <v>35924.0</v>
      </c>
      <c r="C1105" s="2" t="s">
        <v>1268</v>
      </c>
      <c r="D1105" s="2">
        <v>2.1</v>
      </c>
      <c r="E1105" s="2">
        <v>1012.0</v>
      </c>
      <c r="F1105" s="2">
        <v>1906.17</v>
      </c>
      <c r="G1105" s="4">
        <f t="shared" si="3"/>
        <v>7737524.67</v>
      </c>
      <c r="H1105" s="4">
        <f t="shared" si="1"/>
        <v>0.8106858545</v>
      </c>
      <c r="I1105" s="4" t="str">
        <f t="shared" si="2"/>
        <v>B</v>
      </c>
    </row>
    <row r="1106">
      <c r="A1106" s="2">
        <v>1105.0</v>
      </c>
      <c r="B1106" s="2" t="s">
        <v>1269</v>
      </c>
      <c r="C1106" s="2" t="s">
        <v>1270</v>
      </c>
      <c r="D1106" s="2">
        <v>4.25</v>
      </c>
      <c r="E1106" s="2">
        <v>580.0</v>
      </c>
      <c r="F1106" s="2">
        <v>1905.48</v>
      </c>
      <c r="G1106" s="4">
        <f t="shared" si="3"/>
        <v>7739430.15</v>
      </c>
      <c r="H1106" s="4">
        <f t="shared" si="1"/>
        <v>0.8108854979</v>
      </c>
      <c r="I1106" s="4" t="str">
        <f t="shared" si="2"/>
        <v>B</v>
      </c>
    </row>
    <row r="1107">
      <c r="A1107" s="2">
        <v>1106.0</v>
      </c>
      <c r="B1107" s="2">
        <v>22965.0</v>
      </c>
      <c r="C1107" s="2" t="s">
        <v>1271</v>
      </c>
      <c r="D1107" s="2">
        <v>2.1</v>
      </c>
      <c r="E1107" s="2">
        <v>916.0</v>
      </c>
      <c r="F1107" s="2">
        <v>1905.47</v>
      </c>
      <c r="G1107" s="4">
        <f t="shared" si="3"/>
        <v>7741335.62</v>
      </c>
      <c r="H1107" s="4">
        <f t="shared" si="1"/>
        <v>0.8110851402</v>
      </c>
      <c r="I1107" s="4" t="str">
        <f t="shared" si="2"/>
        <v>B</v>
      </c>
    </row>
    <row r="1108">
      <c r="A1108" s="2">
        <v>1107.0</v>
      </c>
      <c r="B1108" s="2">
        <v>22980.0</v>
      </c>
      <c r="C1108" s="2" t="s">
        <v>1272</v>
      </c>
      <c r="D1108" s="2">
        <v>1.65</v>
      </c>
      <c r="E1108" s="2">
        <v>1147.0</v>
      </c>
      <c r="F1108" s="2">
        <v>1902.88</v>
      </c>
      <c r="G1108" s="4">
        <f t="shared" si="3"/>
        <v>7743238.5</v>
      </c>
      <c r="H1108" s="4">
        <f t="shared" si="1"/>
        <v>0.8112845112</v>
      </c>
      <c r="I1108" s="4" t="str">
        <f t="shared" si="2"/>
        <v>B</v>
      </c>
    </row>
    <row r="1109">
      <c r="A1109" s="2">
        <v>1108.0</v>
      </c>
      <c r="B1109" s="2">
        <v>21100.0</v>
      </c>
      <c r="C1109" s="2" t="s">
        <v>1273</v>
      </c>
      <c r="D1109" s="2">
        <v>1.65</v>
      </c>
      <c r="E1109" s="2">
        <v>1273.0</v>
      </c>
      <c r="F1109" s="2">
        <v>1902.45</v>
      </c>
      <c r="G1109" s="4">
        <f t="shared" si="3"/>
        <v>7745140.95</v>
      </c>
      <c r="H1109" s="4">
        <f t="shared" si="1"/>
        <v>0.8114838371</v>
      </c>
      <c r="I1109" s="4" t="str">
        <f t="shared" si="2"/>
        <v>B</v>
      </c>
    </row>
    <row r="1110">
      <c r="A1110" s="2">
        <v>1109.0</v>
      </c>
      <c r="B1110" s="2">
        <v>21055.0</v>
      </c>
      <c r="C1110" s="2" t="s">
        <v>1274</v>
      </c>
      <c r="D1110" s="2">
        <v>8.95</v>
      </c>
      <c r="E1110" s="2">
        <v>191.0</v>
      </c>
      <c r="F1110" s="2">
        <v>1901.64</v>
      </c>
      <c r="G1110" s="4">
        <f t="shared" si="3"/>
        <v>7747042.59</v>
      </c>
      <c r="H1110" s="4">
        <f t="shared" si="1"/>
        <v>0.8116830782</v>
      </c>
      <c r="I1110" s="4" t="str">
        <f t="shared" si="2"/>
        <v>B</v>
      </c>
    </row>
    <row r="1111">
      <c r="A1111" s="2">
        <v>1110.0</v>
      </c>
      <c r="B1111" s="2">
        <v>21987.0</v>
      </c>
      <c r="C1111" s="2" t="s">
        <v>1275</v>
      </c>
      <c r="D1111" s="2">
        <v>0.65</v>
      </c>
      <c r="E1111" s="2">
        <v>3060.0</v>
      </c>
      <c r="F1111" s="2">
        <v>1897.83</v>
      </c>
      <c r="G1111" s="4">
        <f t="shared" si="3"/>
        <v>7748940.42</v>
      </c>
      <c r="H1111" s="4">
        <f t="shared" si="1"/>
        <v>0.8118819201</v>
      </c>
      <c r="I1111" s="4" t="str">
        <f t="shared" si="2"/>
        <v>B</v>
      </c>
    </row>
    <row r="1112">
      <c r="A1112" s="2">
        <v>1111.0</v>
      </c>
      <c r="B1112" s="2">
        <v>22458.0</v>
      </c>
      <c r="C1112" s="2" t="s">
        <v>1276</v>
      </c>
      <c r="D1112" s="2">
        <v>2.55</v>
      </c>
      <c r="E1112" s="2">
        <v>762.0</v>
      </c>
      <c r="F1112" s="2">
        <v>1897.78</v>
      </c>
      <c r="G1112" s="4">
        <f t="shared" si="3"/>
        <v>7750838.2</v>
      </c>
      <c r="H1112" s="4">
        <f t="shared" si="1"/>
        <v>0.8120807567</v>
      </c>
      <c r="I1112" s="4" t="str">
        <f t="shared" si="2"/>
        <v>B</v>
      </c>
    </row>
    <row r="1113">
      <c r="A1113" s="2">
        <v>1112.0</v>
      </c>
      <c r="B1113" s="2">
        <v>71038.0</v>
      </c>
      <c r="C1113" s="2" t="s">
        <v>1277</v>
      </c>
      <c r="D1113" s="2">
        <v>5.45</v>
      </c>
      <c r="E1113" s="2">
        <v>359.0</v>
      </c>
      <c r="F1113" s="2">
        <v>1897.35</v>
      </c>
      <c r="G1113" s="4">
        <f t="shared" si="3"/>
        <v>7752735.55</v>
      </c>
      <c r="H1113" s="4">
        <f t="shared" si="1"/>
        <v>0.8122795483</v>
      </c>
      <c r="I1113" s="4" t="str">
        <f t="shared" si="2"/>
        <v>B</v>
      </c>
    </row>
    <row r="1114">
      <c r="A1114" s="2">
        <v>1113.0</v>
      </c>
      <c r="B1114" s="2">
        <v>22292.0</v>
      </c>
      <c r="C1114" s="2" t="s">
        <v>1278</v>
      </c>
      <c r="D1114" s="2">
        <v>1.45</v>
      </c>
      <c r="E1114" s="2">
        <v>1394.0</v>
      </c>
      <c r="F1114" s="2">
        <v>1893.4</v>
      </c>
      <c r="G1114" s="4">
        <f t="shared" si="3"/>
        <v>7754628.95</v>
      </c>
      <c r="H1114" s="4">
        <f t="shared" si="1"/>
        <v>0.812477926</v>
      </c>
      <c r="I1114" s="4" t="str">
        <f t="shared" si="2"/>
        <v>B</v>
      </c>
    </row>
    <row r="1115">
      <c r="A1115" s="2">
        <v>1114.0</v>
      </c>
      <c r="B1115" s="2">
        <v>23542.0</v>
      </c>
      <c r="C1115" s="2" t="s">
        <v>1279</v>
      </c>
      <c r="D1115" s="2">
        <v>8.25</v>
      </c>
      <c r="E1115" s="2">
        <v>252.0</v>
      </c>
      <c r="F1115" s="2">
        <v>1891.83</v>
      </c>
      <c r="G1115" s="4">
        <f t="shared" si="3"/>
        <v>7756520.78</v>
      </c>
      <c r="H1115" s="4">
        <f t="shared" si="1"/>
        <v>0.8126761393</v>
      </c>
      <c r="I1115" s="4" t="str">
        <f t="shared" si="2"/>
        <v>B</v>
      </c>
    </row>
    <row r="1116">
      <c r="A1116" s="2">
        <v>1115.0</v>
      </c>
      <c r="B1116" s="2">
        <v>21627.0</v>
      </c>
      <c r="C1116" s="2" t="s">
        <v>1280</v>
      </c>
      <c r="D1116" s="2">
        <v>29.17</v>
      </c>
      <c r="E1116" s="2">
        <v>98.0</v>
      </c>
      <c r="F1116" s="2">
        <v>1890.65</v>
      </c>
      <c r="G1116" s="4">
        <f t="shared" si="3"/>
        <v>7758411.43</v>
      </c>
      <c r="H1116" s="4">
        <f t="shared" si="1"/>
        <v>0.8128742289</v>
      </c>
      <c r="I1116" s="4" t="str">
        <f t="shared" si="2"/>
        <v>B</v>
      </c>
    </row>
    <row r="1117">
      <c r="A1117" s="2">
        <v>1116.0</v>
      </c>
      <c r="B1117" s="2">
        <v>21743.0</v>
      </c>
      <c r="C1117" s="2" t="s">
        <v>1281</v>
      </c>
      <c r="D1117" s="2">
        <v>2.95</v>
      </c>
      <c r="E1117" s="2">
        <v>646.0</v>
      </c>
      <c r="F1117" s="2">
        <v>1889.44</v>
      </c>
      <c r="G1117" s="4">
        <f t="shared" si="3"/>
        <v>7760300.87</v>
      </c>
      <c r="H1117" s="4">
        <f t="shared" si="1"/>
        <v>0.8130721917</v>
      </c>
      <c r="I1117" s="4" t="str">
        <f t="shared" si="2"/>
        <v>B</v>
      </c>
    </row>
    <row r="1118">
      <c r="A1118" s="2">
        <v>1117.0</v>
      </c>
      <c r="B1118" s="2" t="s">
        <v>1282</v>
      </c>
      <c r="C1118" s="2" t="s">
        <v>1283</v>
      </c>
      <c r="D1118" s="2">
        <v>4.25</v>
      </c>
      <c r="E1118" s="2">
        <v>456.0</v>
      </c>
      <c r="F1118" s="2">
        <v>1888.58</v>
      </c>
      <c r="G1118" s="4">
        <f t="shared" si="3"/>
        <v>7762189.45</v>
      </c>
      <c r="H1118" s="4">
        <f t="shared" si="1"/>
        <v>0.8132700644</v>
      </c>
      <c r="I1118" s="4" t="str">
        <f t="shared" si="2"/>
        <v>B</v>
      </c>
    </row>
    <row r="1119">
      <c r="A1119" s="2">
        <v>1118.0</v>
      </c>
      <c r="B1119" s="2">
        <v>84016.0</v>
      </c>
      <c r="C1119" s="2" t="s">
        <v>1284</v>
      </c>
      <c r="D1119" s="2">
        <v>0.42</v>
      </c>
      <c r="E1119" s="2">
        <v>478.0</v>
      </c>
      <c r="F1119" s="2">
        <v>1885.76</v>
      </c>
      <c r="G1119" s="4">
        <f t="shared" si="3"/>
        <v>7764075.21</v>
      </c>
      <c r="H1119" s="4">
        <f t="shared" si="1"/>
        <v>0.8134676417</v>
      </c>
      <c r="I1119" s="4" t="str">
        <f t="shared" si="2"/>
        <v>B</v>
      </c>
    </row>
    <row r="1120">
      <c r="A1120" s="2">
        <v>1119.0</v>
      </c>
      <c r="B1120" s="2">
        <v>21846.0</v>
      </c>
      <c r="C1120" s="2" t="s">
        <v>1285</v>
      </c>
      <c r="D1120" s="2">
        <v>4.21</v>
      </c>
      <c r="E1120" s="2">
        <v>806.0</v>
      </c>
      <c r="F1120" s="2">
        <v>1884.52</v>
      </c>
      <c r="G1120" s="4">
        <f t="shared" si="3"/>
        <v>7765959.73</v>
      </c>
      <c r="H1120" s="4">
        <f t="shared" si="1"/>
        <v>0.813665089</v>
      </c>
      <c r="I1120" s="4" t="str">
        <f t="shared" si="2"/>
        <v>B</v>
      </c>
    </row>
    <row r="1121">
      <c r="A1121" s="2">
        <v>1120.0</v>
      </c>
      <c r="B1121" s="2">
        <v>22830.0</v>
      </c>
      <c r="C1121" s="2" t="s">
        <v>1286</v>
      </c>
      <c r="D1121" s="2">
        <v>26.95</v>
      </c>
      <c r="E1121" s="2">
        <v>90.0</v>
      </c>
      <c r="F1121" s="2">
        <v>1880.36</v>
      </c>
      <c r="G1121" s="4">
        <f t="shared" si="3"/>
        <v>7767840.09</v>
      </c>
      <c r="H1121" s="4">
        <f t="shared" si="1"/>
        <v>0.8138621005</v>
      </c>
      <c r="I1121" s="4" t="str">
        <f t="shared" si="2"/>
        <v>B</v>
      </c>
    </row>
    <row r="1122">
      <c r="A1122" s="2">
        <v>1121.0</v>
      </c>
      <c r="B1122" s="2" t="s">
        <v>1287</v>
      </c>
      <c r="C1122" s="2" t="s">
        <v>1288</v>
      </c>
      <c r="D1122" s="2">
        <v>1.65</v>
      </c>
      <c r="E1122" s="2">
        <v>1205.0</v>
      </c>
      <c r="F1122" s="2">
        <v>1877.86</v>
      </c>
      <c r="G1122" s="4">
        <f t="shared" si="3"/>
        <v>7769717.95</v>
      </c>
      <c r="H1122" s="4">
        <f t="shared" si="1"/>
        <v>0.8140588501</v>
      </c>
      <c r="I1122" s="4" t="str">
        <f t="shared" si="2"/>
        <v>B</v>
      </c>
    </row>
    <row r="1123">
      <c r="A1123" s="2">
        <v>1122.0</v>
      </c>
      <c r="B1123" s="2">
        <v>23299.0</v>
      </c>
      <c r="C1123" s="2" t="s">
        <v>1289</v>
      </c>
      <c r="D1123" s="2">
        <v>3.75</v>
      </c>
      <c r="E1123" s="2">
        <v>504.0</v>
      </c>
      <c r="F1123" s="2">
        <v>1877.06</v>
      </c>
      <c r="G1123" s="4">
        <f t="shared" si="3"/>
        <v>7771595.01</v>
      </c>
      <c r="H1123" s="4">
        <f t="shared" si="1"/>
        <v>0.8142555158</v>
      </c>
      <c r="I1123" s="4" t="str">
        <f t="shared" si="2"/>
        <v>B</v>
      </c>
    </row>
    <row r="1124">
      <c r="A1124" s="2">
        <v>1123.0</v>
      </c>
      <c r="B1124" s="2">
        <v>21329.0</v>
      </c>
      <c r="C1124" s="2" t="s">
        <v>1290</v>
      </c>
      <c r="D1124" s="2">
        <v>1.65</v>
      </c>
      <c r="E1124" s="2">
        <v>1038.0</v>
      </c>
      <c r="F1124" s="2">
        <v>1875.38</v>
      </c>
      <c r="G1124" s="4">
        <f t="shared" si="3"/>
        <v>7773470.39</v>
      </c>
      <c r="H1124" s="4">
        <f t="shared" si="1"/>
        <v>0.8144520055</v>
      </c>
      <c r="I1124" s="4" t="str">
        <f t="shared" si="2"/>
        <v>B</v>
      </c>
    </row>
    <row r="1125">
      <c r="A1125" s="2">
        <v>1124.0</v>
      </c>
      <c r="B1125" s="2">
        <v>23092.0</v>
      </c>
      <c r="C1125" s="2" t="s">
        <v>1291</v>
      </c>
      <c r="D1125" s="2">
        <v>7.9</v>
      </c>
      <c r="E1125" s="2">
        <v>261.0</v>
      </c>
      <c r="F1125" s="2">
        <v>1874.94</v>
      </c>
      <c r="G1125" s="4">
        <f t="shared" si="3"/>
        <v>7775345.33</v>
      </c>
      <c r="H1125" s="4">
        <f t="shared" si="1"/>
        <v>0.8146484492</v>
      </c>
      <c r="I1125" s="4" t="str">
        <f t="shared" si="2"/>
        <v>B</v>
      </c>
    </row>
    <row r="1126">
      <c r="A1126" s="2">
        <v>1125.0</v>
      </c>
      <c r="B1126" s="2" t="s">
        <v>1292</v>
      </c>
      <c r="C1126" s="2" t="s">
        <v>1293</v>
      </c>
      <c r="D1126" s="2">
        <v>1.25</v>
      </c>
      <c r="E1126" s="2">
        <v>1488.0</v>
      </c>
      <c r="F1126" s="2">
        <v>1870.02</v>
      </c>
      <c r="G1126" s="4">
        <f t="shared" si="3"/>
        <v>7777215.35</v>
      </c>
      <c r="H1126" s="4">
        <f t="shared" si="1"/>
        <v>0.8148443773</v>
      </c>
      <c r="I1126" s="4" t="str">
        <f t="shared" si="2"/>
        <v>B</v>
      </c>
    </row>
    <row r="1127">
      <c r="A1127" s="2">
        <v>1126.0</v>
      </c>
      <c r="B1127" s="2">
        <v>22544.0</v>
      </c>
      <c r="C1127" s="2" t="s">
        <v>1294</v>
      </c>
      <c r="D1127" s="2">
        <v>0.42</v>
      </c>
      <c r="E1127" s="2">
        <v>4669.0</v>
      </c>
      <c r="F1127" s="2">
        <v>1869.02</v>
      </c>
      <c r="G1127" s="4">
        <f t="shared" si="3"/>
        <v>7779084.37</v>
      </c>
      <c r="H1127" s="4">
        <f t="shared" si="1"/>
        <v>0.8150402007</v>
      </c>
      <c r="I1127" s="4" t="str">
        <f t="shared" si="2"/>
        <v>B</v>
      </c>
    </row>
    <row r="1128">
      <c r="A1128" s="2">
        <v>1127.0</v>
      </c>
      <c r="B1128" s="2">
        <v>84356.0</v>
      </c>
      <c r="C1128" s="2" t="s">
        <v>1295</v>
      </c>
      <c r="D1128" s="2">
        <v>6.95</v>
      </c>
      <c r="E1128" s="2">
        <v>372.0</v>
      </c>
      <c r="F1128" s="2">
        <v>1868.15</v>
      </c>
      <c r="G1128" s="4">
        <f t="shared" si="3"/>
        <v>7780952.52</v>
      </c>
      <c r="H1128" s="4">
        <f t="shared" si="1"/>
        <v>0.8152359329</v>
      </c>
      <c r="I1128" s="4" t="str">
        <f t="shared" si="2"/>
        <v>B</v>
      </c>
    </row>
    <row r="1129">
      <c r="A1129" s="2">
        <v>1128.0</v>
      </c>
      <c r="B1129" s="2">
        <v>21845.0</v>
      </c>
      <c r="C1129" s="2" t="s">
        <v>1296</v>
      </c>
      <c r="D1129" s="2">
        <v>2.95</v>
      </c>
      <c r="E1129" s="2">
        <v>1257.0</v>
      </c>
      <c r="F1129" s="2">
        <v>1867.8</v>
      </c>
      <c r="G1129" s="4">
        <f t="shared" si="3"/>
        <v>7782820.32</v>
      </c>
      <c r="H1129" s="4">
        <f t="shared" si="1"/>
        <v>0.8154316284</v>
      </c>
      <c r="I1129" s="4" t="str">
        <f t="shared" si="2"/>
        <v>B</v>
      </c>
    </row>
    <row r="1130">
      <c r="A1130" s="2">
        <v>1129.0</v>
      </c>
      <c r="B1130" s="2">
        <v>23127.0</v>
      </c>
      <c r="C1130" s="2" t="s">
        <v>1297</v>
      </c>
      <c r="D1130" s="2">
        <v>4.95</v>
      </c>
      <c r="E1130" s="2">
        <v>364.0</v>
      </c>
      <c r="F1130" s="2">
        <v>1862.18</v>
      </c>
      <c r="G1130" s="4">
        <f t="shared" si="3"/>
        <v>7784682.5</v>
      </c>
      <c r="H1130" s="4">
        <f t="shared" si="1"/>
        <v>0.8156267351</v>
      </c>
      <c r="I1130" s="4" t="str">
        <f t="shared" si="2"/>
        <v>B</v>
      </c>
    </row>
    <row r="1131">
      <c r="A1131" s="2">
        <v>1130.0</v>
      </c>
      <c r="B1131" s="2">
        <v>21795.0</v>
      </c>
      <c r="C1131" s="2" t="s">
        <v>1298</v>
      </c>
      <c r="D1131" s="2">
        <v>12.75</v>
      </c>
      <c r="E1131" s="2">
        <v>220.0</v>
      </c>
      <c r="F1131" s="2">
        <v>1861.1</v>
      </c>
      <c r="G1131" s="4">
        <f t="shared" si="3"/>
        <v>7786543.6</v>
      </c>
      <c r="H1131" s="4">
        <f t="shared" si="1"/>
        <v>0.8158217287</v>
      </c>
      <c r="I1131" s="4" t="str">
        <f t="shared" si="2"/>
        <v>B</v>
      </c>
    </row>
    <row r="1132">
      <c r="A1132" s="2">
        <v>1131.0</v>
      </c>
      <c r="B1132" s="2">
        <v>22162.0</v>
      </c>
      <c r="C1132" s="2" t="s">
        <v>1299</v>
      </c>
      <c r="D1132" s="2">
        <v>2.95</v>
      </c>
      <c r="E1132" s="2">
        <v>606.0</v>
      </c>
      <c r="F1132" s="2">
        <v>1860.1</v>
      </c>
      <c r="G1132" s="4">
        <f t="shared" si="3"/>
        <v>7788403.7</v>
      </c>
      <c r="H1132" s="4">
        <f t="shared" si="1"/>
        <v>0.8160166174</v>
      </c>
      <c r="I1132" s="4" t="str">
        <f t="shared" si="2"/>
        <v>B</v>
      </c>
    </row>
    <row r="1133">
      <c r="A1133" s="2">
        <v>1132.0</v>
      </c>
      <c r="B1133" s="2">
        <v>22778.0</v>
      </c>
      <c r="C1133" s="2" t="s">
        <v>1300</v>
      </c>
      <c r="D1133" s="2">
        <v>3.95</v>
      </c>
      <c r="E1133" s="2">
        <v>468.0</v>
      </c>
      <c r="F1133" s="2">
        <v>1859.82</v>
      </c>
      <c r="G1133" s="4">
        <f t="shared" si="3"/>
        <v>7790263.52</v>
      </c>
      <c r="H1133" s="4">
        <f t="shared" si="1"/>
        <v>0.8162114769</v>
      </c>
      <c r="I1133" s="4" t="str">
        <f t="shared" si="2"/>
        <v>B</v>
      </c>
    </row>
    <row r="1134">
      <c r="A1134" s="2">
        <v>1133.0</v>
      </c>
      <c r="B1134" s="2">
        <v>22579.0</v>
      </c>
      <c r="C1134" s="2" t="s">
        <v>1301</v>
      </c>
      <c r="D1134" s="2">
        <v>0.85</v>
      </c>
      <c r="E1134" s="2">
        <v>3530.0</v>
      </c>
      <c r="F1134" s="2">
        <v>1859.12</v>
      </c>
      <c r="G1134" s="4">
        <f t="shared" si="3"/>
        <v>7792122.64</v>
      </c>
      <c r="H1134" s="4">
        <f t="shared" si="1"/>
        <v>0.816406263</v>
      </c>
      <c r="I1134" s="4" t="str">
        <f t="shared" si="2"/>
        <v>B</v>
      </c>
    </row>
    <row r="1135">
      <c r="A1135" s="2">
        <v>1134.0</v>
      </c>
      <c r="B1135" s="2">
        <v>23182.0</v>
      </c>
      <c r="C1135" s="2" t="s">
        <v>1302</v>
      </c>
      <c r="D1135" s="2">
        <v>0.83</v>
      </c>
      <c r="E1135" s="2">
        <v>1888.0</v>
      </c>
      <c r="F1135" s="2">
        <v>1859.04</v>
      </c>
      <c r="G1135" s="4">
        <f t="shared" si="3"/>
        <v>7793981.68</v>
      </c>
      <c r="H1135" s="4">
        <f t="shared" si="1"/>
        <v>0.8166010407</v>
      </c>
      <c r="I1135" s="4" t="str">
        <f t="shared" si="2"/>
        <v>B</v>
      </c>
    </row>
    <row r="1136">
      <c r="A1136" s="2">
        <v>1135.0</v>
      </c>
      <c r="B1136" s="2">
        <v>22591.0</v>
      </c>
      <c r="C1136" s="2" t="s">
        <v>1303</v>
      </c>
      <c r="D1136" s="2">
        <v>2.55</v>
      </c>
      <c r="E1136" s="2">
        <v>646.0</v>
      </c>
      <c r="F1136" s="2">
        <v>1858.22</v>
      </c>
      <c r="G1136" s="4">
        <f t="shared" si="3"/>
        <v>7795839.9</v>
      </c>
      <c r="H1136" s="4">
        <f t="shared" si="1"/>
        <v>0.8167957325</v>
      </c>
      <c r="I1136" s="4" t="str">
        <f t="shared" si="2"/>
        <v>B</v>
      </c>
    </row>
    <row r="1137">
      <c r="A1137" s="2">
        <v>1136.0</v>
      </c>
      <c r="B1137" s="2">
        <v>23091.0</v>
      </c>
      <c r="C1137" s="2" t="s">
        <v>1304</v>
      </c>
      <c r="D1137" s="2">
        <v>6.25</v>
      </c>
      <c r="E1137" s="2">
        <v>294.0</v>
      </c>
      <c r="F1137" s="2">
        <v>1856.28</v>
      </c>
      <c r="G1137" s="4">
        <f t="shared" si="3"/>
        <v>7797696.18</v>
      </c>
      <c r="H1137" s="4">
        <f t="shared" si="1"/>
        <v>0.8169902211</v>
      </c>
      <c r="I1137" s="4" t="str">
        <f t="shared" si="2"/>
        <v>B</v>
      </c>
    </row>
    <row r="1138">
      <c r="A1138" s="2">
        <v>1137.0</v>
      </c>
      <c r="B1138" s="2">
        <v>22782.0</v>
      </c>
      <c r="C1138" s="2" t="s">
        <v>1305</v>
      </c>
      <c r="D1138" s="2">
        <v>24.95</v>
      </c>
      <c r="E1138" s="2">
        <v>127.0</v>
      </c>
      <c r="F1138" s="2">
        <v>1856.15</v>
      </c>
      <c r="G1138" s="4">
        <f t="shared" si="3"/>
        <v>7799552.33</v>
      </c>
      <c r="H1138" s="4">
        <f t="shared" si="1"/>
        <v>0.817184696</v>
      </c>
      <c r="I1138" s="4" t="str">
        <f t="shared" si="2"/>
        <v>B</v>
      </c>
    </row>
    <row r="1139">
      <c r="A1139" s="2">
        <v>1138.0</v>
      </c>
      <c r="B1139" s="2">
        <v>21813.0</v>
      </c>
      <c r="C1139" s="2" t="s">
        <v>1306</v>
      </c>
      <c r="D1139" s="2">
        <v>4.95</v>
      </c>
      <c r="E1139" s="2">
        <v>402.0</v>
      </c>
      <c r="F1139" s="2">
        <v>1851.0</v>
      </c>
      <c r="G1139" s="4">
        <f t="shared" si="3"/>
        <v>7801403.33</v>
      </c>
      <c r="H1139" s="4">
        <f t="shared" si="1"/>
        <v>0.8173786313</v>
      </c>
      <c r="I1139" s="4" t="str">
        <f t="shared" si="2"/>
        <v>B</v>
      </c>
    </row>
    <row r="1140">
      <c r="A1140" s="2">
        <v>1139.0</v>
      </c>
      <c r="B1140" s="2">
        <v>20692.0</v>
      </c>
      <c r="C1140" s="2" t="s">
        <v>1307</v>
      </c>
      <c r="D1140" s="2">
        <v>4.25</v>
      </c>
      <c r="E1140" s="2">
        <v>456.0</v>
      </c>
      <c r="F1140" s="2">
        <v>1849.88</v>
      </c>
      <c r="G1140" s="4">
        <f t="shared" si="3"/>
        <v>7803253.21</v>
      </c>
      <c r="H1140" s="4">
        <f t="shared" si="1"/>
        <v>0.8175724493</v>
      </c>
      <c r="I1140" s="4" t="str">
        <f t="shared" si="2"/>
        <v>B</v>
      </c>
    </row>
    <row r="1141">
      <c r="A1141" s="2">
        <v>1140.0</v>
      </c>
      <c r="B1141" s="2">
        <v>22494.0</v>
      </c>
      <c r="C1141" s="2" t="s">
        <v>1308</v>
      </c>
      <c r="D1141" s="2">
        <v>1.25</v>
      </c>
      <c r="E1141" s="2">
        <v>1369.0</v>
      </c>
      <c r="F1141" s="2">
        <v>1848.58</v>
      </c>
      <c r="G1141" s="4">
        <f t="shared" si="3"/>
        <v>7805101.79</v>
      </c>
      <c r="H1141" s="4">
        <f t="shared" si="1"/>
        <v>0.8177661311</v>
      </c>
      <c r="I1141" s="4" t="str">
        <f t="shared" si="2"/>
        <v>B</v>
      </c>
    </row>
    <row r="1142">
      <c r="A1142" s="2">
        <v>1141.0</v>
      </c>
      <c r="B1142" s="2" t="s">
        <v>1309</v>
      </c>
      <c r="C1142" s="2" t="s">
        <v>1310</v>
      </c>
      <c r="D1142" s="2">
        <v>4.95</v>
      </c>
      <c r="E1142" s="2">
        <v>354.0</v>
      </c>
      <c r="F1142" s="2">
        <v>1838.13</v>
      </c>
      <c r="G1142" s="4">
        <f t="shared" si="3"/>
        <v>7806939.92</v>
      </c>
      <c r="H1142" s="4">
        <f t="shared" si="1"/>
        <v>0.8179587181</v>
      </c>
      <c r="I1142" s="4" t="str">
        <f t="shared" si="2"/>
        <v>B</v>
      </c>
    </row>
    <row r="1143">
      <c r="A1143" s="2">
        <v>1142.0</v>
      </c>
      <c r="B1143" s="2">
        <v>23111.0</v>
      </c>
      <c r="C1143" s="2" t="s">
        <v>1311</v>
      </c>
      <c r="D1143" s="2">
        <v>12.5</v>
      </c>
      <c r="E1143" s="2">
        <v>148.0</v>
      </c>
      <c r="F1143" s="2">
        <v>1834.27</v>
      </c>
      <c r="G1143" s="4">
        <f t="shared" si="3"/>
        <v>7808774.19</v>
      </c>
      <c r="H1143" s="4">
        <f t="shared" si="1"/>
        <v>0.8181509005</v>
      </c>
      <c r="I1143" s="4" t="str">
        <f t="shared" si="2"/>
        <v>B</v>
      </c>
    </row>
    <row r="1144">
      <c r="A1144" s="2">
        <v>1143.0</v>
      </c>
      <c r="B1144" s="2" t="s">
        <v>1312</v>
      </c>
      <c r="C1144" s="2" t="s">
        <v>1313</v>
      </c>
      <c r="D1144" s="2">
        <v>2.95</v>
      </c>
      <c r="E1144" s="2">
        <v>636.0</v>
      </c>
      <c r="F1144" s="2">
        <v>1833.23</v>
      </c>
      <c r="G1144" s="4">
        <f t="shared" si="3"/>
        <v>7810607.42</v>
      </c>
      <c r="H1144" s="4">
        <f t="shared" si="1"/>
        <v>0.8183429741</v>
      </c>
      <c r="I1144" s="4" t="str">
        <f t="shared" si="2"/>
        <v>B</v>
      </c>
    </row>
    <row r="1145">
      <c r="A1145" s="2">
        <v>1144.0</v>
      </c>
      <c r="B1145" s="2">
        <v>23013.0</v>
      </c>
      <c r="C1145" s="2" t="s">
        <v>1314</v>
      </c>
      <c r="D1145" s="2">
        <v>3.95</v>
      </c>
      <c r="E1145" s="2">
        <v>460.0</v>
      </c>
      <c r="F1145" s="2">
        <v>1831.16</v>
      </c>
      <c r="G1145" s="4">
        <f t="shared" si="3"/>
        <v>7812438.58</v>
      </c>
      <c r="H1145" s="4">
        <f t="shared" si="1"/>
        <v>0.8185348307</v>
      </c>
      <c r="I1145" s="4" t="str">
        <f t="shared" si="2"/>
        <v>B</v>
      </c>
    </row>
    <row r="1146">
      <c r="A1146" s="2">
        <v>1145.0</v>
      </c>
      <c r="B1146" s="2">
        <v>21351.0</v>
      </c>
      <c r="C1146" s="2" t="s">
        <v>1315</v>
      </c>
      <c r="D1146" s="2">
        <v>6.75</v>
      </c>
      <c r="E1146" s="2">
        <v>540.0</v>
      </c>
      <c r="F1146" s="2">
        <v>1829.02</v>
      </c>
      <c r="G1146" s="4">
        <f t="shared" si="3"/>
        <v>7814267.6</v>
      </c>
      <c r="H1146" s="4">
        <f t="shared" si="1"/>
        <v>0.8187264631</v>
      </c>
      <c r="I1146" s="4" t="str">
        <f t="shared" si="2"/>
        <v>B</v>
      </c>
    </row>
    <row r="1147">
      <c r="A1147" s="2">
        <v>1146.0</v>
      </c>
      <c r="B1147" s="2" t="s">
        <v>1316</v>
      </c>
      <c r="C1147" s="2" t="s">
        <v>1317</v>
      </c>
      <c r="D1147" s="2">
        <v>1.65</v>
      </c>
      <c r="E1147" s="2">
        <v>1038.0</v>
      </c>
      <c r="F1147" s="2">
        <v>1828.2</v>
      </c>
      <c r="G1147" s="4">
        <f t="shared" si="3"/>
        <v>7816095.8</v>
      </c>
      <c r="H1147" s="4">
        <f t="shared" si="1"/>
        <v>0.8189180096</v>
      </c>
      <c r="I1147" s="4" t="str">
        <f t="shared" si="2"/>
        <v>B</v>
      </c>
    </row>
    <row r="1148">
      <c r="A1148" s="2">
        <v>1147.0</v>
      </c>
      <c r="B1148" s="2">
        <v>21246.0</v>
      </c>
      <c r="C1148" s="2" t="s">
        <v>1318</v>
      </c>
      <c r="D1148" s="2">
        <v>4.95</v>
      </c>
      <c r="E1148" s="2">
        <v>372.0</v>
      </c>
      <c r="F1148" s="2">
        <v>1827.96</v>
      </c>
      <c r="G1148" s="4">
        <f t="shared" si="3"/>
        <v>7817923.76</v>
      </c>
      <c r="H1148" s="4">
        <f t="shared" si="1"/>
        <v>0.819109531</v>
      </c>
      <c r="I1148" s="4" t="str">
        <f t="shared" si="2"/>
        <v>B</v>
      </c>
    </row>
    <row r="1149">
      <c r="A1149" s="2">
        <v>1148.0</v>
      </c>
      <c r="B1149" s="2">
        <v>23191.0</v>
      </c>
      <c r="C1149" s="2" t="s">
        <v>1319</v>
      </c>
      <c r="D1149" s="2">
        <v>1.65</v>
      </c>
      <c r="E1149" s="2">
        <v>1108.0</v>
      </c>
      <c r="F1149" s="2">
        <v>1827.64</v>
      </c>
      <c r="G1149" s="4">
        <f t="shared" si="3"/>
        <v>7819751.4</v>
      </c>
      <c r="H1149" s="4">
        <f t="shared" si="1"/>
        <v>0.8193010189</v>
      </c>
      <c r="I1149" s="4" t="str">
        <f t="shared" si="2"/>
        <v>B</v>
      </c>
    </row>
    <row r="1150">
      <c r="A1150" s="2">
        <v>1149.0</v>
      </c>
      <c r="B1150" s="2">
        <v>22823.0</v>
      </c>
      <c r="C1150" s="2" t="s">
        <v>1320</v>
      </c>
      <c r="D1150" s="2">
        <v>117.5</v>
      </c>
      <c r="E1150" s="2">
        <v>16.0</v>
      </c>
      <c r="F1150" s="2">
        <v>1827.5</v>
      </c>
      <c r="G1150" s="4">
        <f t="shared" si="3"/>
        <v>7821578.9</v>
      </c>
      <c r="H1150" s="4">
        <f t="shared" si="1"/>
        <v>0.819492492</v>
      </c>
      <c r="I1150" s="4" t="str">
        <f t="shared" si="2"/>
        <v>B</v>
      </c>
    </row>
    <row r="1151">
      <c r="A1151" s="2">
        <v>1150.0</v>
      </c>
      <c r="B1151" s="2">
        <v>22962.0</v>
      </c>
      <c r="C1151" s="2" t="s">
        <v>1321</v>
      </c>
      <c r="D1151" s="2">
        <v>0.85</v>
      </c>
      <c r="E1151" s="2">
        <v>2187.0</v>
      </c>
      <c r="F1151" s="2">
        <v>1823.86</v>
      </c>
      <c r="G1151" s="4">
        <f t="shared" si="3"/>
        <v>7823402.76</v>
      </c>
      <c r="H1151" s="4">
        <f t="shared" si="1"/>
        <v>0.8196835838</v>
      </c>
      <c r="I1151" s="4" t="str">
        <f t="shared" si="2"/>
        <v>B</v>
      </c>
    </row>
    <row r="1152">
      <c r="A1152" s="2">
        <v>1151.0</v>
      </c>
      <c r="B1152" s="2">
        <v>21486.0</v>
      </c>
      <c r="C1152" s="2" t="s">
        <v>1322</v>
      </c>
      <c r="D1152" s="2">
        <v>3.75</v>
      </c>
      <c r="E1152" s="2">
        <v>559.0</v>
      </c>
      <c r="F1152" s="2">
        <v>1823.08</v>
      </c>
      <c r="G1152" s="4">
        <f t="shared" si="3"/>
        <v>7825225.84</v>
      </c>
      <c r="H1152" s="4">
        <f t="shared" si="1"/>
        <v>0.8198745939</v>
      </c>
      <c r="I1152" s="4" t="str">
        <f t="shared" si="2"/>
        <v>B</v>
      </c>
    </row>
    <row r="1153">
      <c r="A1153" s="2">
        <v>1152.0</v>
      </c>
      <c r="B1153" s="2">
        <v>23497.0</v>
      </c>
      <c r="C1153" s="2" t="s">
        <v>1323</v>
      </c>
      <c r="D1153" s="2">
        <v>1.45</v>
      </c>
      <c r="E1153" s="2">
        <v>1274.0</v>
      </c>
      <c r="F1153" s="2">
        <v>1821.48</v>
      </c>
      <c r="G1153" s="4">
        <f t="shared" si="3"/>
        <v>7827047.32</v>
      </c>
      <c r="H1153" s="4">
        <f t="shared" si="1"/>
        <v>0.8200654363</v>
      </c>
      <c r="I1153" s="4" t="str">
        <f t="shared" si="2"/>
        <v>B</v>
      </c>
    </row>
    <row r="1154">
      <c r="A1154" s="2">
        <v>1153.0</v>
      </c>
      <c r="B1154" s="2">
        <v>23085.0</v>
      </c>
      <c r="C1154" s="2" t="s">
        <v>1324</v>
      </c>
      <c r="D1154" s="2">
        <v>10.4</v>
      </c>
      <c r="E1154" s="2">
        <v>190.0</v>
      </c>
      <c r="F1154" s="2">
        <v>1817.62</v>
      </c>
      <c r="G1154" s="4">
        <f t="shared" si="3"/>
        <v>7828864.94</v>
      </c>
      <c r="H1154" s="4">
        <f t="shared" si="1"/>
        <v>0.8202558744</v>
      </c>
      <c r="I1154" s="4" t="str">
        <f t="shared" si="2"/>
        <v>B</v>
      </c>
    </row>
    <row r="1155">
      <c r="A1155" s="2">
        <v>1154.0</v>
      </c>
      <c r="B1155" s="2">
        <v>20785.0</v>
      </c>
      <c r="C1155" s="2" t="s">
        <v>1325</v>
      </c>
      <c r="D1155" s="2">
        <v>34.0</v>
      </c>
      <c r="E1155" s="2">
        <v>50.0</v>
      </c>
      <c r="F1155" s="2">
        <v>1816.2</v>
      </c>
      <c r="G1155" s="4">
        <f t="shared" si="3"/>
        <v>7830681.14</v>
      </c>
      <c r="H1155" s="4">
        <f t="shared" si="1"/>
        <v>0.8204461636</v>
      </c>
      <c r="I1155" s="4" t="str">
        <f t="shared" si="2"/>
        <v>B</v>
      </c>
    </row>
    <row r="1156">
      <c r="A1156" s="2">
        <v>1155.0</v>
      </c>
      <c r="B1156" s="2" t="s">
        <v>1326</v>
      </c>
      <c r="C1156" s="2" t="s">
        <v>1327</v>
      </c>
      <c r="D1156" s="2">
        <v>1.65</v>
      </c>
      <c r="E1156" s="2">
        <v>1012.0</v>
      </c>
      <c r="F1156" s="2">
        <v>1814.8</v>
      </c>
      <c r="G1156" s="4">
        <f t="shared" si="3"/>
        <v>7832495.94</v>
      </c>
      <c r="H1156" s="4">
        <f t="shared" si="1"/>
        <v>0.8206363061</v>
      </c>
      <c r="I1156" s="4" t="str">
        <f t="shared" si="2"/>
        <v>B</v>
      </c>
    </row>
    <row r="1157">
      <c r="A1157" s="2">
        <v>1156.0</v>
      </c>
      <c r="B1157" s="2">
        <v>23294.0</v>
      </c>
      <c r="C1157" s="2" t="s">
        <v>1328</v>
      </c>
      <c r="D1157" s="2">
        <v>0.83</v>
      </c>
      <c r="E1157" s="2">
        <v>2205.0</v>
      </c>
      <c r="F1157" s="2">
        <v>1811.38</v>
      </c>
      <c r="G1157" s="4">
        <f t="shared" si="3"/>
        <v>7834307.32</v>
      </c>
      <c r="H1157" s="4">
        <f t="shared" si="1"/>
        <v>0.8208260904</v>
      </c>
      <c r="I1157" s="4" t="str">
        <f t="shared" si="2"/>
        <v>B</v>
      </c>
    </row>
    <row r="1158">
      <c r="A1158" s="2">
        <v>1157.0</v>
      </c>
      <c r="B1158" s="2">
        <v>22774.0</v>
      </c>
      <c r="C1158" s="2" t="s">
        <v>1329</v>
      </c>
      <c r="D1158" s="2">
        <v>1.25</v>
      </c>
      <c r="E1158" s="2">
        <v>1408.0</v>
      </c>
      <c r="F1158" s="2">
        <v>1810.53</v>
      </c>
      <c r="G1158" s="4">
        <f t="shared" si="3"/>
        <v>7836117.85</v>
      </c>
      <c r="H1158" s="4">
        <f t="shared" si="1"/>
        <v>0.8210157855</v>
      </c>
      <c r="I1158" s="4" t="str">
        <f t="shared" si="2"/>
        <v>B</v>
      </c>
    </row>
    <row r="1159">
      <c r="A1159" s="2">
        <v>1158.0</v>
      </c>
      <c r="B1159" s="2">
        <v>21866.0</v>
      </c>
      <c r="C1159" s="2" t="s">
        <v>1330</v>
      </c>
      <c r="D1159" s="2">
        <v>1.25</v>
      </c>
      <c r="E1159" s="2">
        <v>1092.0</v>
      </c>
      <c r="F1159" s="2">
        <v>1806.38</v>
      </c>
      <c r="G1159" s="4">
        <f t="shared" si="3"/>
        <v>7837924.23</v>
      </c>
      <c r="H1159" s="4">
        <f t="shared" si="1"/>
        <v>0.8212050459</v>
      </c>
      <c r="I1159" s="4" t="str">
        <f t="shared" si="2"/>
        <v>B</v>
      </c>
    </row>
    <row r="1160">
      <c r="A1160" s="2">
        <v>1159.0</v>
      </c>
      <c r="B1160" s="2">
        <v>22398.0</v>
      </c>
      <c r="C1160" s="2" t="s">
        <v>1331</v>
      </c>
      <c r="D1160" s="2">
        <v>1.25</v>
      </c>
      <c r="E1160" s="2">
        <v>2082.0</v>
      </c>
      <c r="F1160" s="2">
        <v>1796.44</v>
      </c>
      <c r="G1160" s="4">
        <f t="shared" si="3"/>
        <v>7839720.67</v>
      </c>
      <c r="H1160" s="4">
        <f t="shared" si="1"/>
        <v>0.8213932648</v>
      </c>
      <c r="I1160" s="4" t="str">
        <f t="shared" si="2"/>
        <v>B</v>
      </c>
    </row>
    <row r="1161">
      <c r="A1161" s="2">
        <v>1160.0</v>
      </c>
      <c r="B1161" s="2">
        <v>22589.0</v>
      </c>
      <c r="C1161" s="2" t="s">
        <v>1332</v>
      </c>
      <c r="D1161" s="2">
        <v>2.55</v>
      </c>
      <c r="E1161" s="2">
        <v>652.0</v>
      </c>
      <c r="F1161" s="2">
        <v>1795.54</v>
      </c>
      <c r="G1161" s="4">
        <f t="shared" si="3"/>
        <v>7841516.21</v>
      </c>
      <c r="H1161" s="4">
        <f t="shared" si="1"/>
        <v>0.8215813894</v>
      </c>
      <c r="I1161" s="4" t="str">
        <f t="shared" si="2"/>
        <v>B</v>
      </c>
    </row>
    <row r="1162">
      <c r="A1162" s="2">
        <v>1161.0</v>
      </c>
      <c r="B1162" s="2">
        <v>22536.0</v>
      </c>
      <c r="C1162" s="2" t="s">
        <v>1333</v>
      </c>
      <c r="D1162" s="2">
        <v>0.42</v>
      </c>
      <c r="E1162" s="2">
        <v>4549.0</v>
      </c>
      <c r="F1162" s="2">
        <v>1794.59</v>
      </c>
      <c r="G1162" s="4">
        <f t="shared" si="3"/>
        <v>7843310.8</v>
      </c>
      <c r="H1162" s="4">
        <f t="shared" si="1"/>
        <v>0.8217694145</v>
      </c>
      <c r="I1162" s="4" t="str">
        <f t="shared" si="2"/>
        <v>B</v>
      </c>
    </row>
    <row r="1163">
      <c r="A1163" s="2">
        <v>1162.0</v>
      </c>
      <c r="B1163" s="2">
        <v>21509.0</v>
      </c>
      <c r="C1163" s="2" t="s">
        <v>1334</v>
      </c>
      <c r="D1163" s="2">
        <v>0.42</v>
      </c>
      <c r="E1163" s="2">
        <v>4348.0</v>
      </c>
      <c r="F1163" s="2">
        <v>1793.61</v>
      </c>
      <c r="G1163" s="4">
        <f t="shared" si="3"/>
        <v>7845104.41</v>
      </c>
      <c r="H1163" s="4">
        <f t="shared" si="1"/>
        <v>0.8219573369</v>
      </c>
      <c r="I1163" s="4" t="str">
        <f t="shared" si="2"/>
        <v>B</v>
      </c>
    </row>
    <row r="1164">
      <c r="A1164" s="2">
        <v>1163.0</v>
      </c>
      <c r="B1164" s="2">
        <v>21054.0</v>
      </c>
      <c r="C1164" s="2" t="s">
        <v>1335</v>
      </c>
      <c r="D1164" s="2">
        <v>8.95</v>
      </c>
      <c r="E1164" s="2">
        <v>193.0</v>
      </c>
      <c r="F1164" s="2">
        <v>1786.9</v>
      </c>
      <c r="G1164" s="4">
        <f t="shared" si="3"/>
        <v>7846891.31</v>
      </c>
      <c r="H1164" s="4">
        <f t="shared" si="1"/>
        <v>0.8221445563</v>
      </c>
      <c r="I1164" s="4" t="str">
        <f t="shared" si="2"/>
        <v>B</v>
      </c>
    </row>
    <row r="1165">
      <c r="A1165" s="2">
        <v>1164.0</v>
      </c>
      <c r="B1165" s="2" t="s">
        <v>1336</v>
      </c>
      <c r="C1165" s="2" t="s">
        <v>1337</v>
      </c>
      <c r="D1165" s="2">
        <v>12.75</v>
      </c>
      <c r="E1165" s="2">
        <v>149.0</v>
      </c>
      <c r="F1165" s="2">
        <v>1785.88</v>
      </c>
      <c r="G1165" s="4">
        <f t="shared" si="3"/>
        <v>7848677.19</v>
      </c>
      <c r="H1165" s="4">
        <f t="shared" si="1"/>
        <v>0.8223316688</v>
      </c>
      <c r="I1165" s="4" t="str">
        <f t="shared" si="2"/>
        <v>B</v>
      </c>
    </row>
    <row r="1166">
      <c r="A1166" s="2">
        <v>1165.0</v>
      </c>
      <c r="B1166" s="2">
        <v>23332.0</v>
      </c>
      <c r="C1166" s="2" t="s">
        <v>1338</v>
      </c>
      <c r="D1166" s="2">
        <v>1.65</v>
      </c>
      <c r="E1166" s="2">
        <v>1038.0</v>
      </c>
      <c r="F1166" s="2">
        <v>1785.38</v>
      </c>
      <c r="G1166" s="4">
        <f t="shared" si="3"/>
        <v>7850462.57</v>
      </c>
      <c r="H1166" s="4">
        <f t="shared" si="1"/>
        <v>0.8225187289</v>
      </c>
      <c r="I1166" s="4" t="str">
        <f t="shared" si="2"/>
        <v>B</v>
      </c>
    </row>
    <row r="1167">
      <c r="A1167" s="2">
        <v>1166.0</v>
      </c>
      <c r="B1167" s="2">
        <v>22704.0</v>
      </c>
      <c r="C1167" s="2" t="s">
        <v>1339</v>
      </c>
      <c r="D1167" s="2">
        <v>0.42</v>
      </c>
      <c r="E1167" s="2">
        <v>4339.0</v>
      </c>
      <c r="F1167" s="2">
        <v>1782.38</v>
      </c>
      <c r="G1167" s="4">
        <f t="shared" si="3"/>
        <v>7852244.95</v>
      </c>
      <c r="H1167" s="4">
        <f t="shared" si="1"/>
        <v>0.8227054747</v>
      </c>
      <c r="I1167" s="4" t="str">
        <f t="shared" si="2"/>
        <v>B</v>
      </c>
    </row>
    <row r="1168">
      <c r="A1168" s="2">
        <v>1167.0</v>
      </c>
      <c r="B1168" s="2">
        <v>22603.0</v>
      </c>
      <c r="C1168" s="2" t="s">
        <v>1340</v>
      </c>
      <c r="D1168" s="2">
        <v>0.85</v>
      </c>
      <c r="E1168" s="2">
        <v>2072.0</v>
      </c>
      <c r="F1168" s="2">
        <v>1776.9</v>
      </c>
      <c r="G1168" s="4">
        <f t="shared" si="3"/>
        <v>7854021.85</v>
      </c>
      <c r="H1168" s="4">
        <f t="shared" si="1"/>
        <v>0.8228916464</v>
      </c>
      <c r="I1168" s="4" t="str">
        <f t="shared" si="2"/>
        <v>B</v>
      </c>
    </row>
    <row r="1169">
      <c r="A1169" s="2">
        <v>1168.0</v>
      </c>
      <c r="B1169" s="2">
        <v>20886.0</v>
      </c>
      <c r="C1169" s="2" t="s">
        <v>1341</v>
      </c>
      <c r="D1169" s="2">
        <v>1.95</v>
      </c>
      <c r="E1169" s="2">
        <v>888.0</v>
      </c>
      <c r="F1169" s="2">
        <v>1770.11</v>
      </c>
      <c r="G1169" s="4">
        <f t="shared" si="3"/>
        <v>7855791.96</v>
      </c>
      <c r="H1169" s="4">
        <f t="shared" si="1"/>
        <v>0.8230771066</v>
      </c>
      <c r="I1169" s="4" t="str">
        <f t="shared" si="2"/>
        <v>B</v>
      </c>
    </row>
    <row r="1170">
      <c r="A1170" s="2">
        <v>1169.0</v>
      </c>
      <c r="B1170" s="2">
        <v>21794.0</v>
      </c>
      <c r="C1170" s="2" t="s">
        <v>1342</v>
      </c>
      <c r="D1170" s="2">
        <v>6.75</v>
      </c>
      <c r="E1170" s="2">
        <v>356.0</v>
      </c>
      <c r="F1170" s="2">
        <v>1769.3</v>
      </c>
      <c r="G1170" s="4">
        <f t="shared" si="3"/>
        <v>7857561.26</v>
      </c>
      <c r="H1170" s="4">
        <f t="shared" si="1"/>
        <v>0.823262482</v>
      </c>
      <c r="I1170" s="4" t="str">
        <f t="shared" si="2"/>
        <v>B</v>
      </c>
    </row>
    <row r="1171">
      <c r="A1171" s="2">
        <v>1170.0</v>
      </c>
      <c r="B1171" s="2">
        <v>22334.0</v>
      </c>
      <c r="C1171" s="2" t="s">
        <v>1343</v>
      </c>
      <c r="D1171" s="2">
        <v>1.65</v>
      </c>
      <c r="E1171" s="2">
        <v>1110.0</v>
      </c>
      <c r="F1171" s="2">
        <v>1767.93</v>
      </c>
      <c r="G1171" s="4">
        <f t="shared" si="3"/>
        <v>7859329.19</v>
      </c>
      <c r="H1171" s="4">
        <f t="shared" si="1"/>
        <v>0.8234477138</v>
      </c>
      <c r="I1171" s="4" t="str">
        <f t="shared" si="2"/>
        <v>B</v>
      </c>
    </row>
    <row r="1172">
      <c r="A1172" s="2">
        <v>1171.0</v>
      </c>
      <c r="B1172" s="2">
        <v>22176.0</v>
      </c>
      <c r="C1172" s="2" t="s">
        <v>1344</v>
      </c>
      <c r="D1172" s="2">
        <v>2.95</v>
      </c>
      <c r="E1172" s="2">
        <v>590.0</v>
      </c>
      <c r="F1172" s="2">
        <v>1765.46</v>
      </c>
      <c r="G1172" s="4">
        <f t="shared" si="3"/>
        <v>7861094.65</v>
      </c>
      <c r="H1172" s="4">
        <f t="shared" si="1"/>
        <v>0.8236326869</v>
      </c>
      <c r="I1172" s="4" t="str">
        <f t="shared" si="2"/>
        <v>B</v>
      </c>
    </row>
    <row r="1173">
      <c r="A1173" s="2">
        <v>1172.0</v>
      </c>
      <c r="B1173" s="2">
        <v>20784.0</v>
      </c>
      <c r="C1173" s="2" t="s">
        <v>1345</v>
      </c>
      <c r="D1173" s="2">
        <v>34.0</v>
      </c>
      <c r="E1173" s="2">
        <v>50.0</v>
      </c>
      <c r="F1173" s="2">
        <v>1765.46</v>
      </c>
      <c r="G1173" s="4">
        <f t="shared" si="3"/>
        <v>7862860.11</v>
      </c>
      <c r="H1173" s="4">
        <f t="shared" si="1"/>
        <v>0.8238176599</v>
      </c>
      <c r="I1173" s="4" t="str">
        <f t="shared" si="2"/>
        <v>B</v>
      </c>
    </row>
    <row r="1174">
      <c r="A1174" s="2">
        <v>1173.0</v>
      </c>
      <c r="B1174" s="2">
        <v>21179.0</v>
      </c>
      <c r="C1174" s="2" t="s">
        <v>1346</v>
      </c>
      <c r="D1174" s="2">
        <v>1.25</v>
      </c>
      <c r="E1174" s="2">
        <v>2147.0</v>
      </c>
      <c r="F1174" s="2">
        <v>1764.77</v>
      </c>
      <c r="G1174" s="4">
        <f t="shared" si="3"/>
        <v>7864624.88</v>
      </c>
      <c r="H1174" s="4">
        <f t="shared" si="1"/>
        <v>0.8240025606</v>
      </c>
      <c r="I1174" s="4" t="str">
        <f t="shared" si="2"/>
        <v>B</v>
      </c>
    </row>
    <row r="1175">
      <c r="A1175" s="2">
        <v>1174.0</v>
      </c>
      <c r="B1175" s="2">
        <v>21784.0</v>
      </c>
      <c r="C1175" s="2" t="s">
        <v>1347</v>
      </c>
      <c r="D1175" s="2">
        <v>9.95</v>
      </c>
      <c r="E1175" s="2">
        <v>144.0</v>
      </c>
      <c r="F1175" s="2">
        <v>1764.16</v>
      </c>
      <c r="G1175" s="4">
        <f t="shared" si="3"/>
        <v>7866389.04</v>
      </c>
      <c r="H1175" s="4">
        <f t="shared" si="1"/>
        <v>0.8241873975</v>
      </c>
      <c r="I1175" s="4" t="str">
        <f t="shared" si="2"/>
        <v>B</v>
      </c>
    </row>
    <row r="1176">
      <c r="A1176" s="2">
        <v>1175.0</v>
      </c>
      <c r="B1176" s="2">
        <v>22166.0</v>
      </c>
      <c r="C1176" s="2" t="s">
        <v>1348</v>
      </c>
      <c r="D1176" s="2">
        <v>15.79</v>
      </c>
      <c r="E1176" s="2">
        <v>220.0</v>
      </c>
      <c r="F1176" s="2">
        <v>1760.4</v>
      </c>
      <c r="G1176" s="4">
        <f t="shared" si="3"/>
        <v>7868149.44</v>
      </c>
      <c r="H1176" s="4">
        <f t="shared" si="1"/>
        <v>0.8243718404</v>
      </c>
      <c r="I1176" s="4" t="str">
        <f t="shared" si="2"/>
        <v>B</v>
      </c>
    </row>
    <row r="1177">
      <c r="A1177" s="2">
        <v>1176.0</v>
      </c>
      <c r="B1177" s="2">
        <v>47505.0</v>
      </c>
      <c r="C1177" s="2" t="s">
        <v>1349</v>
      </c>
      <c r="D1177" s="2">
        <v>4.95</v>
      </c>
      <c r="E1177" s="2">
        <v>368.0</v>
      </c>
      <c r="F1177" s="2">
        <v>1758.76</v>
      </c>
      <c r="G1177" s="4">
        <f t="shared" si="3"/>
        <v>7869908.2</v>
      </c>
      <c r="H1177" s="4">
        <f t="shared" si="1"/>
        <v>0.8245561114</v>
      </c>
      <c r="I1177" s="4" t="str">
        <f t="shared" si="2"/>
        <v>B</v>
      </c>
    </row>
    <row r="1178">
      <c r="A1178" s="2">
        <v>1177.0</v>
      </c>
      <c r="B1178" s="2">
        <v>22531.0</v>
      </c>
      <c r="C1178" s="2" t="s">
        <v>1350</v>
      </c>
      <c r="D1178" s="2">
        <v>0.42</v>
      </c>
      <c r="E1178" s="2">
        <v>4074.0</v>
      </c>
      <c r="F1178" s="2">
        <v>1756.4</v>
      </c>
      <c r="G1178" s="4">
        <f t="shared" si="3"/>
        <v>7871664.6</v>
      </c>
      <c r="H1178" s="4">
        <f t="shared" si="1"/>
        <v>0.8247401352</v>
      </c>
      <c r="I1178" s="4" t="str">
        <f t="shared" si="2"/>
        <v>B</v>
      </c>
    </row>
    <row r="1179">
      <c r="A1179" s="2">
        <v>1178.0</v>
      </c>
      <c r="B1179" s="2">
        <v>23353.0</v>
      </c>
      <c r="C1179" s="2" t="s">
        <v>1351</v>
      </c>
      <c r="D1179" s="2">
        <v>0.83</v>
      </c>
      <c r="E1179" s="2">
        <v>2002.0</v>
      </c>
      <c r="F1179" s="2">
        <v>1753.78</v>
      </c>
      <c r="G1179" s="4">
        <f t="shared" si="3"/>
        <v>7873418.38</v>
      </c>
      <c r="H1179" s="4">
        <f t="shared" si="1"/>
        <v>0.8249238845</v>
      </c>
      <c r="I1179" s="4" t="str">
        <f t="shared" si="2"/>
        <v>B</v>
      </c>
    </row>
    <row r="1180">
      <c r="A1180" s="2">
        <v>1179.0</v>
      </c>
      <c r="B1180" s="2">
        <v>23189.0</v>
      </c>
      <c r="C1180" s="2" t="s">
        <v>1352</v>
      </c>
      <c r="D1180" s="2">
        <v>2.89</v>
      </c>
      <c r="E1180" s="2">
        <v>624.0</v>
      </c>
      <c r="F1180" s="2">
        <v>1753.76</v>
      </c>
      <c r="G1180" s="4">
        <f t="shared" si="3"/>
        <v>7875172.14</v>
      </c>
      <c r="H1180" s="4">
        <f t="shared" si="1"/>
        <v>0.8251076317</v>
      </c>
      <c r="I1180" s="4" t="str">
        <f t="shared" si="2"/>
        <v>B</v>
      </c>
    </row>
    <row r="1181">
      <c r="A1181" s="2">
        <v>1180.0</v>
      </c>
      <c r="B1181" s="2">
        <v>22076.0</v>
      </c>
      <c r="C1181" s="2" t="s">
        <v>1353</v>
      </c>
      <c r="D1181" s="2">
        <v>1.65</v>
      </c>
      <c r="E1181" s="2">
        <v>1178.0</v>
      </c>
      <c r="F1181" s="2">
        <v>1748.39</v>
      </c>
      <c r="G1181" s="4">
        <f t="shared" si="3"/>
        <v>7876920.53</v>
      </c>
      <c r="H1181" s="4">
        <f t="shared" si="1"/>
        <v>0.8252908162</v>
      </c>
      <c r="I1181" s="4" t="str">
        <f t="shared" si="2"/>
        <v>B</v>
      </c>
    </row>
    <row r="1182">
      <c r="A1182" s="2">
        <v>1181.0</v>
      </c>
      <c r="B1182" s="2">
        <v>22765.0</v>
      </c>
      <c r="C1182" s="2" t="s">
        <v>1354</v>
      </c>
      <c r="D1182" s="2">
        <v>14.95</v>
      </c>
      <c r="E1182" s="2">
        <v>155.0</v>
      </c>
      <c r="F1182" s="2">
        <v>1746.68</v>
      </c>
      <c r="G1182" s="4">
        <f t="shared" si="3"/>
        <v>7878667.21</v>
      </c>
      <c r="H1182" s="4">
        <f t="shared" si="1"/>
        <v>0.8254738216</v>
      </c>
      <c r="I1182" s="4" t="str">
        <f t="shared" si="2"/>
        <v>B</v>
      </c>
    </row>
    <row r="1183">
      <c r="A1183" s="2">
        <v>1182.0</v>
      </c>
      <c r="B1183" s="2">
        <v>21469.0</v>
      </c>
      <c r="C1183" s="2" t="s">
        <v>1355</v>
      </c>
      <c r="D1183" s="2">
        <v>3.75</v>
      </c>
      <c r="E1183" s="2">
        <v>582.0</v>
      </c>
      <c r="F1183" s="2">
        <v>1741.0</v>
      </c>
      <c r="G1183" s="4">
        <f t="shared" si="3"/>
        <v>7880408.21</v>
      </c>
      <c r="H1183" s="4">
        <f t="shared" si="1"/>
        <v>0.8256562319</v>
      </c>
      <c r="I1183" s="4" t="str">
        <f t="shared" si="2"/>
        <v>B</v>
      </c>
    </row>
    <row r="1184">
      <c r="A1184" s="2">
        <v>1183.0</v>
      </c>
      <c r="B1184" s="2">
        <v>21466.0</v>
      </c>
      <c r="C1184" s="2" t="s">
        <v>1356</v>
      </c>
      <c r="D1184" s="2">
        <v>3.75</v>
      </c>
      <c r="E1184" s="2">
        <v>464.0</v>
      </c>
      <c r="F1184" s="2">
        <v>1739.9</v>
      </c>
      <c r="G1184" s="4">
        <f t="shared" si="3"/>
        <v>7882148.11</v>
      </c>
      <c r="H1184" s="4">
        <f t="shared" si="1"/>
        <v>0.825838527</v>
      </c>
      <c r="I1184" s="4" t="str">
        <f t="shared" si="2"/>
        <v>B</v>
      </c>
    </row>
    <row r="1185">
      <c r="A1185" s="2">
        <v>1184.0</v>
      </c>
      <c r="B1185" s="2">
        <v>22902.0</v>
      </c>
      <c r="C1185" s="2" t="s">
        <v>1357</v>
      </c>
      <c r="D1185" s="2">
        <v>2.1</v>
      </c>
      <c r="E1185" s="2">
        <v>851.0</v>
      </c>
      <c r="F1185" s="2">
        <v>1738.58</v>
      </c>
      <c r="G1185" s="4">
        <f t="shared" si="3"/>
        <v>7883886.69</v>
      </c>
      <c r="H1185" s="4">
        <f t="shared" si="1"/>
        <v>0.8260206837</v>
      </c>
      <c r="I1185" s="4" t="str">
        <f t="shared" si="2"/>
        <v>B</v>
      </c>
    </row>
    <row r="1186">
      <c r="A1186" s="2">
        <v>1185.0</v>
      </c>
      <c r="B1186" s="2">
        <v>23232.0</v>
      </c>
      <c r="C1186" s="2" t="s">
        <v>1358</v>
      </c>
      <c r="D1186" s="2">
        <v>0.42</v>
      </c>
      <c r="E1186" s="2">
        <v>4288.0</v>
      </c>
      <c r="F1186" s="2">
        <v>1728.75</v>
      </c>
      <c r="G1186" s="4">
        <f t="shared" si="3"/>
        <v>7885615.44</v>
      </c>
      <c r="H1186" s="4">
        <f t="shared" si="1"/>
        <v>0.8262018105</v>
      </c>
      <c r="I1186" s="4" t="str">
        <f t="shared" si="2"/>
        <v>B</v>
      </c>
    </row>
    <row r="1187">
      <c r="A1187" s="2">
        <v>1186.0</v>
      </c>
      <c r="B1187" s="2">
        <v>20786.0</v>
      </c>
      <c r="C1187" s="2" t="s">
        <v>1359</v>
      </c>
      <c r="D1187" s="2">
        <v>34.0</v>
      </c>
      <c r="E1187" s="2">
        <v>48.0</v>
      </c>
      <c r="F1187" s="2">
        <v>1727.0</v>
      </c>
      <c r="G1187" s="4">
        <f t="shared" si="3"/>
        <v>7887342.44</v>
      </c>
      <c r="H1187" s="4">
        <f t="shared" si="1"/>
        <v>0.826382754</v>
      </c>
      <c r="I1187" s="4" t="str">
        <f t="shared" si="2"/>
        <v>B</v>
      </c>
    </row>
    <row r="1188">
      <c r="A1188" s="2">
        <v>1187.0</v>
      </c>
      <c r="B1188" s="2">
        <v>21507.0</v>
      </c>
      <c r="C1188" s="2" t="s">
        <v>1360</v>
      </c>
      <c r="D1188" s="2">
        <v>0.42</v>
      </c>
      <c r="E1188" s="2">
        <v>4106.0</v>
      </c>
      <c r="F1188" s="2">
        <v>1725.18</v>
      </c>
      <c r="G1188" s="4">
        <f t="shared" si="3"/>
        <v>7889067.62</v>
      </c>
      <c r="H1188" s="4">
        <f t="shared" si="1"/>
        <v>0.8265635067</v>
      </c>
      <c r="I1188" s="4" t="str">
        <f t="shared" si="2"/>
        <v>B</v>
      </c>
    </row>
    <row r="1189">
      <c r="A1189" s="2">
        <v>1188.0</v>
      </c>
      <c r="B1189" s="2">
        <v>23388.0</v>
      </c>
      <c r="C1189" s="2" t="s">
        <v>1361</v>
      </c>
      <c r="D1189" s="2">
        <v>4.15</v>
      </c>
      <c r="E1189" s="2">
        <v>412.0</v>
      </c>
      <c r="F1189" s="2">
        <v>1724.34</v>
      </c>
      <c r="G1189" s="4">
        <f t="shared" si="3"/>
        <v>7890791.96</v>
      </c>
      <c r="H1189" s="4">
        <f t="shared" si="1"/>
        <v>0.8267441715</v>
      </c>
      <c r="I1189" s="4" t="str">
        <f t="shared" si="2"/>
        <v>B</v>
      </c>
    </row>
    <row r="1190">
      <c r="A1190" s="2">
        <v>1189.0</v>
      </c>
      <c r="B1190" s="2">
        <v>22939.0</v>
      </c>
      <c r="C1190" s="2" t="s">
        <v>1362</v>
      </c>
      <c r="D1190" s="2">
        <v>4.95</v>
      </c>
      <c r="E1190" s="2">
        <v>344.0</v>
      </c>
      <c r="F1190" s="2">
        <v>1724.04</v>
      </c>
      <c r="G1190" s="4">
        <f t="shared" si="3"/>
        <v>7892516</v>
      </c>
      <c r="H1190" s="4">
        <f t="shared" si="1"/>
        <v>0.8269248048</v>
      </c>
      <c r="I1190" s="4" t="str">
        <f t="shared" si="2"/>
        <v>B</v>
      </c>
    </row>
    <row r="1191">
      <c r="A1191" s="2">
        <v>1190.0</v>
      </c>
      <c r="B1191" s="2" t="s">
        <v>1363</v>
      </c>
      <c r="C1191" s="2" t="s">
        <v>40</v>
      </c>
      <c r="D1191" s="2">
        <v>6.63</v>
      </c>
      <c r="E1191" s="2">
        <v>258.0</v>
      </c>
      <c r="F1191" s="2">
        <v>1722.01</v>
      </c>
      <c r="G1191" s="4">
        <f t="shared" si="3"/>
        <v>7894238.01</v>
      </c>
      <c r="H1191" s="4">
        <f t="shared" si="1"/>
        <v>0.8271052255</v>
      </c>
      <c r="I1191" s="4" t="str">
        <f t="shared" si="2"/>
        <v>B</v>
      </c>
    </row>
    <row r="1192">
      <c r="A1192" s="2">
        <v>1191.0</v>
      </c>
      <c r="B1192" s="2">
        <v>23350.0</v>
      </c>
      <c r="C1192" s="2" t="s">
        <v>1364</v>
      </c>
      <c r="D1192" s="2">
        <v>1.25</v>
      </c>
      <c r="E1192" s="2">
        <v>1354.0</v>
      </c>
      <c r="F1192" s="2">
        <v>1720.66</v>
      </c>
      <c r="G1192" s="4">
        <f t="shared" si="3"/>
        <v>7895958.67</v>
      </c>
      <c r="H1192" s="4">
        <f t="shared" si="1"/>
        <v>0.8272855047</v>
      </c>
      <c r="I1192" s="4" t="str">
        <f t="shared" si="2"/>
        <v>B</v>
      </c>
    </row>
    <row r="1193">
      <c r="A1193" s="2">
        <v>1192.0</v>
      </c>
      <c r="B1193" s="2">
        <v>22320.0</v>
      </c>
      <c r="C1193" s="2" t="s">
        <v>1365</v>
      </c>
      <c r="D1193" s="2">
        <v>5.95</v>
      </c>
      <c r="E1193" s="2">
        <v>290.0</v>
      </c>
      <c r="F1193" s="2">
        <v>1718.96</v>
      </c>
      <c r="G1193" s="4">
        <f t="shared" si="3"/>
        <v>7897677.63</v>
      </c>
      <c r="H1193" s="4">
        <f t="shared" si="1"/>
        <v>0.8274656057</v>
      </c>
      <c r="I1193" s="4" t="str">
        <f t="shared" si="2"/>
        <v>B</v>
      </c>
    </row>
    <row r="1194">
      <c r="A1194" s="2">
        <v>1193.0</v>
      </c>
      <c r="B1194" s="2">
        <v>84352.0</v>
      </c>
      <c r="C1194" s="2" t="s">
        <v>1366</v>
      </c>
      <c r="D1194" s="2">
        <v>16.95</v>
      </c>
      <c r="E1194" s="2">
        <v>101.0</v>
      </c>
      <c r="F1194" s="2">
        <v>1718.89</v>
      </c>
      <c r="G1194" s="4">
        <f t="shared" si="3"/>
        <v>7899396.52</v>
      </c>
      <c r="H1194" s="4">
        <f t="shared" si="1"/>
        <v>0.8276456995</v>
      </c>
      <c r="I1194" s="4" t="str">
        <f t="shared" si="2"/>
        <v>B</v>
      </c>
    </row>
    <row r="1195">
      <c r="A1195" s="2">
        <v>1194.0</v>
      </c>
      <c r="B1195" s="2">
        <v>22764.0</v>
      </c>
      <c r="C1195" s="2" t="s">
        <v>1367</v>
      </c>
      <c r="D1195" s="2">
        <v>24.95</v>
      </c>
      <c r="E1195" s="2">
        <v>91.0</v>
      </c>
      <c r="F1195" s="2">
        <v>1718.77</v>
      </c>
      <c r="G1195" s="4">
        <f t="shared" si="3"/>
        <v>7901115.29</v>
      </c>
      <c r="H1195" s="4">
        <f t="shared" si="1"/>
        <v>0.8278257807</v>
      </c>
      <c r="I1195" s="4" t="str">
        <f t="shared" si="2"/>
        <v>B</v>
      </c>
    </row>
    <row r="1196">
      <c r="A1196" s="2">
        <v>1195.0</v>
      </c>
      <c r="B1196" s="2">
        <v>22172.0</v>
      </c>
      <c r="C1196" s="2" t="s">
        <v>1368</v>
      </c>
      <c r="D1196" s="2">
        <v>8.5</v>
      </c>
      <c r="E1196" s="2">
        <v>188.0</v>
      </c>
      <c r="F1196" s="2">
        <v>1717.41</v>
      </c>
      <c r="G1196" s="4">
        <f t="shared" si="3"/>
        <v>7902832.7</v>
      </c>
      <c r="H1196" s="4">
        <f t="shared" si="1"/>
        <v>0.8280057193</v>
      </c>
      <c r="I1196" s="4" t="str">
        <f t="shared" si="2"/>
        <v>B</v>
      </c>
    </row>
    <row r="1197">
      <c r="A1197" s="2">
        <v>1196.0</v>
      </c>
      <c r="B1197" s="2">
        <v>23426.0</v>
      </c>
      <c r="C1197" s="2" t="s">
        <v>1369</v>
      </c>
      <c r="D1197" s="2">
        <v>2.89</v>
      </c>
      <c r="E1197" s="2">
        <v>636.0</v>
      </c>
      <c r="F1197" s="2">
        <v>1716.44</v>
      </c>
      <c r="G1197" s="4">
        <f t="shared" si="3"/>
        <v>7904549.14</v>
      </c>
      <c r="H1197" s="4">
        <f t="shared" si="1"/>
        <v>0.8281855564</v>
      </c>
      <c r="I1197" s="4" t="str">
        <f t="shared" si="2"/>
        <v>B</v>
      </c>
    </row>
    <row r="1198">
      <c r="A1198" s="2">
        <v>1197.0</v>
      </c>
      <c r="B1198" s="2">
        <v>23065.0</v>
      </c>
      <c r="C1198" s="2" t="s">
        <v>1370</v>
      </c>
      <c r="D1198" s="2">
        <v>12.5</v>
      </c>
      <c r="E1198" s="2">
        <v>136.0</v>
      </c>
      <c r="F1198" s="2">
        <v>1713.72</v>
      </c>
      <c r="G1198" s="4">
        <f t="shared" si="3"/>
        <v>7906262.86</v>
      </c>
      <c r="H1198" s="4">
        <f t="shared" si="1"/>
        <v>0.8283651085</v>
      </c>
      <c r="I1198" s="4" t="str">
        <f t="shared" si="2"/>
        <v>B</v>
      </c>
    </row>
    <row r="1199">
      <c r="A1199" s="2">
        <v>1198.0</v>
      </c>
      <c r="B1199" s="2">
        <v>22440.0</v>
      </c>
      <c r="C1199" s="2" t="s">
        <v>1371</v>
      </c>
      <c r="D1199" s="2">
        <v>0.42</v>
      </c>
      <c r="E1199" s="2">
        <v>4292.0</v>
      </c>
      <c r="F1199" s="2">
        <v>1712.3</v>
      </c>
      <c r="G1199" s="4">
        <f t="shared" si="3"/>
        <v>7907975.16</v>
      </c>
      <c r="H1199" s="4">
        <f t="shared" si="1"/>
        <v>0.8285445117</v>
      </c>
      <c r="I1199" s="4" t="str">
        <f t="shared" si="2"/>
        <v>B</v>
      </c>
    </row>
    <row r="1200">
      <c r="A1200" s="2">
        <v>1199.0</v>
      </c>
      <c r="B1200" s="2">
        <v>21364.0</v>
      </c>
      <c r="C1200" s="2" t="s">
        <v>1372</v>
      </c>
      <c r="D1200" s="2">
        <v>6.75</v>
      </c>
      <c r="E1200" s="2">
        <v>235.0</v>
      </c>
      <c r="F1200" s="2">
        <v>1710.61</v>
      </c>
      <c r="G1200" s="4">
        <f t="shared" si="3"/>
        <v>7909685.77</v>
      </c>
      <c r="H1200" s="4">
        <f t="shared" si="1"/>
        <v>0.828723738</v>
      </c>
      <c r="I1200" s="4" t="str">
        <f t="shared" si="2"/>
        <v>B</v>
      </c>
    </row>
    <row r="1201">
      <c r="A1201" s="2">
        <v>1200.0</v>
      </c>
      <c r="B1201" s="2">
        <v>23536.0</v>
      </c>
      <c r="C1201" s="2" t="s">
        <v>1373</v>
      </c>
      <c r="D1201" s="2">
        <v>5.95</v>
      </c>
      <c r="E1201" s="2">
        <v>311.0</v>
      </c>
      <c r="F1201" s="2">
        <v>1709.16</v>
      </c>
      <c r="G1201" s="4">
        <f t="shared" si="3"/>
        <v>7911394.93</v>
      </c>
      <c r="H1201" s="4">
        <f t="shared" si="1"/>
        <v>0.8289028123</v>
      </c>
      <c r="I1201" s="4" t="str">
        <f t="shared" si="2"/>
        <v>B</v>
      </c>
    </row>
    <row r="1202">
      <c r="A1202" s="2">
        <v>1201.0</v>
      </c>
      <c r="B1202" s="2">
        <v>21902.0</v>
      </c>
      <c r="C1202" s="2" t="s">
        <v>1374</v>
      </c>
      <c r="D1202" s="2">
        <v>0.65</v>
      </c>
      <c r="E1202" s="2">
        <v>2684.0</v>
      </c>
      <c r="F1202" s="2">
        <v>1706.94</v>
      </c>
      <c r="G1202" s="4">
        <f t="shared" si="3"/>
        <v>7913101.87</v>
      </c>
      <c r="H1202" s="4">
        <f t="shared" si="1"/>
        <v>0.829081654</v>
      </c>
      <c r="I1202" s="4" t="str">
        <f t="shared" si="2"/>
        <v>B</v>
      </c>
    </row>
    <row r="1203">
      <c r="A1203" s="2">
        <v>1202.0</v>
      </c>
      <c r="B1203" s="2">
        <v>23210.0</v>
      </c>
      <c r="C1203" s="2" t="s">
        <v>1375</v>
      </c>
      <c r="D1203" s="2">
        <v>1.25</v>
      </c>
      <c r="E1203" s="2">
        <v>1357.0</v>
      </c>
      <c r="F1203" s="2">
        <v>1706.51</v>
      </c>
      <c r="G1203" s="4">
        <f t="shared" si="3"/>
        <v>7914808.38</v>
      </c>
      <c r="H1203" s="4">
        <f t="shared" si="1"/>
        <v>0.8292604506</v>
      </c>
      <c r="I1203" s="4" t="str">
        <f t="shared" si="2"/>
        <v>B</v>
      </c>
    </row>
    <row r="1204">
      <c r="A1204" s="2">
        <v>1203.0</v>
      </c>
      <c r="B1204" s="2">
        <v>21679.0</v>
      </c>
      <c r="C1204" s="2" t="s">
        <v>1376</v>
      </c>
      <c r="D1204" s="2">
        <v>0.85</v>
      </c>
      <c r="E1204" s="2">
        <v>2004.0</v>
      </c>
      <c r="F1204" s="2">
        <v>1706.22</v>
      </c>
      <c r="G1204" s="4">
        <f t="shared" si="3"/>
        <v>7916514.6</v>
      </c>
      <c r="H1204" s="4">
        <f t="shared" si="1"/>
        <v>0.8294392169</v>
      </c>
      <c r="I1204" s="4" t="str">
        <f t="shared" si="2"/>
        <v>B</v>
      </c>
    </row>
    <row r="1205">
      <c r="A1205" s="2">
        <v>1204.0</v>
      </c>
      <c r="B1205" s="2">
        <v>22459.0</v>
      </c>
      <c r="C1205" s="2" t="s">
        <v>1377</v>
      </c>
      <c r="D1205" s="2">
        <v>2.55</v>
      </c>
      <c r="E1205" s="2">
        <v>693.0</v>
      </c>
      <c r="F1205" s="2">
        <v>1705.07</v>
      </c>
      <c r="G1205" s="4">
        <f t="shared" si="3"/>
        <v>7918219.67</v>
      </c>
      <c r="H1205" s="4">
        <f t="shared" si="1"/>
        <v>0.8296178627</v>
      </c>
      <c r="I1205" s="4" t="str">
        <f t="shared" si="2"/>
        <v>B</v>
      </c>
    </row>
    <row r="1206">
      <c r="A1206" s="2">
        <v>1205.0</v>
      </c>
      <c r="B1206" s="2">
        <v>21191.0</v>
      </c>
      <c r="C1206" s="2" t="s">
        <v>1378</v>
      </c>
      <c r="D1206" s="2">
        <v>2.1</v>
      </c>
      <c r="E1206" s="2">
        <v>740.0</v>
      </c>
      <c r="F1206" s="2">
        <v>1704.3</v>
      </c>
      <c r="G1206" s="4">
        <f t="shared" si="3"/>
        <v>7919923.97</v>
      </c>
      <c r="H1206" s="4">
        <f t="shared" si="1"/>
        <v>0.8297964278</v>
      </c>
      <c r="I1206" s="4" t="str">
        <f t="shared" si="2"/>
        <v>B</v>
      </c>
    </row>
    <row r="1207">
      <c r="A1207" s="2">
        <v>1206.0</v>
      </c>
      <c r="B1207" s="2">
        <v>21039.0</v>
      </c>
      <c r="C1207" s="2" t="s">
        <v>1379</v>
      </c>
      <c r="D1207" s="2">
        <v>2.55</v>
      </c>
      <c r="E1207" s="2">
        <v>654.0</v>
      </c>
      <c r="F1207" s="2">
        <v>1704.18</v>
      </c>
      <c r="G1207" s="4">
        <f t="shared" si="3"/>
        <v>7921628.15</v>
      </c>
      <c r="H1207" s="4">
        <f t="shared" si="1"/>
        <v>0.8299749803</v>
      </c>
      <c r="I1207" s="4" t="str">
        <f t="shared" si="2"/>
        <v>B</v>
      </c>
    </row>
    <row r="1208">
      <c r="A1208" s="2">
        <v>1207.0</v>
      </c>
      <c r="B1208" s="2">
        <v>84472.0</v>
      </c>
      <c r="C1208" s="2" t="s">
        <v>1380</v>
      </c>
      <c r="D1208" s="2">
        <v>45.95</v>
      </c>
      <c r="E1208" s="2">
        <v>44.0</v>
      </c>
      <c r="F1208" s="2">
        <v>1701.16</v>
      </c>
      <c r="G1208" s="4">
        <f t="shared" si="3"/>
        <v>7923329.31</v>
      </c>
      <c r="H1208" s="4">
        <f t="shared" si="1"/>
        <v>0.8301532164</v>
      </c>
      <c r="I1208" s="4" t="str">
        <f t="shared" si="2"/>
        <v>B</v>
      </c>
    </row>
    <row r="1209">
      <c r="A1209" s="2">
        <v>1208.0</v>
      </c>
      <c r="B1209" s="2">
        <v>22309.0</v>
      </c>
      <c r="C1209" s="2" t="s">
        <v>1381</v>
      </c>
      <c r="D1209" s="2">
        <v>2.55</v>
      </c>
      <c r="E1209" s="2">
        <v>654.0</v>
      </c>
      <c r="F1209" s="2">
        <v>1700.22</v>
      </c>
      <c r="G1209" s="4">
        <f t="shared" si="3"/>
        <v>7925029.53</v>
      </c>
      <c r="H1209" s="4">
        <f t="shared" si="1"/>
        <v>0.8303313541</v>
      </c>
      <c r="I1209" s="4" t="str">
        <f t="shared" si="2"/>
        <v>B</v>
      </c>
    </row>
    <row r="1210">
      <c r="A1210" s="2">
        <v>1209.0</v>
      </c>
      <c r="B1210" s="2">
        <v>23014.0</v>
      </c>
      <c r="C1210" s="2" t="s">
        <v>1382</v>
      </c>
      <c r="D1210" s="2">
        <v>3.95</v>
      </c>
      <c r="E1210" s="2">
        <v>425.0</v>
      </c>
      <c r="F1210" s="2">
        <v>1697.94</v>
      </c>
      <c r="G1210" s="4">
        <f t="shared" si="3"/>
        <v>7926727.47</v>
      </c>
      <c r="H1210" s="4">
        <f t="shared" si="1"/>
        <v>0.8305092528</v>
      </c>
      <c r="I1210" s="4" t="str">
        <f t="shared" si="2"/>
        <v>B</v>
      </c>
    </row>
    <row r="1211">
      <c r="A1211" s="2">
        <v>1210.0</v>
      </c>
      <c r="B1211" s="2">
        <v>22452.0</v>
      </c>
      <c r="C1211" s="2" t="s">
        <v>1383</v>
      </c>
      <c r="D1211" s="2">
        <v>2.95</v>
      </c>
      <c r="E1211" s="2">
        <v>642.0</v>
      </c>
      <c r="F1211" s="2">
        <v>1696.75</v>
      </c>
      <c r="G1211" s="4">
        <f t="shared" si="3"/>
        <v>7928424.22</v>
      </c>
      <c r="H1211" s="4">
        <f t="shared" si="1"/>
        <v>0.8306870269</v>
      </c>
      <c r="I1211" s="4" t="str">
        <f t="shared" si="2"/>
        <v>B</v>
      </c>
    </row>
    <row r="1212">
      <c r="A1212" s="2">
        <v>1211.0</v>
      </c>
      <c r="B1212" s="2">
        <v>23354.0</v>
      </c>
      <c r="C1212" s="2" t="s">
        <v>1384</v>
      </c>
      <c r="D1212" s="2">
        <v>0.83</v>
      </c>
      <c r="E1212" s="2">
        <v>1848.0</v>
      </c>
      <c r="F1212" s="2">
        <v>1696.02</v>
      </c>
      <c r="G1212" s="4">
        <f t="shared" si="3"/>
        <v>7930120.24</v>
      </c>
      <c r="H1212" s="4">
        <f t="shared" si="1"/>
        <v>0.8308647245</v>
      </c>
      <c r="I1212" s="4" t="str">
        <f t="shared" si="2"/>
        <v>B</v>
      </c>
    </row>
    <row r="1213">
      <c r="A1213" s="2">
        <v>1212.0</v>
      </c>
      <c r="B1213" s="2">
        <v>22461.0</v>
      </c>
      <c r="C1213" s="2" t="s">
        <v>1385</v>
      </c>
      <c r="D1213" s="2">
        <v>12.75</v>
      </c>
      <c r="E1213" s="2">
        <v>196.0</v>
      </c>
      <c r="F1213" s="2">
        <v>1694.56</v>
      </c>
      <c r="G1213" s="4">
        <f t="shared" si="3"/>
        <v>7931814.8</v>
      </c>
      <c r="H1213" s="4">
        <f t="shared" si="1"/>
        <v>0.8310422691</v>
      </c>
      <c r="I1213" s="4" t="str">
        <f t="shared" si="2"/>
        <v>B</v>
      </c>
    </row>
    <row r="1214">
      <c r="A1214" s="2">
        <v>1213.0</v>
      </c>
      <c r="B1214" s="2">
        <v>23156.0</v>
      </c>
      <c r="C1214" s="2" t="s">
        <v>1386</v>
      </c>
      <c r="D1214" s="2">
        <v>2.08</v>
      </c>
      <c r="E1214" s="2">
        <v>824.0</v>
      </c>
      <c r="F1214" s="2">
        <v>1693.96</v>
      </c>
      <c r="G1214" s="4">
        <f t="shared" si="3"/>
        <v>7933508.76</v>
      </c>
      <c r="H1214" s="4">
        <f t="shared" si="1"/>
        <v>0.8312197508</v>
      </c>
      <c r="I1214" s="4" t="str">
        <f t="shared" si="2"/>
        <v>B</v>
      </c>
    </row>
    <row r="1215">
      <c r="A1215" s="2">
        <v>1214.0</v>
      </c>
      <c r="B1215" s="2">
        <v>37340.0</v>
      </c>
      <c r="C1215" s="2" t="s">
        <v>1387</v>
      </c>
      <c r="D1215" s="2">
        <v>0.85</v>
      </c>
      <c r="E1215" s="2">
        <v>4340.0</v>
      </c>
      <c r="F1215" s="2">
        <v>1693.62</v>
      </c>
      <c r="G1215" s="4">
        <f t="shared" si="3"/>
        <v>7935202.38</v>
      </c>
      <c r="H1215" s="4">
        <f t="shared" si="1"/>
        <v>0.8313971969</v>
      </c>
      <c r="I1215" s="4" t="str">
        <f t="shared" si="2"/>
        <v>B</v>
      </c>
    </row>
    <row r="1216">
      <c r="A1216" s="2">
        <v>1215.0</v>
      </c>
      <c r="B1216" s="2">
        <v>21327.0</v>
      </c>
      <c r="C1216" s="2" t="s">
        <v>1388</v>
      </c>
      <c r="D1216" s="2">
        <v>1.65</v>
      </c>
      <c r="E1216" s="2">
        <v>966.0</v>
      </c>
      <c r="F1216" s="2">
        <v>1693.38</v>
      </c>
      <c r="G1216" s="4">
        <f t="shared" si="3"/>
        <v>7936895.76</v>
      </c>
      <c r="H1216" s="4">
        <f t="shared" si="1"/>
        <v>0.8315746179</v>
      </c>
      <c r="I1216" s="4" t="str">
        <f t="shared" si="2"/>
        <v>B</v>
      </c>
    </row>
    <row r="1217">
      <c r="A1217" s="2">
        <v>1216.0</v>
      </c>
      <c r="B1217" s="2">
        <v>22428.0</v>
      </c>
      <c r="C1217" s="2" t="s">
        <v>1389</v>
      </c>
      <c r="D1217" s="2">
        <v>6.95</v>
      </c>
      <c r="E1217" s="2">
        <v>230.0</v>
      </c>
      <c r="F1217" s="2">
        <v>1693.31</v>
      </c>
      <c r="G1217" s="4">
        <f t="shared" si="3"/>
        <v>7938589.07</v>
      </c>
      <c r="H1217" s="4">
        <f t="shared" si="1"/>
        <v>0.8317520316</v>
      </c>
      <c r="I1217" s="4" t="str">
        <f t="shared" si="2"/>
        <v>B</v>
      </c>
    </row>
    <row r="1218">
      <c r="A1218" s="2">
        <v>1217.0</v>
      </c>
      <c r="B1218" s="2" t="s">
        <v>1390</v>
      </c>
      <c r="C1218" s="2" t="s">
        <v>1391</v>
      </c>
      <c r="D1218" s="2">
        <v>2.55</v>
      </c>
      <c r="E1218" s="2">
        <v>741.0</v>
      </c>
      <c r="F1218" s="2">
        <v>1690.58</v>
      </c>
      <c r="G1218" s="4">
        <f t="shared" si="3"/>
        <v>7940279.65</v>
      </c>
      <c r="H1218" s="4">
        <f t="shared" si="1"/>
        <v>0.8319291592</v>
      </c>
      <c r="I1218" s="4" t="str">
        <f t="shared" si="2"/>
        <v>B</v>
      </c>
    </row>
    <row r="1219">
      <c r="A1219" s="2">
        <v>1218.0</v>
      </c>
      <c r="B1219" s="2">
        <v>22822.0</v>
      </c>
      <c r="C1219" s="2" t="s">
        <v>1392</v>
      </c>
      <c r="D1219" s="2">
        <v>5.95</v>
      </c>
      <c r="E1219" s="2">
        <v>292.0</v>
      </c>
      <c r="F1219" s="2">
        <v>1689.62</v>
      </c>
      <c r="G1219" s="4">
        <f t="shared" si="3"/>
        <v>7941969.27</v>
      </c>
      <c r="H1219" s="4">
        <f t="shared" si="1"/>
        <v>0.8321061862</v>
      </c>
      <c r="I1219" s="4" t="str">
        <f t="shared" si="2"/>
        <v>B</v>
      </c>
    </row>
    <row r="1220">
      <c r="A1220" s="2">
        <v>1219.0</v>
      </c>
      <c r="B1220" s="2">
        <v>22862.0</v>
      </c>
      <c r="C1220" s="2" t="s">
        <v>1393</v>
      </c>
      <c r="D1220" s="2">
        <v>4.25</v>
      </c>
      <c r="E1220" s="2">
        <v>380.0</v>
      </c>
      <c r="F1220" s="2">
        <v>1688.74</v>
      </c>
      <c r="G1220" s="4">
        <f t="shared" si="3"/>
        <v>7943658.01</v>
      </c>
      <c r="H1220" s="4">
        <f t="shared" si="1"/>
        <v>0.8322831211</v>
      </c>
      <c r="I1220" s="4" t="str">
        <f t="shared" si="2"/>
        <v>B</v>
      </c>
    </row>
    <row r="1221">
      <c r="A1221" s="2">
        <v>1220.0</v>
      </c>
      <c r="B1221" s="2">
        <v>22477.0</v>
      </c>
      <c r="C1221" s="2" t="s">
        <v>1394</v>
      </c>
      <c r="D1221" s="2">
        <v>1.25</v>
      </c>
      <c r="E1221" s="2">
        <v>1212.0</v>
      </c>
      <c r="F1221" s="2">
        <v>1684.62</v>
      </c>
      <c r="G1221" s="4">
        <f t="shared" si="3"/>
        <v>7945342.63</v>
      </c>
      <c r="H1221" s="4">
        <f t="shared" si="1"/>
        <v>0.8324596242</v>
      </c>
      <c r="I1221" s="4" t="str">
        <f t="shared" si="2"/>
        <v>B</v>
      </c>
    </row>
    <row r="1222">
      <c r="A1222" s="2">
        <v>1221.0</v>
      </c>
      <c r="B1222" s="2" t="s">
        <v>1395</v>
      </c>
      <c r="C1222" s="2" t="s">
        <v>1396</v>
      </c>
      <c r="D1222" s="2">
        <v>11.02</v>
      </c>
      <c r="E1222" s="2">
        <v>240.0</v>
      </c>
      <c r="F1222" s="2">
        <v>1680.62</v>
      </c>
      <c r="G1222" s="4">
        <f t="shared" si="3"/>
        <v>7947023.25</v>
      </c>
      <c r="H1222" s="4">
        <f t="shared" si="1"/>
        <v>0.8326357083</v>
      </c>
      <c r="I1222" s="4" t="str">
        <f t="shared" si="2"/>
        <v>B</v>
      </c>
    </row>
    <row r="1223">
      <c r="A1223" s="2">
        <v>1222.0</v>
      </c>
      <c r="B1223" s="2">
        <v>22223.0</v>
      </c>
      <c r="C1223" s="2" t="s">
        <v>1397</v>
      </c>
      <c r="D1223" s="2">
        <v>4.95</v>
      </c>
      <c r="E1223" s="2">
        <v>363.0</v>
      </c>
      <c r="F1223" s="2">
        <v>1679.83</v>
      </c>
      <c r="G1223" s="4">
        <f t="shared" si="3"/>
        <v>7948703.08</v>
      </c>
      <c r="H1223" s="4">
        <f t="shared" si="1"/>
        <v>0.8328117096</v>
      </c>
      <c r="I1223" s="4" t="str">
        <f t="shared" si="2"/>
        <v>B</v>
      </c>
    </row>
    <row r="1224">
      <c r="A1224" s="2">
        <v>1223.0</v>
      </c>
      <c r="B1224" s="2">
        <v>37501.0</v>
      </c>
      <c r="C1224" s="2" t="s">
        <v>1398</v>
      </c>
      <c r="D1224" s="2">
        <v>6.95</v>
      </c>
      <c r="E1224" s="2">
        <v>238.0</v>
      </c>
      <c r="F1224" s="2">
        <v>1679.72</v>
      </c>
      <c r="G1224" s="4">
        <f t="shared" si="3"/>
        <v>7950382.8</v>
      </c>
      <c r="H1224" s="4">
        <f t="shared" si="1"/>
        <v>0.8329876994</v>
      </c>
      <c r="I1224" s="4" t="str">
        <f t="shared" si="2"/>
        <v>B</v>
      </c>
    </row>
    <row r="1225">
      <c r="A1225" s="2">
        <v>1224.0</v>
      </c>
      <c r="B1225" s="2">
        <v>21211.0</v>
      </c>
      <c r="C1225" s="2" t="s">
        <v>1399</v>
      </c>
      <c r="D1225" s="2">
        <v>1.45</v>
      </c>
      <c r="E1225" s="2">
        <v>1198.0</v>
      </c>
      <c r="F1225" s="2">
        <v>1676.29</v>
      </c>
      <c r="G1225" s="4">
        <f t="shared" si="3"/>
        <v>7952059.09</v>
      </c>
      <c r="H1225" s="4">
        <f t="shared" si="1"/>
        <v>0.8331633298</v>
      </c>
      <c r="I1225" s="4" t="str">
        <f t="shared" si="2"/>
        <v>B</v>
      </c>
    </row>
    <row r="1226">
      <c r="A1226" s="2">
        <v>1225.0</v>
      </c>
      <c r="B1226" s="2">
        <v>21123.0</v>
      </c>
      <c r="C1226" s="2" t="s">
        <v>1400</v>
      </c>
      <c r="D1226" s="2">
        <v>1.25</v>
      </c>
      <c r="E1226" s="2">
        <v>1354.0</v>
      </c>
      <c r="F1226" s="2">
        <v>1669.03</v>
      </c>
      <c r="G1226" s="4">
        <f t="shared" si="3"/>
        <v>7953728.12</v>
      </c>
      <c r="H1226" s="4">
        <f t="shared" si="1"/>
        <v>0.8333381995</v>
      </c>
      <c r="I1226" s="4" t="str">
        <f t="shared" si="2"/>
        <v>B</v>
      </c>
    </row>
    <row r="1227">
      <c r="A1227" s="2">
        <v>1226.0</v>
      </c>
      <c r="B1227" s="2">
        <v>21917.0</v>
      </c>
      <c r="C1227" s="2" t="s">
        <v>1401</v>
      </c>
      <c r="D1227" s="2">
        <v>0.42</v>
      </c>
      <c r="E1227" s="2">
        <v>4018.0</v>
      </c>
      <c r="F1227" s="2">
        <v>1667.57</v>
      </c>
      <c r="G1227" s="4">
        <f t="shared" si="3"/>
        <v>7955395.69</v>
      </c>
      <c r="H1227" s="4">
        <f t="shared" si="1"/>
        <v>0.8335129163</v>
      </c>
      <c r="I1227" s="4" t="str">
        <f t="shared" si="2"/>
        <v>B</v>
      </c>
    </row>
    <row r="1228">
      <c r="A1228" s="2">
        <v>1227.0</v>
      </c>
      <c r="B1228" s="2">
        <v>22769.0</v>
      </c>
      <c r="C1228" s="2" t="s">
        <v>1402</v>
      </c>
      <c r="D1228" s="2">
        <v>24.95</v>
      </c>
      <c r="E1228" s="2">
        <v>80.0</v>
      </c>
      <c r="F1228" s="2">
        <v>1665.78</v>
      </c>
      <c r="G1228" s="4">
        <f t="shared" si="3"/>
        <v>7957061.47</v>
      </c>
      <c r="H1228" s="4">
        <f t="shared" si="1"/>
        <v>0.8336874455</v>
      </c>
      <c r="I1228" s="4" t="str">
        <f t="shared" si="2"/>
        <v>B</v>
      </c>
    </row>
    <row r="1229">
      <c r="A1229" s="2">
        <v>1228.0</v>
      </c>
      <c r="B1229" s="2">
        <v>22136.0</v>
      </c>
      <c r="C1229" s="2" t="s">
        <v>1403</v>
      </c>
      <c r="D1229" s="2">
        <v>1.65</v>
      </c>
      <c r="E1229" s="2">
        <v>996.0</v>
      </c>
      <c r="F1229" s="2">
        <v>1664.41</v>
      </c>
      <c r="G1229" s="4">
        <f t="shared" si="3"/>
        <v>7958725.88</v>
      </c>
      <c r="H1229" s="4">
        <f t="shared" si="1"/>
        <v>0.8338618312</v>
      </c>
      <c r="I1229" s="4" t="str">
        <f t="shared" si="2"/>
        <v>B</v>
      </c>
    </row>
    <row r="1230">
      <c r="A1230" s="2">
        <v>1229.0</v>
      </c>
      <c r="B1230" s="2">
        <v>44230.0</v>
      </c>
      <c r="C1230" s="2" t="s">
        <v>1404</v>
      </c>
      <c r="D1230" s="2">
        <v>7.95</v>
      </c>
      <c r="E1230" s="2">
        <v>170.0</v>
      </c>
      <c r="F1230" s="2">
        <v>1662.98</v>
      </c>
      <c r="G1230" s="4">
        <f t="shared" si="3"/>
        <v>7960388.86</v>
      </c>
      <c r="H1230" s="4">
        <f t="shared" si="1"/>
        <v>0.8340360671</v>
      </c>
      <c r="I1230" s="4" t="str">
        <f t="shared" si="2"/>
        <v>B</v>
      </c>
    </row>
    <row r="1231">
      <c r="A1231" s="2">
        <v>1230.0</v>
      </c>
      <c r="B1231" s="2">
        <v>23239.0</v>
      </c>
      <c r="C1231" s="2" t="s">
        <v>1405</v>
      </c>
      <c r="D1231" s="2">
        <v>4.15</v>
      </c>
      <c r="E1231" s="2">
        <v>418.0</v>
      </c>
      <c r="F1231" s="2">
        <v>1662.4</v>
      </c>
      <c r="G1231" s="4">
        <f t="shared" si="3"/>
        <v>7962051.26</v>
      </c>
      <c r="H1231" s="4">
        <f t="shared" si="1"/>
        <v>0.8342102422</v>
      </c>
      <c r="I1231" s="4" t="str">
        <f t="shared" si="2"/>
        <v>B</v>
      </c>
    </row>
    <row r="1232">
      <c r="A1232" s="2">
        <v>1231.0</v>
      </c>
      <c r="B1232" s="2">
        <v>20702.0</v>
      </c>
      <c r="C1232" s="2" t="s">
        <v>1406</v>
      </c>
      <c r="D1232" s="2">
        <v>4.25</v>
      </c>
      <c r="E1232" s="2">
        <v>393.0</v>
      </c>
      <c r="F1232" s="2">
        <v>1656.85</v>
      </c>
      <c r="G1232" s="4">
        <f t="shared" si="3"/>
        <v>7963708.11</v>
      </c>
      <c r="H1232" s="4">
        <f t="shared" si="1"/>
        <v>0.8343838358</v>
      </c>
      <c r="I1232" s="4" t="str">
        <f t="shared" si="2"/>
        <v>B</v>
      </c>
    </row>
    <row r="1233">
      <c r="A1233" s="2">
        <v>1232.0</v>
      </c>
      <c r="B1233" s="2">
        <v>23395.0</v>
      </c>
      <c r="C1233" s="2" t="s">
        <v>1407</v>
      </c>
      <c r="D1233" s="2">
        <v>3.75</v>
      </c>
      <c r="E1233" s="2">
        <v>380.0</v>
      </c>
      <c r="F1233" s="2">
        <v>1651.04</v>
      </c>
      <c r="G1233" s="4">
        <f t="shared" si="3"/>
        <v>7965359.15</v>
      </c>
      <c r="H1233" s="4">
        <f t="shared" si="1"/>
        <v>0.8345568207</v>
      </c>
      <c r="I1233" s="4" t="str">
        <f t="shared" si="2"/>
        <v>B</v>
      </c>
    </row>
    <row r="1234">
      <c r="A1234" s="2">
        <v>1233.0</v>
      </c>
      <c r="B1234" s="2">
        <v>84813.0</v>
      </c>
      <c r="C1234" s="2" t="s">
        <v>1408</v>
      </c>
      <c r="D1234" s="2">
        <v>12.75</v>
      </c>
      <c r="E1234" s="2">
        <v>211.0</v>
      </c>
      <c r="F1234" s="2">
        <v>1650.38</v>
      </c>
      <c r="G1234" s="4">
        <f t="shared" si="3"/>
        <v>7967009.53</v>
      </c>
      <c r="H1234" s="4">
        <f t="shared" si="1"/>
        <v>0.8347297364</v>
      </c>
      <c r="I1234" s="4" t="str">
        <f t="shared" si="2"/>
        <v>B</v>
      </c>
    </row>
    <row r="1235">
      <c r="A1235" s="2">
        <v>1234.0</v>
      </c>
      <c r="B1235" s="2">
        <v>84975.0</v>
      </c>
      <c r="C1235" s="2" t="s">
        <v>1409</v>
      </c>
      <c r="D1235" s="2">
        <v>1.69</v>
      </c>
      <c r="E1235" s="2">
        <v>1005.0</v>
      </c>
      <c r="F1235" s="2">
        <v>1650.1</v>
      </c>
      <c r="G1235" s="4">
        <f t="shared" si="3"/>
        <v>7968659.63</v>
      </c>
      <c r="H1235" s="4">
        <f t="shared" si="1"/>
        <v>0.8349026228</v>
      </c>
      <c r="I1235" s="4" t="str">
        <f t="shared" si="2"/>
        <v>B</v>
      </c>
    </row>
    <row r="1236">
      <c r="A1236" s="2">
        <v>1235.0</v>
      </c>
      <c r="B1236" s="2">
        <v>22122.0</v>
      </c>
      <c r="C1236" s="2" t="s">
        <v>1410</v>
      </c>
      <c r="D1236" s="2">
        <v>2.95</v>
      </c>
      <c r="E1236" s="2">
        <v>548.0</v>
      </c>
      <c r="F1236" s="2">
        <v>1647.99</v>
      </c>
      <c r="G1236" s="4">
        <f t="shared" si="3"/>
        <v>7970307.62</v>
      </c>
      <c r="H1236" s="4">
        <f t="shared" si="1"/>
        <v>0.8350752882</v>
      </c>
      <c r="I1236" s="4" t="str">
        <f t="shared" si="2"/>
        <v>B</v>
      </c>
    </row>
    <row r="1237">
      <c r="A1237" s="2">
        <v>1236.0</v>
      </c>
      <c r="B1237" s="2">
        <v>84828.0</v>
      </c>
      <c r="C1237" s="2" t="s">
        <v>1411</v>
      </c>
      <c r="D1237" s="2">
        <v>1.25</v>
      </c>
      <c r="E1237" s="2">
        <v>1242.0</v>
      </c>
      <c r="F1237" s="2">
        <v>1645.72</v>
      </c>
      <c r="G1237" s="4">
        <f t="shared" si="3"/>
        <v>7971953.34</v>
      </c>
      <c r="H1237" s="4">
        <f t="shared" si="1"/>
        <v>0.8352477156</v>
      </c>
      <c r="I1237" s="4" t="str">
        <f t="shared" si="2"/>
        <v>B</v>
      </c>
    </row>
    <row r="1238">
      <c r="A1238" s="2">
        <v>1237.0</v>
      </c>
      <c r="B1238" s="2">
        <v>22183.0</v>
      </c>
      <c r="C1238" s="2" t="s">
        <v>1412</v>
      </c>
      <c r="D1238" s="2">
        <v>5.91</v>
      </c>
      <c r="E1238" s="2">
        <v>292.0</v>
      </c>
      <c r="F1238" s="2">
        <v>1643.75</v>
      </c>
      <c r="G1238" s="4">
        <f t="shared" si="3"/>
        <v>7973597.09</v>
      </c>
      <c r="H1238" s="4">
        <f t="shared" si="1"/>
        <v>0.8354199367</v>
      </c>
      <c r="I1238" s="4" t="str">
        <f t="shared" si="2"/>
        <v>B</v>
      </c>
    </row>
    <row r="1239">
      <c r="A1239" s="2">
        <v>1238.0</v>
      </c>
      <c r="B1239" s="2">
        <v>22944.0</v>
      </c>
      <c r="C1239" s="2" t="s">
        <v>1413</v>
      </c>
      <c r="D1239" s="2">
        <v>0.97</v>
      </c>
      <c r="E1239" s="2">
        <v>2291.0</v>
      </c>
      <c r="F1239" s="2">
        <v>1641.52</v>
      </c>
      <c r="G1239" s="4">
        <f t="shared" si="3"/>
        <v>7975238.61</v>
      </c>
      <c r="H1239" s="4">
        <f t="shared" si="1"/>
        <v>0.8355919242</v>
      </c>
      <c r="I1239" s="4" t="str">
        <f t="shared" si="2"/>
        <v>B</v>
      </c>
    </row>
    <row r="1240">
      <c r="A1240" s="2">
        <v>1239.0</v>
      </c>
      <c r="B1240" s="2">
        <v>22047.0</v>
      </c>
      <c r="C1240" s="2" t="s">
        <v>1414</v>
      </c>
      <c r="D1240" s="2">
        <v>0.42</v>
      </c>
      <c r="E1240" s="2">
        <v>4025.0</v>
      </c>
      <c r="F1240" s="2">
        <v>1641.5</v>
      </c>
      <c r="G1240" s="4">
        <f t="shared" si="3"/>
        <v>7976880.11</v>
      </c>
      <c r="H1240" s="4">
        <f t="shared" si="1"/>
        <v>0.8357639095</v>
      </c>
      <c r="I1240" s="4" t="str">
        <f t="shared" si="2"/>
        <v>B</v>
      </c>
    </row>
    <row r="1241">
      <c r="A1241" s="2">
        <v>1240.0</v>
      </c>
      <c r="B1241" s="2">
        <v>37410.0</v>
      </c>
      <c r="C1241" s="2" t="s">
        <v>1415</v>
      </c>
      <c r="D1241" s="2">
        <v>1.25</v>
      </c>
      <c r="E1241" s="2">
        <v>12850.0</v>
      </c>
      <c r="F1241" s="2">
        <v>1640.58</v>
      </c>
      <c r="G1241" s="4">
        <f t="shared" si="3"/>
        <v>7978520.69</v>
      </c>
      <c r="H1241" s="4">
        <f t="shared" si="1"/>
        <v>0.8359357985</v>
      </c>
      <c r="I1241" s="4" t="str">
        <f t="shared" si="2"/>
        <v>B</v>
      </c>
    </row>
    <row r="1242">
      <c r="A1242" s="2">
        <v>1241.0</v>
      </c>
      <c r="B1242" s="2">
        <v>23308.0</v>
      </c>
      <c r="C1242" s="2" t="s">
        <v>1416</v>
      </c>
      <c r="D1242" s="2">
        <v>0.55</v>
      </c>
      <c r="E1242" s="2">
        <v>3076.0</v>
      </c>
      <c r="F1242" s="2">
        <v>1639.6</v>
      </c>
      <c r="G1242" s="4">
        <f t="shared" si="3"/>
        <v>7980160.29</v>
      </c>
      <c r="H1242" s="4">
        <f t="shared" si="1"/>
        <v>0.8361075847</v>
      </c>
      <c r="I1242" s="4" t="str">
        <f t="shared" si="2"/>
        <v>B</v>
      </c>
    </row>
    <row r="1243">
      <c r="A1243" s="2">
        <v>1242.0</v>
      </c>
      <c r="B1243" s="2" t="s">
        <v>1417</v>
      </c>
      <c r="C1243" s="2" t="s">
        <v>1418</v>
      </c>
      <c r="D1243" s="2">
        <v>4.21</v>
      </c>
      <c r="E1243" s="2">
        <v>420.0</v>
      </c>
      <c r="F1243" s="2">
        <v>1633.84</v>
      </c>
      <c r="G1243" s="4">
        <f t="shared" si="3"/>
        <v>7981794.13</v>
      </c>
      <c r="H1243" s="4">
        <f t="shared" si="1"/>
        <v>0.8362787675</v>
      </c>
      <c r="I1243" s="4" t="str">
        <f t="shared" si="2"/>
        <v>B</v>
      </c>
    </row>
    <row r="1244">
      <c r="A1244" s="2">
        <v>1243.0</v>
      </c>
      <c r="B1244" s="2" t="s">
        <v>1419</v>
      </c>
      <c r="C1244" s="2" t="s">
        <v>1420</v>
      </c>
      <c r="D1244" s="2">
        <v>1.25</v>
      </c>
      <c r="E1244" s="2">
        <v>1205.0</v>
      </c>
      <c r="F1244" s="2">
        <v>1632.07</v>
      </c>
      <c r="G1244" s="4">
        <f t="shared" si="3"/>
        <v>7983426.2</v>
      </c>
      <c r="H1244" s="4">
        <f t="shared" si="1"/>
        <v>0.8364497648</v>
      </c>
      <c r="I1244" s="4" t="str">
        <f t="shared" si="2"/>
        <v>B</v>
      </c>
    </row>
    <row r="1245">
      <c r="A1245" s="2">
        <v>1244.0</v>
      </c>
      <c r="B1245" s="2">
        <v>22792.0</v>
      </c>
      <c r="C1245" s="2" t="s">
        <v>1421</v>
      </c>
      <c r="D1245" s="2">
        <v>0.85</v>
      </c>
      <c r="E1245" s="2">
        <v>1756.0</v>
      </c>
      <c r="F1245" s="2">
        <v>1630.76</v>
      </c>
      <c r="G1245" s="4">
        <f t="shared" si="3"/>
        <v>7985056.96</v>
      </c>
      <c r="H1245" s="4">
        <f t="shared" si="1"/>
        <v>0.8366206249</v>
      </c>
      <c r="I1245" s="4" t="str">
        <f t="shared" si="2"/>
        <v>B</v>
      </c>
    </row>
    <row r="1246">
      <c r="A1246" s="2">
        <v>1245.0</v>
      </c>
      <c r="B1246" s="2">
        <v>21467.0</v>
      </c>
      <c r="C1246" s="2" t="s">
        <v>1422</v>
      </c>
      <c r="D1246" s="2">
        <v>3.75</v>
      </c>
      <c r="E1246" s="2">
        <v>512.0</v>
      </c>
      <c r="F1246" s="2">
        <v>1630.0</v>
      </c>
      <c r="G1246" s="4">
        <f t="shared" si="3"/>
        <v>7986686.96</v>
      </c>
      <c r="H1246" s="4">
        <f t="shared" si="1"/>
        <v>0.8367914054</v>
      </c>
      <c r="I1246" s="4" t="str">
        <f t="shared" si="2"/>
        <v>B</v>
      </c>
    </row>
    <row r="1247">
      <c r="A1247" s="2">
        <v>1246.0</v>
      </c>
      <c r="B1247" s="2">
        <v>22967.0</v>
      </c>
      <c r="C1247" s="2" t="s">
        <v>1423</v>
      </c>
      <c r="D1247" s="2">
        <v>2.95</v>
      </c>
      <c r="E1247" s="2">
        <v>584.0</v>
      </c>
      <c r="F1247" s="2">
        <v>1629.8</v>
      </c>
      <c r="G1247" s="4">
        <f t="shared" si="3"/>
        <v>7988316.76</v>
      </c>
      <c r="H1247" s="4">
        <f t="shared" si="1"/>
        <v>0.8369621649</v>
      </c>
      <c r="I1247" s="4" t="str">
        <f t="shared" si="2"/>
        <v>B</v>
      </c>
    </row>
    <row r="1248">
      <c r="A1248" s="2">
        <v>1247.0</v>
      </c>
      <c r="B1248" s="2" t="s">
        <v>1424</v>
      </c>
      <c r="C1248" s="2" t="s">
        <v>1425</v>
      </c>
      <c r="D1248" s="2">
        <v>7.95</v>
      </c>
      <c r="E1248" s="2">
        <v>214.0</v>
      </c>
      <c r="F1248" s="2">
        <v>1628.06</v>
      </c>
      <c r="G1248" s="4">
        <f t="shared" si="3"/>
        <v>7989944.82</v>
      </c>
      <c r="H1248" s="4">
        <f t="shared" si="1"/>
        <v>0.8371327421</v>
      </c>
      <c r="I1248" s="4" t="str">
        <f t="shared" si="2"/>
        <v>B</v>
      </c>
    </row>
    <row r="1249">
      <c r="A1249" s="2">
        <v>1248.0</v>
      </c>
      <c r="B1249" s="2">
        <v>23053.0</v>
      </c>
      <c r="C1249" s="2" t="s">
        <v>1426</v>
      </c>
      <c r="D1249" s="2">
        <v>8.25</v>
      </c>
      <c r="E1249" s="2">
        <v>182.0</v>
      </c>
      <c r="F1249" s="2">
        <v>1627.16</v>
      </c>
      <c r="G1249" s="4">
        <f t="shared" si="3"/>
        <v>7991571.98</v>
      </c>
      <c r="H1249" s="4">
        <f t="shared" si="1"/>
        <v>0.8373032249</v>
      </c>
      <c r="I1249" s="4" t="str">
        <f t="shared" si="2"/>
        <v>B</v>
      </c>
    </row>
    <row r="1250">
      <c r="A1250" s="2">
        <v>1249.0</v>
      </c>
      <c r="B1250" s="2">
        <v>22794.0</v>
      </c>
      <c r="C1250" s="2" t="s">
        <v>1427</v>
      </c>
      <c r="D1250" s="2">
        <v>7.95</v>
      </c>
      <c r="E1250" s="2">
        <v>193.0</v>
      </c>
      <c r="F1250" s="2">
        <v>1623.75</v>
      </c>
      <c r="G1250" s="4">
        <f t="shared" si="3"/>
        <v>7993195.73</v>
      </c>
      <c r="H1250" s="4">
        <f t="shared" si="1"/>
        <v>0.8374733506</v>
      </c>
      <c r="I1250" s="4" t="str">
        <f t="shared" si="2"/>
        <v>B</v>
      </c>
    </row>
    <row r="1251">
      <c r="A1251" s="2">
        <v>1250.0</v>
      </c>
      <c r="B1251" s="2">
        <v>22419.0</v>
      </c>
      <c r="C1251" s="2" t="s">
        <v>1428</v>
      </c>
      <c r="D1251" s="2">
        <v>0.42</v>
      </c>
      <c r="E1251" s="2">
        <v>3428.0</v>
      </c>
      <c r="F1251" s="2">
        <v>1623.18</v>
      </c>
      <c r="G1251" s="4">
        <f t="shared" si="3"/>
        <v>7994818.91</v>
      </c>
      <c r="H1251" s="4">
        <f t="shared" si="1"/>
        <v>0.8376434165</v>
      </c>
      <c r="I1251" s="4" t="str">
        <f t="shared" si="2"/>
        <v>B</v>
      </c>
    </row>
    <row r="1252">
      <c r="A1252" s="2">
        <v>1251.0</v>
      </c>
      <c r="B1252" s="2">
        <v>21732.0</v>
      </c>
      <c r="C1252" s="2" t="s">
        <v>1429</v>
      </c>
      <c r="D1252" s="2">
        <v>3.75</v>
      </c>
      <c r="E1252" s="2">
        <v>466.0</v>
      </c>
      <c r="F1252" s="2">
        <v>1622.28</v>
      </c>
      <c r="G1252" s="4">
        <f t="shared" si="3"/>
        <v>7996441.19</v>
      </c>
      <c r="H1252" s="4">
        <f t="shared" si="1"/>
        <v>0.8378133881</v>
      </c>
      <c r="I1252" s="4" t="str">
        <f t="shared" si="2"/>
        <v>B</v>
      </c>
    </row>
    <row r="1253">
      <c r="A1253" s="2">
        <v>1252.0</v>
      </c>
      <c r="B1253" s="2">
        <v>85220.0</v>
      </c>
      <c r="C1253" s="2" t="s">
        <v>1430</v>
      </c>
      <c r="D1253" s="2">
        <v>1.55</v>
      </c>
      <c r="E1253" s="2">
        <v>4866.0</v>
      </c>
      <c r="F1253" s="2">
        <v>1622.1</v>
      </c>
      <c r="G1253" s="4">
        <f t="shared" si="3"/>
        <v>7998063.29</v>
      </c>
      <c r="H1253" s="4">
        <f t="shared" si="1"/>
        <v>0.8379833408</v>
      </c>
      <c r="I1253" s="4" t="str">
        <f t="shared" si="2"/>
        <v>B</v>
      </c>
    </row>
    <row r="1254">
      <c r="A1254" s="2">
        <v>1253.0</v>
      </c>
      <c r="B1254" s="2">
        <v>20992.0</v>
      </c>
      <c r="C1254" s="2" t="s">
        <v>1431</v>
      </c>
      <c r="D1254" s="2">
        <v>0.74</v>
      </c>
      <c r="E1254" s="2">
        <v>3090.0</v>
      </c>
      <c r="F1254" s="2">
        <v>1621.64</v>
      </c>
      <c r="G1254" s="4">
        <f t="shared" si="3"/>
        <v>7999684.93</v>
      </c>
      <c r="H1254" s="4">
        <f t="shared" si="1"/>
        <v>0.8381532453</v>
      </c>
      <c r="I1254" s="4" t="str">
        <f t="shared" si="2"/>
        <v>B</v>
      </c>
    </row>
    <row r="1255">
      <c r="A1255" s="2">
        <v>1254.0</v>
      </c>
      <c r="B1255" s="2">
        <v>21477.0</v>
      </c>
      <c r="C1255" s="2" t="s">
        <v>1432</v>
      </c>
      <c r="D1255" s="2">
        <v>12.75</v>
      </c>
      <c r="E1255" s="2">
        <v>136.0</v>
      </c>
      <c r="F1255" s="2">
        <v>1618.1</v>
      </c>
      <c r="G1255" s="4">
        <f t="shared" si="3"/>
        <v>8001303.03</v>
      </c>
      <c r="H1255" s="4">
        <f t="shared" si="1"/>
        <v>0.838322779</v>
      </c>
      <c r="I1255" s="4" t="str">
        <f t="shared" si="2"/>
        <v>B</v>
      </c>
    </row>
    <row r="1256">
      <c r="A1256" s="2">
        <v>1255.0</v>
      </c>
      <c r="B1256" s="2">
        <v>84837.0</v>
      </c>
      <c r="C1256" s="2" t="s">
        <v>1433</v>
      </c>
      <c r="D1256" s="2">
        <v>12.75</v>
      </c>
      <c r="E1256" s="2">
        <v>126.0</v>
      </c>
      <c r="F1256" s="2">
        <v>1617.77</v>
      </c>
      <c r="G1256" s="4">
        <f t="shared" si="3"/>
        <v>8002920.8</v>
      </c>
      <c r="H1256" s="4">
        <f t="shared" si="1"/>
        <v>0.8384922781</v>
      </c>
      <c r="I1256" s="4" t="str">
        <f t="shared" si="2"/>
        <v>B</v>
      </c>
    </row>
    <row r="1257">
      <c r="A1257" s="2">
        <v>1256.0</v>
      </c>
      <c r="B1257" s="2" t="s">
        <v>1434</v>
      </c>
      <c r="C1257" s="2" t="s">
        <v>1435</v>
      </c>
      <c r="D1257" s="2">
        <v>1.69</v>
      </c>
      <c r="E1257" s="2">
        <v>962.0</v>
      </c>
      <c r="F1257" s="2">
        <v>1611.93</v>
      </c>
      <c r="G1257" s="4">
        <f t="shared" si="3"/>
        <v>8004532.73</v>
      </c>
      <c r="H1257" s="4">
        <f t="shared" si="1"/>
        <v>0.8386611653</v>
      </c>
      <c r="I1257" s="4" t="str">
        <f t="shared" si="2"/>
        <v>B</v>
      </c>
    </row>
    <row r="1258">
      <c r="A1258" s="2">
        <v>1257.0</v>
      </c>
      <c r="B1258" s="2">
        <v>22281.0</v>
      </c>
      <c r="C1258" s="2" t="s">
        <v>1436</v>
      </c>
      <c r="D1258" s="2">
        <v>5.95</v>
      </c>
      <c r="E1258" s="2">
        <v>250.0</v>
      </c>
      <c r="F1258" s="2">
        <v>1610.21</v>
      </c>
      <c r="G1258" s="4">
        <f t="shared" si="3"/>
        <v>8006142.94</v>
      </c>
      <c r="H1258" s="4">
        <f t="shared" si="1"/>
        <v>0.8388298722</v>
      </c>
      <c r="I1258" s="4" t="str">
        <f t="shared" si="2"/>
        <v>B</v>
      </c>
    </row>
    <row r="1259">
      <c r="A1259" s="2">
        <v>1258.0</v>
      </c>
      <c r="B1259" s="2">
        <v>23035.0</v>
      </c>
      <c r="C1259" s="2" t="s">
        <v>1437</v>
      </c>
      <c r="D1259" s="2">
        <v>1.45</v>
      </c>
      <c r="E1259" s="2">
        <v>1102.0</v>
      </c>
      <c r="F1259" s="2">
        <v>1608.7</v>
      </c>
      <c r="G1259" s="4">
        <f t="shared" si="3"/>
        <v>8007751.64</v>
      </c>
      <c r="H1259" s="4">
        <f t="shared" si="1"/>
        <v>0.838998421</v>
      </c>
      <c r="I1259" s="4" t="str">
        <f t="shared" si="2"/>
        <v>B</v>
      </c>
    </row>
    <row r="1260">
      <c r="A1260" s="2">
        <v>1259.0</v>
      </c>
      <c r="B1260" s="2">
        <v>23051.0</v>
      </c>
      <c r="C1260" s="2" t="s">
        <v>1438</v>
      </c>
      <c r="D1260" s="2">
        <v>8.25</v>
      </c>
      <c r="E1260" s="2">
        <v>182.0</v>
      </c>
      <c r="F1260" s="2">
        <v>1607.62</v>
      </c>
      <c r="G1260" s="4">
        <f t="shared" si="3"/>
        <v>8009359.26</v>
      </c>
      <c r="H1260" s="4">
        <f t="shared" si="1"/>
        <v>0.8391668566</v>
      </c>
      <c r="I1260" s="4" t="str">
        <f t="shared" si="2"/>
        <v>B</v>
      </c>
    </row>
    <row r="1261">
      <c r="A1261" s="2">
        <v>1260.0</v>
      </c>
      <c r="B1261" s="2">
        <v>22972.0</v>
      </c>
      <c r="C1261" s="2" t="s">
        <v>1439</v>
      </c>
      <c r="D1261" s="2">
        <v>1.65</v>
      </c>
      <c r="E1261" s="2">
        <v>940.0</v>
      </c>
      <c r="F1261" s="2">
        <v>1607.39</v>
      </c>
      <c r="G1261" s="4">
        <f t="shared" si="3"/>
        <v>8010966.65</v>
      </c>
      <c r="H1261" s="4">
        <f t="shared" si="1"/>
        <v>0.8393352682</v>
      </c>
      <c r="I1261" s="4" t="str">
        <f t="shared" si="2"/>
        <v>B</v>
      </c>
    </row>
    <row r="1262">
      <c r="A1262" s="2">
        <v>1261.0</v>
      </c>
      <c r="B1262" s="2">
        <v>21829.0</v>
      </c>
      <c r="C1262" s="2" t="s">
        <v>1440</v>
      </c>
      <c r="D1262" s="2">
        <v>0.21</v>
      </c>
      <c r="E1262" s="2">
        <v>7440.0</v>
      </c>
      <c r="F1262" s="2">
        <v>1604.71</v>
      </c>
      <c r="G1262" s="4">
        <f t="shared" si="3"/>
        <v>8012571.36</v>
      </c>
      <c r="H1262" s="4">
        <f t="shared" si="1"/>
        <v>0.8395033989</v>
      </c>
      <c r="I1262" s="4" t="str">
        <f t="shared" si="2"/>
        <v>B</v>
      </c>
    </row>
    <row r="1263">
      <c r="A1263" s="2">
        <v>1262.0</v>
      </c>
      <c r="B1263" s="2">
        <v>79164.0</v>
      </c>
      <c r="C1263" s="2" t="s">
        <v>1441</v>
      </c>
      <c r="D1263" s="2">
        <v>1.65</v>
      </c>
      <c r="E1263" s="2">
        <v>1832.0</v>
      </c>
      <c r="F1263" s="2">
        <v>1604.12</v>
      </c>
      <c r="G1263" s="4">
        <f t="shared" si="3"/>
        <v>8014175.48</v>
      </c>
      <c r="H1263" s="4">
        <f t="shared" si="1"/>
        <v>0.8396714678</v>
      </c>
      <c r="I1263" s="4" t="str">
        <f t="shared" si="2"/>
        <v>B</v>
      </c>
    </row>
    <row r="1264">
      <c r="A1264" s="2">
        <v>1263.0</v>
      </c>
      <c r="B1264" s="2">
        <v>23230.0</v>
      </c>
      <c r="C1264" s="2" t="s">
        <v>1442</v>
      </c>
      <c r="D1264" s="2">
        <v>0.42</v>
      </c>
      <c r="E1264" s="2">
        <v>3976.0</v>
      </c>
      <c r="F1264" s="2">
        <v>1603.71</v>
      </c>
      <c r="G1264" s="4">
        <f t="shared" si="3"/>
        <v>8015779.19</v>
      </c>
      <c r="H1264" s="4">
        <f t="shared" si="1"/>
        <v>0.8398394938</v>
      </c>
      <c r="I1264" s="4" t="str">
        <f t="shared" si="2"/>
        <v>B</v>
      </c>
    </row>
    <row r="1265">
      <c r="A1265" s="2">
        <v>1264.0</v>
      </c>
      <c r="B1265" s="2" t="s">
        <v>1443</v>
      </c>
      <c r="C1265" s="2" t="s">
        <v>1444</v>
      </c>
      <c r="D1265" s="2">
        <v>0.83</v>
      </c>
      <c r="E1265" s="2">
        <v>2360.0</v>
      </c>
      <c r="F1265" s="2">
        <v>1599.67</v>
      </c>
      <c r="G1265" s="4">
        <f t="shared" si="3"/>
        <v>8017378.86</v>
      </c>
      <c r="H1265" s="4">
        <f t="shared" si="1"/>
        <v>0.8400070965</v>
      </c>
      <c r="I1265" s="4" t="str">
        <f t="shared" si="2"/>
        <v>B</v>
      </c>
    </row>
    <row r="1266">
      <c r="A1266" s="2">
        <v>1265.0</v>
      </c>
      <c r="B1266" s="2">
        <v>21333.0</v>
      </c>
      <c r="C1266" s="2" t="s">
        <v>1445</v>
      </c>
      <c r="D1266" s="2">
        <v>2.95</v>
      </c>
      <c r="E1266" s="2">
        <v>530.0</v>
      </c>
      <c r="F1266" s="2">
        <v>1599.0</v>
      </c>
      <c r="G1266" s="4">
        <f t="shared" si="3"/>
        <v>8018977.86</v>
      </c>
      <c r="H1266" s="4">
        <f t="shared" si="1"/>
        <v>0.8401746289</v>
      </c>
      <c r="I1266" s="4" t="str">
        <f t="shared" si="2"/>
        <v>B</v>
      </c>
    </row>
    <row r="1267">
      <c r="A1267" s="2">
        <v>1266.0</v>
      </c>
      <c r="B1267" s="2" t="s">
        <v>1446</v>
      </c>
      <c r="C1267" s="2" t="s">
        <v>1447</v>
      </c>
      <c r="D1267" s="2">
        <v>2.95</v>
      </c>
      <c r="E1267" s="2">
        <v>606.0</v>
      </c>
      <c r="F1267" s="2">
        <v>1597.86</v>
      </c>
      <c r="G1267" s="4">
        <f t="shared" si="3"/>
        <v>8020575.72</v>
      </c>
      <c r="H1267" s="4">
        <f t="shared" si="1"/>
        <v>0.840342042</v>
      </c>
      <c r="I1267" s="4" t="str">
        <f t="shared" si="2"/>
        <v>B</v>
      </c>
    </row>
    <row r="1268">
      <c r="A1268" s="2">
        <v>1267.0</v>
      </c>
      <c r="B1268" s="2">
        <v>22194.0</v>
      </c>
      <c r="C1268" s="2" t="s">
        <v>1448</v>
      </c>
      <c r="D1268" s="2">
        <v>8.5</v>
      </c>
      <c r="E1268" s="2">
        <v>186.0</v>
      </c>
      <c r="F1268" s="2">
        <v>1597.55</v>
      </c>
      <c r="G1268" s="4">
        <f t="shared" si="3"/>
        <v>8022173.27</v>
      </c>
      <c r="H1268" s="4">
        <f t="shared" si="1"/>
        <v>0.8405094225</v>
      </c>
      <c r="I1268" s="4" t="str">
        <f t="shared" si="2"/>
        <v>B</v>
      </c>
    </row>
    <row r="1269">
      <c r="A1269" s="2">
        <v>1268.0</v>
      </c>
      <c r="B1269" s="2">
        <v>23342.0</v>
      </c>
      <c r="C1269" s="2" t="s">
        <v>1449</v>
      </c>
      <c r="D1269" s="2">
        <v>8.5</v>
      </c>
      <c r="E1269" s="2">
        <v>188.0</v>
      </c>
      <c r="F1269" s="2">
        <v>1596.7</v>
      </c>
      <c r="G1269" s="4">
        <f t="shared" si="3"/>
        <v>8023769.97</v>
      </c>
      <c r="H1269" s="4">
        <f t="shared" si="1"/>
        <v>0.840676714</v>
      </c>
      <c r="I1269" s="4" t="str">
        <f t="shared" si="2"/>
        <v>B</v>
      </c>
    </row>
    <row r="1270">
      <c r="A1270" s="2">
        <v>1269.0</v>
      </c>
      <c r="B1270" s="2">
        <v>21557.0</v>
      </c>
      <c r="C1270" s="2" t="s">
        <v>1450</v>
      </c>
      <c r="D1270" s="2">
        <v>2.95</v>
      </c>
      <c r="E1270" s="2">
        <v>467.0</v>
      </c>
      <c r="F1270" s="2">
        <v>1587.64</v>
      </c>
      <c r="G1270" s="4">
        <f t="shared" si="3"/>
        <v>8025357.61</v>
      </c>
      <c r="H1270" s="4">
        <f t="shared" si="1"/>
        <v>0.8408430563</v>
      </c>
      <c r="I1270" s="4" t="str">
        <f t="shared" si="2"/>
        <v>B</v>
      </c>
    </row>
    <row r="1271">
      <c r="A1271" s="2">
        <v>1270.0</v>
      </c>
      <c r="B1271" s="2">
        <v>22773.0</v>
      </c>
      <c r="C1271" s="2" t="s">
        <v>1451</v>
      </c>
      <c r="D1271" s="2">
        <v>1.25</v>
      </c>
      <c r="E1271" s="2">
        <v>1196.0</v>
      </c>
      <c r="F1271" s="2">
        <v>1585.56</v>
      </c>
      <c r="G1271" s="4">
        <f t="shared" si="3"/>
        <v>8026943.17</v>
      </c>
      <c r="H1271" s="4">
        <f t="shared" si="1"/>
        <v>0.8410091806</v>
      </c>
      <c r="I1271" s="4" t="str">
        <f t="shared" si="2"/>
        <v>B</v>
      </c>
    </row>
    <row r="1272">
      <c r="A1272" s="2">
        <v>1271.0</v>
      </c>
      <c r="B1272" s="2">
        <v>21111.0</v>
      </c>
      <c r="C1272" s="2" t="s">
        <v>1452</v>
      </c>
      <c r="D1272" s="2">
        <v>2.95</v>
      </c>
      <c r="E1272" s="2">
        <v>687.0</v>
      </c>
      <c r="F1272" s="2">
        <v>1585.36</v>
      </c>
      <c r="G1272" s="4">
        <f t="shared" si="3"/>
        <v>8028528.53</v>
      </c>
      <c r="H1272" s="4">
        <f t="shared" si="1"/>
        <v>0.841175284</v>
      </c>
      <c r="I1272" s="4" t="str">
        <f t="shared" si="2"/>
        <v>B</v>
      </c>
    </row>
    <row r="1273">
      <c r="A1273" s="2">
        <v>1272.0</v>
      </c>
      <c r="B1273" s="2">
        <v>23393.0</v>
      </c>
      <c r="C1273" s="2" t="s">
        <v>1453</v>
      </c>
      <c r="D1273" s="2">
        <v>3.75</v>
      </c>
      <c r="E1273" s="2">
        <v>396.0</v>
      </c>
      <c r="F1273" s="2">
        <v>1585.2</v>
      </c>
      <c r="G1273" s="4">
        <f t="shared" si="3"/>
        <v>8030113.73</v>
      </c>
      <c r="H1273" s="4">
        <f t="shared" si="1"/>
        <v>0.8413413706</v>
      </c>
      <c r="I1273" s="4" t="str">
        <f t="shared" si="2"/>
        <v>B</v>
      </c>
    </row>
    <row r="1274">
      <c r="A1274" s="2">
        <v>1273.0</v>
      </c>
      <c r="B1274" s="2">
        <v>21628.0</v>
      </c>
      <c r="C1274" s="2" t="s">
        <v>1454</v>
      </c>
      <c r="D1274" s="2">
        <v>29.17</v>
      </c>
      <c r="E1274" s="2">
        <v>82.0</v>
      </c>
      <c r="F1274" s="2">
        <v>1585.16</v>
      </c>
      <c r="G1274" s="4">
        <f t="shared" si="3"/>
        <v>8031698.89</v>
      </c>
      <c r="H1274" s="4">
        <f t="shared" si="1"/>
        <v>0.841507453</v>
      </c>
      <c r="I1274" s="4" t="str">
        <f t="shared" si="2"/>
        <v>B</v>
      </c>
    </row>
    <row r="1275">
      <c r="A1275" s="2">
        <v>1274.0</v>
      </c>
      <c r="B1275" s="2">
        <v>21949.0</v>
      </c>
      <c r="C1275" s="2" t="s">
        <v>1455</v>
      </c>
      <c r="D1275" s="2">
        <v>1.25</v>
      </c>
      <c r="E1275" s="2">
        <v>1299.0</v>
      </c>
      <c r="F1275" s="2">
        <v>1582.09</v>
      </c>
      <c r="G1275" s="4">
        <f t="shared" si="3"/>
        <v>8033280.98</v>
      </c>
      <c r="H1275" s="4">
        <f t="shared" si="1"/>
        <v>0.8416732138</v>
      </c>
      <c r="I1275" s="4" t="str">
        <f t="shared" si="2"/>
        <v>B</v>
      </c>
    </row>
    <row r="1276">
      <c r="A1276" s="2">
        <v>1275.0</v>
      </c>
      <c r="B1276" s="2">
        <v>22702.0</v>
      </c>
      <c r="C1276" s="2" t="s">
        <v>1456</v>
      </c>
      <c r="D1276" s="2">
        <v>2.1</v>
      </c>
      <c r="E1276" s="2">
        <v>795.0</v>
      </c>
      <c r="F1276" s="2">
        <v>1579.21</v>
      </c>
      <c r="G1276" s="4">
        <f t="shared" si="3"/>
        <v>8034860.19</v>
      </c>
      <c r="H1276" s="4">
        <f t="shared" si="1"/>
        <v>0.8418386728</v>
      </c>
      <c r="I1276" s="4" t="str">
        <f t="shared" si="2"/>
        <v>B</v>
      </c>
    </row>
    <row r="1277">
      <c r="A1277" s="2">
        <v>1276.0</v>
      </c>
      <c r="B1277" s="2" t="s">
        <v>1457</v>
      </c>
      <c r="C1277" s="2" t="s">
        <v>116</v>
      </c>
      <c r="D1277" s="2">
        <v>8.29</v>
      </c>
      <c r="E1277" s="2">
        <v>189.0</v>
      </c>
      <c r="F1277" s="2">
        <v>1577.96</v>
      </c>
      <c r="G1277" s="4">
        <f t="shared" si="3"/>
        <v>8036438.15</v>
      </c>
      <c r="H1277" s="4">
        <f t="shared" si="1"/>
        <v>0.8420040008</v>
      </c>
      <c r="I1277" s="4" t="str">
        <f t="shared" si="2"/>
        <v>B</v>
      </c>
    </row>
    <row r="1278">
      <c r="A1278" s="2">
        <v>1277.0</v>
      </c>
      <c r="B1278" s="2">
        <v>21765.0</v>
      </c>
      <c r="C1278" s="2" t="s">
        <v>1458</v>
      </c>
      <c r="D1278" s="2">
        <v>7.95</v>
      </c>
      <c r="E1278" s="2">
        <v>190.0</v>
      </c>
      <c r="F1278" s="2">
        <v>1577.94</v>
      </c>
      <c r="G1278" s="4">
        <f t="shared" si="3"/>
        <v>8038016.09</v>
      </c>
      <c r="H1278" s="4">
        <f t="shared" si="1"/>
        <v>0.8421693268</v>
      </c>
      <c r="I1278" s="4" t="str">
        <f t="shared" si="2"/>
        <v>B</v>
      </c>
    </row>
    <row r="1279">
      <c r="A1279" s="2">
        <v>1278.0</v>
      </c>
      <c r="B1279" s="2">
        <v>23323.0</v>
      </c>
      <c r="C1279" s="2" t="s">
        <v>1459</v>
      </c>
      <c r="D1279" s="2">
        <v>2.1</v>
      </c>
      <c r="E1279" s="2">
        <v>736.0</v>
      </c>
      <c r="F1279" s="2">
        <v>1577.59</v>
      </c>
      <c r="G1279" s="4">
        <f t="shared" si="3"/>
        <v>8039593.68</v>
      </c>
      <c r="H1279" s="4">
        <f t="shared" si="1"/>
        <v>0.8423346161</v>
      </c>
      <c r="I1279" s="4" t="str">
        <f t="shared" si="2"/>
        <v>B</v>
      </c>
    </row>
    <row r="1280">
      <c r="A1280" s="2">
        <v>1279.0</v>
      </c>
      <c r="B1280" s="2">
        <v>22406.0</v>
      </c>
      <c r="C1280" s="2" t="s">
        <v>1460</v>
      </c>
      <c r="D1280" s="2">
        <v>1.25</v>
      </c>
      <c r="E1280" s="2">
        <v>1246.0</v>
      </c>
      <c r="F1280" s="2">
        <v>1577.18</v>
      </c>
      <c r="G1280" s="4">
        <f t="shared" si="3"/>
        <v>8041170.86</v>
      </c>
      <c r="H1280" s="4">
        <f t="shared" si="1"/>
        <v>0.8424998624</v>
      </c>
      <c r="I1280" s="4" t="str">
        <f t="shared" si="2"/>
        <v>B</v>
      </c>
    </row>
    <row r="1281">
      <c r="A1281" s="2">
        <v>1280.0</v>
      </c>
      <c r="B1281" s="2">
        <v>22700.0</v>
      </c>
      <c r="C1281" s="2" t="s">
        <v>1461</v>
      </c>
      <c r="D1281" s="2">
        <v>2.95</v>
      </c>
      <c r="E1281" s="2">
        <v>692.0</v>
      </c>
      <c r="F1281" s="2">
        <v>1576.22</v>
      </c>
      <c r="G1281" s="4">
        <f t="shared" si="3"/>
        <v>8042747.08</v>
      </c>
      <c r="H1281" s="4">
        <f t="shared" si="1"/>
        <v>0.8426650081</v>
      </c>
      <c r="I1281" s="4" t="str">
        <f t="shared" si="2"/>
        <v>B</v>
      </c>
    </row>
    <row r="1282">
      <c r="A1282" s="2">
        <v>1281.0</v>
      </c>
      <c r="B1282" s="2">
        <v>21473.0</v>
      </c>
      <c r="C1282" s="2" t="s">
        <v>1462</v>
      </c>
      <c r="D1282" s="2">
        <v>19.95</v>
      </c>
      <c r="E1282" s="2">
        <v>77.0</v>
      </c>
      <c r="F1282" s="2">
        <v>1576.16</v>
      </c>
      <c r="G1282" s="4">
        <f t="shared" si="3"/>
        <v>8044323.24</v>
      </c>
      <c r="H1282" s="4">
        <f t="shared" si="1"/>
        <v>0.8428301476</v>
      </c>
      <c r="I1282" s="4" t="str">
        <f t="shared" si="2"/>
        <v>B</v>
      </c>
    </row>
    <row r="1283">
      <c r="A1283" s="2">
        <v>1282.0</v>
      </c>
      <c r="B1283" s="2">
        <v>22863.0</v>
      </c>
      <c r="C1283" s="2" t="s">
        <v>1463</v>
      </c>
      <c r="D1283" s="2">
        <v>2.95</v>
      </c>
      <c r="E1283" s="2">
        <v>550.0</v>
      </c>
      <c r="F1283" s="2">
        <v>1574.46</v>
      </c>
      <c r="G1283" s="4">
        <f t="shared" si="3"/>
        <v>8045897.7</v>
      </c>
      <c r="H1283" s="4">
        <f t="shared" si="1"/>
        <v>0.8429951089</v>
      </c>
      <c r="I1283" s="4" t="str">
        <f t="shared" si="2"/>
        <v>B</v>
      </c>
    </row>
    <row r="1284">
      <c r="A1284" s="2">
        <v>1283.0</v>
      </c>
      <c r="B1284" s="2">
        <v>21519.0</v>
      </c>
      <c r="C1284" s="2" t="s">
        <v>1464</v>
      </c>
      <c r="D1284" s="2">
        <v>0.42</v>
      </c>
      <c r="E1284" s="2">
        <v>3672.0</v>
      </c>
      <c r="F1284" s="2">
        <v>1572.44</v>
      </c>
      <c r="G1284" s="4">
        <f t="shared" si="3"/>
        <v>8047470.14</v>
      </c>
      <c r="H1284" s="4">
        <f t="shared" si="1"/>
        <v>0.8431598586</v>
      </c>
      <c r="I1284" s="4" t="str">
        <f t="shared" si="2"/>
        <v>B</v>
      </c>
    </row>
    <row r="1285">
      <c r="A1285" s="2">
        <v>1284.0</v>
      </c>
      <c r="B1285" s="2">
        <v>22313.0</v>
      </c>
      <c r="C1285" s="2" t="s">
        <v>1465</v>
      </c>
      <c r="D1285" s="2">
        <v>2.95</v>
      </c>
      <c r="E1285" s="2">
        <v>492.0</v>
      </c>
      <c r="F1285" s="2">
        <v>1570.56</v>
      </c>
      <c r="G1285" s="4">
        <f t="shared" si="3"/>
        <v>8049040.7</v>
      </c>
      <c r="H1285" s="4">
        <f t="shared" si="1"/>
        <v>0.8433244114</v>
      </c>
      <c r="I1285" s="4" t="str">
        <f t="shared" si="2"/>
        <v>B</v>
      </c>
    </row>
    <row r="1286">
      <c r="A1286" s="2">
        <v>1285.0</v>
      </c>
      <c r="B1286" s="2">
        <v>84944.0</v>
      </c>
      <c r="C1286" s="2" t="s">
        <v>1466</v>
      </c>
      <c r="D1286" s="2">
        <v>4.25</v>
      </c>
      <c r="E1286" s="2">
        <v>550.0</v>
      </c>
      <c r="F1286" s="2">
        <v>1565.79</v>
      </c>
      <c r="G1286" s="4">
        <f t="shared" si="3"/>
        <v>8050606.49</v>
      </c>
      <c r="H1286" s="4">
        <f t="shared" si="1"/>
        <v>0.8434884643</v>
      </c>
      <c r="I1286" s="4" t="str">
        <f t="shared" si="2"/>
        <v>B</v>
      </c>
    </row>
    <row r="1287">
      <c r="A1287" s="2">
        <v>1286.0</v>
      </c>
      <c r="B1287" s="2">
        <v>82578.0</v>
      </c>
      <c r="C1287" s="2" t="s">
        <v>1467</v>
      </c>
      <c r="D1287" s="2">
        <v>0.55</v>
      </c>
      <c r="E1287" s="2">
        <v>2796.0</v>
      </c>
      <c r="F1287" s="2">
        <v>1564.07</v>
      </c>
      <c r="G1287" s="4">
        <f t="shared" si="3"/>
        <v>8052170.56</v>
      </c>
      <c r="H1287" s="4">
        <f t="shared" si="1"/>
        <v>0.8436523371</v>
      </c>
      <c r="I1287" s="4" t="str">
        <f t="shared" si="2"/>
        <v>B</v>
      </c>
    </row>
    <row r="1288">
      <c r="A1288" s="2">
        <v>1287.0</v>
      </c>
      <c r="B1288" s="2">
        <v>22347.0</v>
      </c>
      <c r="C1288" s="2" t="s">
        <v>1468</v>
      </c>
      <c r="D1288" s="2">
        <v>1.25</v>
      </c>
      <c r="E1288" s="2">
        <v>1361.0</v>
      </c>
      <c r="F1288" s="2">
        <v>1563.34</v>
      </c>
      <c r="G1288" s="4">
        <f t="shared" si="3"/>
        <v>8053733.9</v>
      </c>
      <c r="H1288" s="4">
        <f t="shared" si="1"/>
        <v>0.8438161333</v>
      </c>
      <c r="I1288" s="4" t="str">
        <f t="shared" si="2"/>
        <v>B</v>
      </c>
    </row>
    <row r="1289">
      <c r="A1289" s="2">
        <v>1288.0</v>
      </c>
      <c r="B1289" s="2">
        <v>21705.0</v>
      </c>
      <c r="C1289" s="2" t="s">
        <v>1469</v>
      </c>
      <c r="D1289" s="2">
        <v>1.65</v>
      </c>
      <c r="E1289" s="2">
        <v>1261.0</v>
      </c>
      <c r="F1289" s="2">
        <v>1562.96</v>
      </c>
      <c r="G1289" s="4">
        <f t="shared" si="3"/>
        <v>8055296.86</v>
      </c>
      <c r="H1289" s="4">
        <f t="shared" si="1"/>
        <v>0.8439798898</v>
      </c>
      <c r="I1289" s="4" t="str">
        <f t="shared" si="2"/>
        <v>B</v>
      </c>
    </row>
    <row r="1290">
      <c r="A1290" s="2">
        <v>1289.0</v>
      </c>
      <c r="B1290" s="2">
        <v>21272.0</v>
      </c>
      <c r="C1290" s="2" t="s">
        <v>1470</v>
      </c>
      <c r="D1290" s="2">
        <v>1.25</v>
      </c>
      <c r="E1290" s="2">
        <v>1178.0</v>
      </c>
      <c r="F1290" s="2">
        <v>1559.92</v>
      </c>
      <c r="G1290" s="4">
        <f t="shared" si="3"/>
        <v>8056856.78</v>
      </c>
      <c r="H1290" s="4">
        <f t="shared" si="1"/>
        <v>0.8441433277</v>
      </c>
      <c r="I1290" s="4" t="str">
        <f t="shared" si="2"/>
        <v>B</v>
      </c>
    </row>
    <row r="1291">
      <c r="A1291" s="2">
        <v>1290.0</v>
      </c>
      <c r="B1291" s="2">
        <v>23346.0</v>
      </c>
      <c r="C1291" s="2" t="s">
        <v>1471</v>
      </c>
      <c r="D1291" s="2">
        <v>1.25</v>
      </c>
      <c r="E1291" s="2">
        <v>1316.0</v>
      </c>
      <c r="F1291" s="2">
        <v>1558.67</v>
      </c>
      <c r="G1291" s="4">
        <f t="shared" si="3"/>
        <v>8058415.45</v>
      </c>
      <c r="H1291" s="4">
        <f t="shared" si="1"/>
        <v>0.8443066347</v>
      </c>
      <c r="I1291" s="4" t="str">
        <f t="shared" si="2"/>
        <v>B</v>
      </c>
    </row>
    <row r="1292">
      <c r="A1292" s="2">
        <v>1291.0</v>
      </c>
      <c r="B1292" s="2">
        <v>22095.0</v>
      </c>
      <c r="C1292" s="2" t="s">
        <v>1472</v>
      </c>
      <c r="D1292" s="2">
        <v>1.25</v>
      </c>
      <c r="E1292" s="2">
        <v>1488.0</v>
      </c>
      <c r="F1292" s="2">
        <v>1557.49</v>
      </c>
      <c r="G1292" s="4">
        <f t="shared" si="3"/>
        <v>8059972.94</v>
      </c>
      <c r="H1292" s="4">
        <f t="shared" si="1"/>
        <v>0.844469818</v>
      </c>
      <c r="I1292" s="4" t="str">
        <f t="shared" si="2"/>
        <v>B</v>
      </c>
    </row>
    <row r="1293">
      <c r="A1293" s="2">
        <v>1292.0</v>
      </c>
      <c r="B1293" s="2">
        <v>20956.0</v>
      </c>
      <c r="C1293" s="2" t="s">
        <v>1473</v>
      </c>
      <c r="D1293" s="2">
        <v>1.25</v>
      </c>
      <c r="E1293" s="2">
        <v>1176.0</v>
      </c>
      <c r="F1293" s="2">
        <v>1551.28</v>
      </c>
      <c r="G1293" s="4">
        <f t="shared" si="3"/>
        <v>8061524.22</v>
      </c>
      <c r="H1293" s="4">
        <f t="shared" si="1"/>
        <v>0.8446323507</v>
      </c>
      <c r="I1293" s="4" t="str">
        <f t="shared" si="2"/>
        <v>B</v>
      </c>
    </row>
    <row r="1294">
      <c r="A1294" s="2">
        <v>1293.0</v>
      </c>
      <c r="B1294" s="2">
        <v>22572.0</v>
      </c>
      <c r="C1294" s="2" t="s">
        <v>1474</v>
      </c>
      <c r="D1294" s="2">
        <v>0.85</v>
      </c>
      <c r="E1294" s="2">
        <v>1728.0</v>
      </c>
      <c r="F1294" s="2">
        <v>1551.24</v>
      </c>
      <c r="G1294" s="4">
        <f t="shared" si="3"/>
        <v>8063075.46</v>
      </c>
      <c r="H1294" s="4">
        <f t="shared" si="1"/>
        <v>0.8447948792</v>
      </c>
      <c r="I1294" s="4" t="str">
        <f t="shared" si="2"/>
        <v>B</v>
      </c>
    </row>
    <row r="1295">
      <c r="A1295" s="2">
        <v>1294.0</v>
      </c>
      <c r="B1295" s="2">
        <v>22129.0</v>
      </c>
      <c r="C1295" s="2" t="s">
        <v>1475</v>
      </c>
      <c r="D1295" s="2">
        <v>0.85</v>
      </c>
      <c r="E1295" s="2">
        <v>1626.0</v>
      </c>
      <c r="F1295" s="2">
        <v>1550.11</v>
      </c>
      <c r="G1295" s="4">
        <f t="shared" si="3"/>
        <v>8064625.57</v>
      </c>
      <c r="H1295" s="4">
        <f t="shared" si="1"/>
        <v>0.8449572893</v>
      </c>
      <c r="I1295" s="4" t="str">
        <f t="shared" si="2"/>
        <v>B</v>
      </c>
    </row>
    <row r="1296">
      <c r="A1296" s="2">
        <v>1295.0</v>
      </c>
      <c r="B1296" s="2" t="s">
        <v>1476</v>
      </c>
      <c r="C1296" s="2" t="s">
        <v>1477</v>
      </c>
      <c r="D1296" s="2">
        <v>8.29</v>
      </c>
      <c r="E1296" s="2">
        <v>186.0</v>
      </c>
      <c r="F1296" s="2">
        <v>1548.69</v>
      </c>
      <c r="G1296" s="4">
        <f t="shared" si="3"/>
        <v>8066174.26</v>
      </c>
      <c r="H1296" s="4">
        <f t="shared" si="1"/>
        <v>0.8451195507</v>
      </c>
      <c r="I1296" s="4" t="str">
        <f t="shared" si="2"/>
        <v>B</v>
      </c>
    </row>
    <row r="1297">
      <c r="A1297" s="2">
        <v>1296.0</v>
      </c>
      <c r="B1297" s="2">
        <v>22310.0</v>
      </c>
      <c r="C1297" s="2" t="s">
        <v>1478</v>
      </c>
      <c r="D1297" s="2">
        <v>3.29</v>
      </c>
      <c r="E1297" s="2">
        <v>864.0</v>
      </c>
      <c r="F1297" s="2">
        <v>1547.9</v>
      </c>
      <c r="G1297" s="4">
        <f t="shared" si="3"/>
        <v>8067722.16</v>
      </c>
      <c r="H1297" s="4">
        <f t="shared" si="1"/>
        <v>0.8452817292</v>
      </c>
      <c r="I1297" s="4" t="str">
        <f t="shared" si="2"/>
        <v>B</v>
      </c>
    </row>
    <row r="1298">
      <c r="A1298" s="2">
        <v>1297.0</v>
      </c>
      <c r="B1298" s="2">
        <v>85227.0</v>
      </c>
      <c r="C1298" s="2" t="s">
        <v>1479</v>
      </c>
      <c r="D1298" s="2">
        <v>0.85</v>
      </c>
      <c r="E1298" s="2">
        <v>1724.0</v>
      </c>
      <c r="F1298" s="2">
        <v>1547.04</v>
      </c>
      <c r="G1298" s="4">
        <f t="shared" si="3"/>
        <v>8069269.2</v>
      </c>
      <c r="H1298" s="4">
        <f t="shared" si="1"/>
        <v>0.8454438177</v>
      </c>
      <c r="I1298" s="4" t="str">
        <f t="shared" si="2"/>
        <v>B</v>
      </c>
    </row>
    <row r="1299">
      <c r="A1299" s="2">
        <v>1298.0</v>
      </c>
      <c r="B1299" s="2" t="s">
        <v>1480</v>
      </c>
      <c r="C1299" s="2" t="s">
        <v>1481</v>
      </c>
      <c r="D1299" s="2">
        <v>1.95</v>
      </c>
      <c r="E1299" s="2">
        <v>1322.0</v>
      </c>
      <c r="F1299" s="2">
        <v>1544.67</v>
      </c>
      <c r="G1299" s="4">
        <f t="shared" si="3"/>
        <v>8070813.87</v>
      </c>
      <c r="H1299" s="4">
        <f t="shared" si="1"/>
        <v>0.8456056578</v>
      </c>
      <c r="I1299" s="4" t="str">
        <f t="shared" si="2"/>
        <v>B</v>
      </c>
    </row>
    <row r="1300">
      <c r="A1300" s="2">
        <v>1299.0</v>
      </c>
      <c r="B1300" s="2" t="s">
        <v>1482</v>
      </c>
      <c r="C1300" s="2" t="s">
        <v>1483</v>
      </c>
      <c r="D1300" s="2">
        <v>3.36</v>
      </c>
      <c r="E1300" s="2">
        <v>564.0</v>
      </c>
      <c r="F1300" s="2">
        <v>1543.82</v>
      </c>
      <c r="G1300" s="4">
        <f t="shared" si="3"/>
        <v>8072357.69</v>
      </c>
      <c r="H1300" s="4">
        <f t="shared" si="1"/>
        <v>0.8457674089</v>
      </c>
      <c r="I1300" s="4" t="str">
        <f t="shared" si="2"/>
        <v>B</v>
      </c>
    </row>
    <row r="1301">
      <c r="A1301" s="2">
        <v>1300.0</v>
      </c>
      <c r="B1301" s="2">
        <v>22762.0</v>
      </c>
      <c r="C1301" s="2" t="s">
        <v>1484</v>
      </c>
      <c r="D1301" s="2">
        <v>14.95</v>
      </c>
      <c r="E1301" s="2">
        <v>95.0</v>
      </c>
      <c r="F1301" s="2">
        <v>1542.46</v>
      </c>
      <c r="G1301" s="4">
        <f t="shared" si="3"/>
        <v>8073900.15</v>
      </c>
      <c r="H1301" s="4">
        <f t="shared" si="1"/>
        <v>0.8459290175</v>
      </c>
      <c r="I1301" s="4" t="str">
        <f t="shared" si="2"/>
        <v>B</v>
      </c>
    </row>
    <row r="1302">
      <c r="A1302" s="2">
        <v>1301.0</v>
      </c>
      <c r="B1302" s="2" t="s">
        <v>1485</v>
      </c>
      <c r="C1302" s="2" t="s">
        <v>1486</v>
      </c>
      <c r="D1302" s="2">
        <v>7.95</v>
      </c>
      <c r="E1302" s="2">
        <v>231.0</v>
      </c>
      <c r="F1302" s="2">
        <v>1541.22</v>
      </c>
      <c r="G1302" s="4">
        <f t="shared" si="3"/>
        <v>8075441.37</v>
      </c>
      <c r="H1302" s="4">
        <f t="shared" si="1"/>
        <v>0.8460904962</v>
      </c>
      <c r="I1302" s="4" t="str">
        <f t="shared" si="2"/>
        <v>B</v>
      </c>
    </row>
    <row r="1303">
      <c r="A1303" s="2">
        <v>1302.0</v>
      </c>
      <c r="B1303" s="2">
        <v>22154.0</v>
      </c>
      <c r="C1303" s="2" t="s">
        <v>1487</v>
      </c>
      <c r="D1303" s="2">
        <v>0.42</v>
      </c>
      <c r="E1303" s="2">
        <v>3558.0</v>
      </c>
      <c r="F1303" s="2">
        <v>1537.08</v>
      </c>
      <c r="G1303" s="4">
        <f t="shared" si="3"/>
        <v>8076978.45</v>
      </c>
      <c r="H1303" s="4">
        <f t="shared" si="1"/>
        <v>0.8462515411</v>
      </c>
      <c r="I1303" s="4" t="str">
        <f t="shared" si="2"/>
        <v>B</v>
      </c>
    </row>
    <row r="1304">
      <c r="A1304" s="2">
        <v>1303.0</v>
      </c>
      <c r="B1304" s="2">
        <v>22757.0</v>
      </c>
      <c r="C1304" s="2" t="s">
        <v>1488</v>
      </c>
      <c r="D1304" s="2">
        <v>1.25</v>
      </c>
      <c r="E1304" s="2">
        <v>1350.0</v>
      </c>
      <c r="F1304" s="2">
        <v>1536.96</v>
      </c>
      <c r="G1304" s="4">
        <f t="shared" si="3"/>
        <v>8078515.41</v>
      </c>
      <c r="H1304" s="4">
        <f t="shared" si="1"/>
        <v>0.8464125735</v>
      </c>
      <c r="I1304" s="4" t="str">
        <f t="shared" si="2"/>
        <v>B</v>
      </c>
    </row>
    <row r="1305">
      <c r="A1305" s="2">
        <v>1304.0</v>
      </c>
      <c r="B1305" s="2">
        <v>22473.0</v>
      </c>
      <c r="C1305" s="2" t="s">
        <v>1489</v>
      </c>
      <c r="D1305" s="2">
        <v>4.95</v>
      </c>
      <c r="E1305" s="2">
        <v>406.0</v>
      </c>
      <c r="F1305" s="2">
        <v>1535.46</v>
      </c>
      <c r="G1305" s="4">
        <f t="shared" si="3"/>
        <v>8080050.87</v>
      </c>
      <c r="H1305" s="4">
        <f t="shared" si="1"/>
        <v>0.8465734486</v>
      </c>
      <c r="I1305" s="4" t="str">
        <f t="shared" si="2"/>
        <v>B</v>
      </c>
    </row>
    <row r="1306">
      <c r="A1306" s="2">
        <v>1305.0</v>
      </c>
      <c r="B1306" s="2">
        <v>21352.0</v>
      </c>
      <c r="C1306" s="2" t="s">
        <v>1490</v>
      </c>
      <c r="D1306" s="2">
        <v>5.91</v>
      </c>
      <c r="E1306" s="2">
        <v>437.0</v>
      </c>
      <c r="F1306" s="2">
        <v>1534.89</v>
      </c>
      <c r="G1306" s="4">
        <f t="shared" si="3"/>
        <v>8081585.76</v>
      </c>
      <c r="H1306" s="4">
        <f t="shared" si="1"/>
        <v>0.8467342641</v>
      </c>
      <c r="I1306" s="4" t="str">
        <f t="shared" si="2"/>
        <v>B</v>
      </c>
    </row>
    <row r="1307">
      <c r="A1307" s="2">
        <v>1306.0</v>
      </c>
      <c r="B1307" s="2">
        <v>21206.0</v>
      </c>
      <c r="C1307" s="2" t="s">
        <v>1491</v>
      </c>
      <c r="D1307" s="2">
        <v>1.65</v>
      </c>
      <c r="E1307" s="2">
        <v>1078.0</v>
      </c>
      <c r="F1307" s="2">
        <v>1533.95</v>
      </c>
      <c r="G1307" s="4">
        <f t="shared" si="3"/>
        <v>8083119.71</v>
      </c>
      <c r="H1307" s="4">
        <f t="shared" si="1"/>
        <v>0.8468949811</v>
      </c>
      <c r="I1307" s="4" t="str">
        <f t="shared" si="2"/>
        <v>B</v>
      </c>
    </row>
    <row r="1308">
      <c r="A1308" s="2">
        <v>1307.0</v>
      </c>
      <c r="B1308" s="2">
        <v>23461.0</v>
      </c>
      <c r="C1308" s="2" t="s">
        <v>1492</v>
      </c>
      <c r="D1308" s="2">
        <v>4.15</v>
      </c>
      <c r="E1308" s="2">
        <v>426.0</v>
      </c>
      <c r="F1308" s="2">
        <v>1533.06</v>
      </c>
      <c r="G1308" s="4">
        <f t="shared" si="3"/>
        <v>8084652.77</v>
      </c>
      <c r="H1308" s="4">
        <f t="shared" si="1"/>
        <v>0.8470556048</v>
      </c>
      <c r="I1308" s="4" t="str">
        <f t="shared" si="2"/>
        <v>B</v>
      </c>
    </row>
    <row r="1309">
      <c r="A1309" s="2">
        <v>1308.0</v>
      </c>
      <c r="B1309" s="2">
        <v>22963.0</v>
      </c>
      <c r="C1309" s="2" t="s">
        <v>1493</v>
      </c>
      <c r="D1309" s="2">
        <v>0.85</v>
      </c>
      <c r="E1309" s="2">
        <v>1840.0</v>
      </c>
      <c r="F1309" s="2">
        <v>1532.48</v>
      </c>
      <c r="G1309" s="4">
        <f t="shared" si="3"/>
        <v>8086185.25</v>
      </c>
      <c r="H1309" s="4">
        <f t="shared" si="1"/>
        <v>0.8472161678</v>
      </c>
      <c r="I1309" s="4" t="str">
        <f t="shared" si="2"/>
        <v>B</v>
      </c>
    </row>
    <row r="1310">
      <c r="A1310" s="2">
        <v>1309.0</v>
      </c>
      <c r="B1310" s="2">
        <v>22372.0</v>
      </c>
      <c r="C1310" s="2" t="s">
        <v>1494</v>
      </c>
      <c r="D1310" s="2">
        <v>4.25</v>
      </c>
      <c r="E1310" s="2">
        <v>300.0</v>
      </c>
      <c r="F1310" s="2">
        <v>1530.34</v>
      </c>
      <c r="G1310" s="4">
        <f t="shared" si="3"/>
        <v>8087715.59</v>
      </c>
      <c r="H1310" s="4">
        <f t="shared" si="1"/>
        <v>0.8473765065</v>
      </c>
      <c r="I1310" s="4" t="str">
        <f t="shared" si="2"/>
        <v>B</v>
      </c>
    </row>
    <row r="1311">
      <c r="A1311" s="2">
        <v>1310.0</v>
      </c>
      <c r="B1311" s="2">
        <v>21408.0</v>
      </c>
      <c r="C1311" s="2" t="s">
        <v>1495</v>
      </c>
      <c r="D1311" s="2">
        <v>4.25</v>
      </c>
      <c r="E1311" s="2">
        <v>354.0</v>
      </c>
      <c r="F1311" s="2">
        <v>1528.86</v>
      </c>
      <c r="G1311" s="4">
        <f t="shared" si="3"/>
        <v>8089244.45</v>
      </c>
      <c r="H1311" s="4">
        <f t="shared" si="1"/>
        <v>0.8475366902</v>
      </c>
      <c r="I1311" s="4" t="str">
        <f t="shared" si="2"/>
        <v>B</v>
      </c>
    </row>
    <row r="1312">
      <c r="A1312" s="2">
        <v>1311.0</v>
      </c>
      <c r="B1312" s="2">
        <v>23329.0</v>
      </c>
      <c r="C1312" s="2" t="s">
        <v>1496</v>
      </c>
      <c r="D1312" s="2">
        <v>1.65</v>
      </c>
      <c r="E1312" s="2">
        <v>889.0</v>
      </c>
      <c r="F1312" s="2">
        <v>1528.17</v>
      </c>
      <c r="G1312" s="4">
        <f t="shared" si="3"/>
        <v>8090772.62</v>
      </c>
      <c r="H1312" s="4">
        <f t="shared" si="1"/>
        <v>0.8476968016</v>
      </c>
      <c r="I1312" s="4" t="str">
        <f t="shared" si="2"/>
        <v>B</v>
      </c>
    </row>
    <row r="1313">
      <c r="A1313" s="2">
        <v>1312.0</v>
      </c>
      <c r="B1313" s="2">
        <v>22037.0</v>
      </c>
      <c r="C1313" s="2" t="s">
        <v>1497</v>
      </c>
      <c r="D1313" s="2">
        <v>0.42</v>
      </c>
      <c r="E1313" s="2">
        <v>3551.0</v>
      </c>
      <c r="F1313" s="2">
        <v>1527.93</v>
      </c>
      <c r="G1313" s="4">
        <f t="shared" si="3"/>
        <v>8092300.55</v>
      </c>
      <c r="H1313" s="4">
        <f t="shared" si="1"/>
        <v>0.8478568878</v>
      </c>
      <c r="I1313" s="4" t="str">
        <f t="shared" si="2"/>
        <v>B</v>
      </c>
    </row>
    <row r="1314">
      <c r="A1314" s="2">
        <v>1313.0</v>
      </c>
      <c r="B1314" s="2">
        <v>22891.0</v>
      </c>
      <c r="C1314" s="2" t="s">
        <v>1498</v>
      </c>
      <c r="D1314" s="2">
        <v>4.25</v>
      </c>
      <c r="E1314" s="2">
        <v>316.0</v>
      </c>
      <c r="F1314" s="2">
        <v>1526.35</v>
      </c>
      <c r="G1314" s="4">
        <f t="shared" si="3"/>
        <v>8093826.9</v>
      </c>
      <c r="H1314" s="4">
        <f t="shared" si="1"/>
        <v>0.8480168085</v>
      </c>
      <c r="I1314" s="4" t="str">
        <f t="shared" si="2"/>
        <v>B</v>
      </c>
    </row>
    <row r="1315">
      <c r="A1315" s="2">
        <v>1314.0</v>
      </c>
      <c r="B1315" s="2" t="s">
        <v>1499</v>
      </c>
      <c r="C1315" s="2" t="s">
        <v>1500</v>
      </c>
      <c r="D1315" s="2">
        <v>3.75</v>
      </c>
      <c r="E1315" s="2">
        <v>400.0</v>
      </c>
      <c r="F1315" s="2">
        <v>1525.34</v>
      </c>
      <c r="G1315" s="4">
        <f t="shared" si="3"/>
        <v>8095352.24</v>
      </c>
      <c r="H1315" s="4">
        <f t="shared" si="1"/>
        <v>0.8481766234</v>
      </c>
      <c r="I1315" s="4" t="str">
        <f t="shared" si="2"/>
        <v>B</v>
      </c>
    </row>
    <row r="1316">
      <c r="A1316" s="2">
        <v>1315.0</v>
      </c>
      <c r="B1316" s="2">
        <v>21820.0</v>
      </c>
      <c r="C1316" s="2" t="s">
        <v>1501</v>
      </c>
      <c r="D1316" s="2">
        <v>3.75</v>
      </c>
      <c r="E1316" s="2">
        <v>386.0</v>
      </c>
      <c r="F1316" s="2">
        <v>1524.94</v>
      </c>
      <c r="G1316" s="4">
        <f t="shared" si="3"/>
        <v>8096877.18</v>
      </c>
      <c r="H1316" s="4">
        <f t="shared" si="1"/>
        <v>0.8483363964</v>
      </c>
      <c r="I1316" s="4" t="str">
        <f t="shared" si="2"/>
        <v>B</v>
      </c>
    </row>
    <row r="1317">
      <c r="A1317" s="2">
        <v>1316.0</v>
      </c>
      <c r="B1317" s="2">
        <v>22067.0</v>
      </c>
      <c r="C1317" s="2" t="s">
        <v>1502</v>
      </c>
      <c r="D1317" s="2">
        <v>1.65</v>
      </c>
      <c r="E1317" s="2">
        <v>936.0</v>
      </c>
      <c r="F1317" s="2">
        <v>1522.86</v>
      </c>
      <c r="G1317" s="4">
        <f t="shared" si="3"/>
        <v>8098400.04</v>
      </c>
      <c r="H1317" s="4">
        <f t="shared" si="1"/>
        <v>0.8484959514</v>
      </c>
      <c r="I1317" s="4" t="str">
        <f t="shared" si="2"/>
        <v>B</v>
      </c>
    </row>
    <row r="1318">
      <c r="A1318" s="2">
        <v>1317.0</v>
      </c>
      <c r="B1318" s="2">
        <v>23390.0</v>
      </c>
      <c r="C1318" s="2" t="s">
        <v>1503</v>
      </c>
      <c r="D1318" s="2">
        <v>4.15</v>
      </c>
      <c r="E1318" s="2">
        <v>376.0</v>
      </c>
      <c r="F1318" s="2">
        <v>1521.1</v>
      </c>
      <c r="G1318" s="4">
        <f t="shared" si="3"/>
        <v>8099921.14</v>
      </c>
      <c r="H1318" s="4">
        <f t="shared" si="1"/>
        <v>0.848655322</v>
      </c>
      <c r="I1318" s="4" t="str">
        <f t="shared" si="2"/>
        <v>B</v>
      </c>
    </row>
    <row r="1319">
      <c r="A1319" s="2">
        <v>1318.0</v>
      </c>
      <c r="B1319" s="2">
        <v>22754.0</v>
      </c>
      <c r="C1319" s="2" t="s">
        <v>1504</v>
      </c>
      <c r="D1319" s="2">
        <v>0.85</v>
      </c>
      <c r="E1319" s="2">
        <v>1958.0</v>
      </c>
      <c r="F1319" s="2">
        <v>1519.46</v>
      </c>
      <c r="G1319" s="4">
        <f t="shared" si="3"/>
        <v>8101440.6</v>
      </c>
      <c r="H1319" s="4">
        <f t="shared" si="1"/>
        <v>0.8488145209</v>
      </c>
      <c r="I1319" s="4" t="str">
        <f t="shared" si="2"/>
        <v>B</v>
      </c>
    </row>
    <row r="1320">
      <c r="A1320" s="2">
        <v>1319.0</v>
      </c>
      <c r="B1320" s="2" t="s">
        <v>1505</v>
      </c>
      <c r="C1320" s="2" t="s">
        <v>1506</v>
      </c>
      <c r="D1320" s="2">
        <v>2.95</v>
      </c>
      <c r="E1320" s="2">
        <v>485.0</v>
      </c>
      <c r="F1320" s="2">
        <v>1518.06</v>
      </c>
      <c r="G1320" s="4">
        <f t="shared" si="3"/>
        <v>8102958.66</v>
      </c>
      <c r="H1320" s="4">
        <f t="shared" si="1"/>
        <v>0.848973573</v>
      </c>
      <c r="I1320" s="4" t="str">
        <f t="shared" si="2"/>
        <v>B</v>
      </c>
    </row>
    <row r="1321">
      <c r="A1321" s="2">
        <v>1320.0</v>
      </c>
      <c r="B1321" s="2">
        <v>21786.0</v>
      </c>
      <c r="C1321" s="2" t="s">
        <v>1507</v>
      </c>
      <c r="D1321" s="2">
        <v>0.79</v>
      </c>
      <c r="E1321" s="2">
        <v>3719.0</v>
      </c>
      <c r="F1321" s="2">
        <v>1517.58</v>
      </c>
      <c r="G1321" s="4">
        <f t="shared" si="3"/>
        <v>8104476.24</v>
      </c>
      <c r="H1321" s="4">
        <f t="shared" si="1"/>
        <v>0.8491325748</v>
      </c>
      <c r="I1321" s="4" t="str">
        <f t="shared" si="2"/>
        <v>B</v>
      </c>
    </row>
    <row r="1322">
      <c r="A1322" s="2">
        <v>1321.0</v>
      </c>
      <c r="B1322" s="2">
        <v>23242.0</v>
      </c>
      <c r="C1322" s="2" t="s">
        <v>1508</v>
      </c>
      <c r="D1322" s="2">
        <v>2.08</v>
      </c>
      <c r="E1322" s="2">
        <v>738.0</v>
      </c>
      <c r="F1322" s="2">
        <v>1517.52</v>
      </c>
      <c r="G1322" s="4">
        <f t="shared" si="3"/>
        <v>8105993.76</v>
      </c>
      <c r="H1322" s="4">
        <f t="shared" si="1"/>
        <v>0.8492915704</v>
      </c>
      <c r="I1322" s="4" t="str">
        <f t="shared" si="2"/>
        <v>B</v>
      </c>
    </row>
    <row r="1323">
      <c r="A1323" s="2">
        <v>1322.0</v>
      </c>
      <c r="B1323" s="2">
        <v>22712.0</v>
      </c>
      <c r="C1323" s="2" t="s">
        <v>1509</v>
      </c>
      <c r="D1323" s="2">
        <v>0.42</v>
      </c>
      <c r="E1323" s="2">
        <v>3666.0</v>
      </c>
      <c r="F1323" s="2">
        <v>1508.77</v>
      </c>
      <c r="G1323" s="4">
        <f t="shared" si="3"/>
        <v>8107502.53</v>
      </c>
      <c r="H1323" s="4">
        <f t="shared" si="1"/>
        <v>0.8494496492</v>
      </c>
      <c r="I1323" s="4" t="str">
        <f t="shared" si="2"/>
        <v>B</v>
      </c>
    </row>
    <row r="1324">
      <c r="A1324" s="2">
        <v>1323.0</v>
      </c>
      <c r="B1324" s="2">
        <v>22208.0</v>
      </c>
      <c r="C1324" s="2" t="s">
        <v>1510</v>
      </c>
      <c r="D1324" s="2">
        <v>1.65</v>
      </c>
      <c r="E1324" s="2">
        <v>1176.0</v>
      </c>
      <c r="F1324" s="2">
        <v>1508.56</v>
      </c>
      <c r="G1324" s="4">
        <f t="shared" si="3"/>
        <v>8109011.09</v>
      </c>
      <c r="H1324" s="4">
        <f t="shared" si="1"/>
        <v>0.8496077059</v>
      </c>
      <c r="I1324" s="4" t="str">
        <f t="shared" si="2"/>
        <v>B</v>
      </c>
    </row>
    <row r="1325">
      <c r="A1325" s="2">
        <v>1324.0</v>
      </c>
      <c r="B1325" s="2">
        <v>22805.0</v>
      </c>
      <c r="C1325" s="2" t="s">
        <v>1511</v>
      </c>
      <c r="D1325" s="2">
        <v>1.25</v>
      </c>
      <c r="E1325" s="2">
        <v>1104.0</v>
      </c>
      <c r="F1325" s="2">
        <v>1505.04</v>
      </c>
      <c r="G1325" s="4">
        <f t="shared" si="3"/>
        <v>8110516.13</v>
      </c>
      <c r="H1325" s="4">
        <f t="shared" si="1"/>
        <v>0.8497653939</v>
      </c>
      <c r="I1325" s="4" t="str">
        <f t="shared" si="2"/>
        <v>B</v>
      </c>
    </row>
    <row r="1326">
      <c r="A1326" s="2">
        <v>1325.0</v>
      </c>
      <c r="B1326" s="2">
        <v>20985.0</v>
      </c>
      <c r="C1326" s="2" t="s">
        <v>1512</v>
      </c>
      <c r="D1326" s="2">
        <v>1.25</v>
      </c>
      <c r="E1326" s="2">
        <v>1170.0</v>
      </c>
      <c r="F1326" s="2">
        <v>1504.62</v>
      </c>
      <c r="G1326" s="4">
        <f t="shared" si="3"/>
        <v>8112020.75</v>
      </c>
      <c r="H1326" s="4">
        <f t="shared" si="1"/>
        <v>0.8499230379</v>
      </c>
      <c r="I1326" s="4" t="str">
        <f t="shared" si="2"/>
        <v>B</v>
      </c>
    </row>
    <row r="1327">
      <c r="A1327" s="2">
        <v>1326.0</v>
      </c>
      <c r="B1327" s="2">
        <v>22402.0</v>
      </c>
      <c r="C1327" s="2" t="s">
        <v>1513</v>
      </c>
      <c r="D1327" s="2">
        <v>1.25</v>
      </c>
      <c r="E1327" s="2">
        <v>1715.0</v>
      </c>
      <c r="F1327" s="2">
        <v>1504.48</v>
      </c>
      <c r="G1327" s="4">
        <f t="shared" si="3"/>
        <v>8113525.23</v>
      </c>
      <c r="H1327" s="4">
        <f t="shared" si="1"/>
        <v>0.8500806672</v>
      </c>
      <c r="I1327" s="4" t="str">
        <f t="shared" si="2"/>
        <v>B</v>
      </c>
    </row>
    <row r="1328">
      <c r="A1328" s="2">
        <v>1327.0</v>
      </c>
      <c r="B1328" s="2">
        <v>23231.0</v>
      </c>
      <c r="C1328" s="2" t="s">
        <v>1514</v>
      </c>
      <c r="D1328" s="2">
        <v>0.42</v>
      </c>
      <c r="E1328" s="2">
        <v>3638.0</v>
      </c>
      <c r="F1328" s="2">
        <v>1504.17</v>
      </c>
      <c r="G1328" s="4">
        <f t="shared" si="3"/>
        <v>8115029.4</v>
      </c>
      <c r="H1328" s="4">
        <f t="shared" si="1"/>
        <v>0.850238264</v>
      </c>
      <c r="I1328" s="4" t="str">
        <f t="shared" si="2"/>
        <v>B</v>
      </c>
    </row>
    <row r="1329">
      <c r="A1329" s="2">
        <v>1328.0</v>
      </c>
      <c r="B1329" s="2">
        <v>21830.0</v>
      </c>
      <c r="C1329" s="2" t="s">
        <v>1515</v>
      </c>
      <c r="D1329" s="2">
        <v>0.42</v>
      </c>
      <c r="E1329" s="2">
        <v>3565.0</v>
      </c>
      <c r="F1329" s="2">
        <v>1499.2</v>
      </c>
      <c r="G1329" s="4">
        <f t="shared" si="3"/>
        <v>8116528.6</v>
      </c>
      <c r="H1329" s="4">
        <f t="shared" si="1"/>
        <v>0.8503953401</v>
      </c>
      <c r="I1329" s="4" t="str">
        <f t="shared" si="2"/>
        <v>B</v>
      </c>
    </row>
    <row r="1330">
      <c r="A1330" s="2">
        <v>1329.0</v>
      </c>
      <c r="B1330" s="2" t="s">
        <v>1516</v>
      </c>
      <c r="C1330" s="2" t="s">
        <v>1517</v>
      </c>
      <c r="D1330" s="2">
        <v>3.36</v>
      </c>
      <c r="E1330" s="2">
        <v>547.0</v>
      </c>
      <c r="F1330" s="2">
        <v>1498.22</v>
      </c>
      <c r="G1330" s="4">
        <f t="shared" si="3"/>
        <v>8118026.82</v>
      </c>
      <c r="H1330" s="4">
        <f t="shared" si="1"/>
        <v>0.8505523136</v>
      </c>
      <c r="I1330" s="4" t="str">
        <f t="shared" si="2"/>
        <v>B</v>
      </c>
    </row>
    <row r="1331">
      <c r="A1331" s="2">
        <v>1330.0</v>
      </c>
      <c r="B1331" s="2">
        <v>22375.0</v>
      </c>
      <c r="C1331" s="2" t="s">
        <v>1518</v>
      </c>
      <c r="D1331" s="2">
        <v>4.25</v>
      </c>
      <c r="E1331" s="2">
        <v>298.0</v>
      </c>
      <c r="F1331" s="2">
        <v>1497.37</v>
      </c>
      <c r="G1331" s="4">
        <f t="shared" si="3"/>
        <v>8119524.19</v>
      </c>
      <c r="H1331" s="4">
        <f t="shared" si="1"/>
        <v>0.8507091979</v>
      </c>
      <c r="I1331" s="4" t="str">
        <f t="shared" si="2"/>
        <v>B</v>
      </c>
    </row>
    <row r="1332">
      <c r="A1332" s="2">
        <v>1331.0</v>
      </c>
      <c r="B1332" s="2">
        <v>22755.0</v>
      </c>
      <c r="C1332" s="2" t="s">
        <v>1519</v>
      </c>
      <c r="D1332" s="2">
        <v>0.85</v>
      </c>
      <c r="E1332" s="2">
        <v>1886.0</v>
      </c>
      <c r="F1332" s="2">
        <v>1497.12</v>
      </c>
      <c r="G1332" s="4">
        <f t="shared" si="3"/>
        <v>8121021.31</v>
      </c>
      <c r="H1332" s="4">
        <f t="shared" si="1"/>
        <v>0.8508660561</v>
      </c>
      <c r="I1332" s="4" t="str">
        <f t="shared" si="2"/>
        <v>B</v>
      </c>
    </row>
    <row r="1333">
      <c r="A1333" s="2">
        <v>1332.0</v>
      </c>
      <c r="B1333" s="2">
        <v>79072.0</v>
      </c>
      <c r="C1333" s="2" t="s">
        <v>1520</v>
      </c>
      <c r="D1333" s="2">
        <v>9.95</v>
      </c>
      <c r="E1333" s="2">
        <v>138.0</v>
      </c>
      <c r="F1333" s="2">
        <v>1496.82</v>
      </c>
      <c r="G1333" s="4">
        <f t="shared" si="3"/>
        <v>8122518.13</v>
      </c>
      <c r="H1333" s="4">
        <f t="shared" si="1"/>
        <v>0.8510228829</v>
      </c>
      <c r="I1333" s="4" t="str">
        <f t="shared" si="2"/>
        <v>B</v>
      </c>
    </row>
    <row r="1334">
      <c r="A1334" s="2">
        <v>1333.0</v>
      </c>
      <c r="B1334" s="2">
        <v>22325.0</v>
      </c>
      <c r="C1334" s="2" t="s">
        <v>1521</v>
      </c>
      <c r="D1334" s="2">
        <v>4.95</v>
      </c>
      <c r="E1334" s="2">
        <v>334.0</v>
      </c>
      <c r="F1334" s="2">
        <v>1493.27</v>
      </c>
      <c r="G1334" s="4">
        <f t="shared" si="3"/>
        <v>8124011.4</v>
      </c>
      <c r="H1334" s="4">
        <f t="shared" si="1"/>
        <v>0.8511793376</v>
      </c>
      <c r="I1334" s="4" t="str">
        <f t="shared" si="2"/>
        <v>B</v>
      </c>
    </row>
    <row r="1335">
      <c r="A1335" s="2">
        <v>1334.0</v>
      </c>
      <c r="B1335" s="2">
        <v>22132.0</v>
      </c>
      <c r="C1335" s="2" t="s">
        <v>1522</v>
      </c>
      <c r="D1335" s="2">
        <v>0.85</v>
      </c>
      <c r="E1335" s="2">
        <v>1668.0</v>
      </c>
      <c r="F1335" s="2">
        <v>1491.5</v>
      </c>
      <c r="G1335" s="4">
        <f t="shared" si="3"/>
        <v>8125502.9</v>
      </c>
      <c r="H1335" s="4">
        <f t="shared" si="1"/>
        <v>0.851335607</v>
      </c>
      <c r="I1335" s="4" t="str">
        <f t="shared" si="2"/>
        <v>B</v>
      </c>
    </row>
    <row r="1336">
      <c r="A1336" s="2">
        <v>1335.0</v>
      </c>
      <c r="B1336" s="2">
        <v>21354.0</v>
      </c>
      <c r="C1336" s="2" t="s">
        <v>1523</v>
      </c>
      <c r="D1336" s="2">
        <v>1.25</v>
      </c>
      <c r="E1336" s="2">
        <v>1239.0</v>
      </c>
      <c r="F1336" s="2">
        <v>1490.98</v>
      </c>
      <c r="G1336" s="4">
        <f t="shared" si="3"/>
        <v>8126993.88</v>
      </c>
      <c r="H1336" s="4">
        <f t="shared" si="1"/>
        <v>0.8514918219</v>
      </c>
      <c r="I1336" s="4" t="str">
        <f t="shared" si="2"/>
        <v>B</v>
      </c>
    </row>
    <row r="1337">
      <c r="A1337" s="2">
        <v>1336.0</v>
      </c>
      <c r="B1337" s="2">
        <v>22925.0</v>
      </c>
      <c r="C1337" s="2" t="s">
        <v>1524</v>
      </c>
      <c r="D1337" s="2">
        <v>5.95</v>
      </c>
      <c r="E1337" s="2">
        <v>242.0</v>
      </c>
      <c r="F1337" s="2">
        <v>1482.86</v>
      </c>
      <c r="G1337" s="4">
        <f t="shared" si="3"/>
        <v>8128476.74</v>
      </c>
      <c r="H1337" s="4">
        <f t="shared" si="1"/>
        <v>0.851647186</v>
      </c>
      <c r="I1337" s="4" t="str">
        <f t="shared" si="2"/>
        <v>B</v>
      </c>
    </row>
    <row r="1338">
      <c r="A1338" s="2">
        <v>1337.0</v>
      </c>
      <c r="B1338" s="2">
        <v>22905.0</v>
      </c>
      <c r="C1338" s="2" t="s">
        <v>1525</v>
      </c>
      <c r="D1338" s="2">
        <v>2.95</v>
      </c>
      <c r="E1338" s="2">
        <v>539.0</v>
      </c>
      <c r="F1338" s="2">
        <v>1480.06</v>
      </c>
      <c r="G1338" s="4">
        <f t="shared" si="3"/>
        <v>8129956.8</v>
      </c>
      <c r="H1338" s="4">
        <f t="shared" si="1"/>
        <v>0.8518022567</v>
      </c>
      <c r="I1338" s="4" t="str">
        <f t="shared" si="2"/>
        <v>B</v>
      </c>
    </row>
    <row r="1339">
      <c r="A1339" s="2">
        <v>1338.0</v>
      </c>
      <c r="B1339" s="2" t="s">
        <v>1526</v>
      </c>
      <c r="C1339" s="2" t="s">
        <v>1527</v>
      </c>
      <c r="D1339" s="2">
        <v>8.29</v>
      </c>
      <c r="E1339" s="2">
        <v>176.0</v>
      </c>
      <c r="F1339" s="2">
        <v>1479.44</v>
      </c>
      <c r="G1339" s="4">
        <f t="shared" si="3"/>
        <v>8131436.24</v>
      </c>
      <c r="H1339" s="4">
        <f t="shared" si="1"/>
        <v>0.8519572625</v>
      </c>
      <c r="I1339" s="4" t="str">
        <f t="shared" si="2"/>
        <v>B</v>
      </c>
    </row>
    <row r="1340">
      <c r="A1340" s="2">
        <v>1339.0</v>
      </c>
      <c r="B1340" s="2">
        <v>22816.0</v>
      </c>
      <c r="C1340" s="2" t="s">
        <v>1528</v>
      </c>
      <c r="D1340" s="2">
        <v>0.42</v>
      </c>
      <c r="E1340" s="2">
        <v>3434.0</v>
      </c>
      <c r="F1340" s="2">
        <v>1477.98</v>
      </c>
      <c r="G1340" s="4">
        <f t="shared" si="3"/>
        <v>8132914.22</v>
      </c>
      <c r="H1340" s="4">
        <f t="shared" si="1"/>
        <v>0.8521121153</v>
      </c>
      <c r="I1340" s="4" t="str">
        <f t="shared" si="2"/>
        <v>B</v>
      </c>
    </row>
    <row r="1341">
      <c r="A1341" s="2">
        <v>1340.0</v>
      </c>
      <c r="B1341" s="2">
        <v>22177.0</v>
      </c>
      <c r="C1341" s="2" t="s">
        <v>1529</v>
      </c>
      <c r="D1341" s="2">
        <v>9.95</v>
      </c>
      <c r="E1341" s="2">
        <v>154.0</v>
      </c>
      <c r="F1341" s="2">
        <v>1474.86</v>
      </c>
      <c r="G1341" s="4">
        <f t="shared" si="3"/>
        <v>8134389.08</v>
      </c>
      <c r="H1341" s="4">
        <f t="shared" si="1"/>
        <v>0.8522666412</v>
      </c>
      <c r="I1341" s="4" t="str">
        <f t="shared" si="2"/>
        <v>B</v>
      </c>
    </row>
    <row r="1342">
      <c r="A1342" s="2">
        <v>1341.0</v>
      </c>
      <c r="B1342" s="2">
        <v>22519.0</v>
      </c>
      <c r="C1342" s="2" t="s">
        <v>1530</v>
      </c>
      <c r="D1342" s="2">
        <v>2.1</v>
      </c>
      <c r="E1342" s="2">
        <v>708.0</v>
      </c>
      <c r="F1342" s="2">
        <v>1473.89</v>
      </c>
      <c r="G1342" s="4">
        <f t="shared" si="3"/>
        <v>8135862.97</v>
      </c>
      <c r="H1342" s="4">
        <f t="shared" si="1"/>
        <v>0.8524210655</v>
      </c>
      <c r="I1342" s="4" t="str">
        <f t="shared" si="2"/>
        <v>B</v>
      </c>
    </row>
    <row r="1343">
      <c r="A1343" s="2">
        <v>1342.0</v>
      </c>
      <c r="B1343" s="2">
        <v>22674.0</v>
      </c>
      <c r="C1343" s="2" t="s">
        <v>1531</v>
      </c>
      <c r="D1343" s="2">
        <v>1.25</v>
      </c>
      <c r="E1343" s="2">
        <v>1185.0</v>
      </c>
      <c r="F1343" s="2">
        <v>1473.79</v>
      </c>
      <c r="G1343" s="4">
        <f t="shared" si="3"/>
        <v>8137336.76</v>
      </c>
      <c r="H1343" s="4">
        <f t="shared" si="1"/>
        <v>0.8525754794</v>
      </c>
      <c r="I1343" s="4" t="str">
        <f t="shared" si="2"/>
        <v>B</v>
      </c>
    </row>
    <row r="1344">
      <c r="A1344" s="2">
        <v>1343.0</v>
      </c>
      <c r="B1344" s="2">
        <v>21626.0</v>
      </c>
      <c r="C1344" s="2" t="s">
        <v>1532</v>
      </c>
      <c r="D1344" s="2">
        <v>1.95</v>
      </c>
      <c r="E1344" s="2">
        <v>728.0</v>
      </c>
      <c r="F1344" s="2">
        <v>1470.51</v>
      </c>
      <c r="G1344" s="4">
        <f t="shared" si="3"/>
        <v>8138807.27</v>
      </c>
      <c r="H1344" s="4">
        <f t="shared" si="1"/>
        <v>0.8527295495</v>
      </c>
      <c r="I1344" s="4" t="str">
        <f t="shared" si="2"/>
        <v>B</v>
      </c>
    </row>
    <row r="1345">
      <c r="A1345" s="2">
        <v>1344.0</v>
      </c>
      <c r="B1345" s="2">
        <v>22664.0</v>
      </c>
      <c r="C1345" s="2" t="s">
        <v>1533</v>
      </c>
      <c r="D1345" s="2">
        <v>2.1</v>
      </c>
      <c r="E1345" s="2">
        <v>710.0</v>
      </c>
      <c r="F1345" s="2">
        <v>1467.64</v>
      </c>
      <c r="G1345" s="4">
        <f t="shared" si="3"/>
        <v>8140274.91</v>
      </c>
      <c r="H1345" s="4">
        <f t="shared" si="1"/>
        <v>0.852883319</v>
      </c>
      <c r="I1345" s="4" t="str">
        <f t="shared" si="2"/>
        <v>B</v>
      </c>
    </row>
    <row r="1346">
      <c r="A1346" s="2">
        <v>1345.0</v>
      </c>
      <c r="B1346" s="2">
        <v>22277.0</v>
      </c>
      <c r="C1346" s="2" t="s">
        <v>1534</v>
      </c>
      <c r="D1346" s="2">
        <v>2.1</v>
      </c>
      <c r="E1346" s="2">
        <v>701.0</v>
      </c>
      <c r="F1346" s="2">
        <v>1465.84</v>
      </c>
      <c r="G1346" s="4">
        <f t="shared" si="3"/>
        <v>8141740.75</v>
      </c>
      <c r="H1346" s="4">
        <f t="shared" si="1"/>
        <v>0.8530368998</v>
      </c>
      <c r="I1346" s="4" t="str">
        <f t="shared" si="2"/>
        <v>B</v>
      </c>
    </row>
    <row r="1347">
      <c r="A1347" s="2">
        <v>1346.0</v>
      </c>
      <c r="B1347" s="2" t="s">
        <v>1535</v>
      </c>
      <c r="C1347" s="2" t="s">
        <v>1536</v>
      </c>
      <c r="D1347" s="2">
        <v>1.25</v>
      </c>
      <c r="E1347" s="2">
        <v>1168.0</v>
      </c>
      <c r="F1347" s="2">
        <v>1465.23</v>
      </c>
      <c r="G1347" s="4">
        <f t="shared" si="3"/>
        <v>8143205.98</v>
      </c>
      <c r="H1347" s="4">
        <f t="shared" si="1"/>
        <v>0.8531904168</v>
      </c>
      <c r="I1347" s="4" t="str">
        <f t="shared" si="2"/>
        <v>B</v>
      </c>
    </row>
    <row r="1348">
      <c r="A1348" s="2">
        <v>1347.0</v>
      </c>
      <c r="B1348" s="2">
        <v>22927.0</v>
      </c>
      <c r="C1348" s="2" t="s">
        <v>1537</v>
      </c>
      <c r="D1348" s="2">
        <v>5.95</v>
      </c>
      <c r="E1348" s="2">
        <v>232.0</v>
      </c>
      <c r="F1348" s="2">
        <v>1462.38</v>
      </c>
      <c r="G1348" s="4">
        <f t="shared" si="3"/>
        <v>8144668.36</v>
      </c>
      <c r="H1348" s="4">
        <f t="shared" si="1"/>
        <v>0.8533436351</v>
      </c>
      <c r="I1348" s="4" t="str">
        <f t="shared" si="2"/>
        <v>B</v>
      </c>
    </row>
    <row r="1349">
      <c r="A1349" s="2">
        <v>1348.0</v>
      </c>
      <c r="B1349" s="2">
        <v>21948.0</v>
      </c>
      <c r="C1349" s="2" t="s">
        <v>1538</v>
      </c>
      <c r="D1349" s="2">
        <v>2.46</v>
      </c>
      <c r="E1349" s="2">
        <v>1148.0</v>
      </c>
      <c r="F1349" s="2">
        <v>1461.93</v>
      </c>
      <c r="G1349" s="4">
        <f t="shared" si="3"/>
        <v>8146130.29</v>
      </c>
      <c r="H1349" s="4">
        <f t="shared" si="1"/>
        <v>0.8534968063</v>
      </c>
      <c r="I1349" s="4" t="str">
        <f t="shared" si="2"/>
        <v>B</v>
      </c>
    </row>
    <row r="1350">
      <c r="A1350" s="2">
        <v>1349.0</v>
      </c>
      <c r="B1350" s="2">
        <v>21214.0</v>
      </c>
      <c r="C1350" s="2" t="s">
        <v>1539</v>
      </c>
      <c r="D1350" s="2">
        <v>1.45</v>
      </c>
      <c r="E1350" s="2">
        <v>1004.0</v>
      </c>
      <c r="F1350" s="2">
        <v>1461.14</v>
      </c>
      <c r="G1350" s="4">
        <f t="shared" si="3"/>
        <v>8147591.43</v>
      </c>
      <c r="H1350" s="4">
        <f t="shared" si="1"/>
        <v>0.8536498948</v>
      </c>
      <c r="I1350" s="4" t="str">
        <f t="shared" si="2"/>
        <v>B</v>
      </c>
    </row>
    <row r="1351">
      <c r="A1351" s="2">
        <v>1350.0</v>
      </c>
      <c r="B1351" s="2">
        <v>22518.0</v>
      </c>
      <c r="C1351" s="2" t="s">
        <v>1540</v>
      </c>
      <c r="D1351" s="2">
        <v>2.1</v>
      </c>
      <c r="E1351" s="2">
        <v>702.0</v>
      </c>
      <c r="F1351" s="2">
        <v>1457.25</v>
      </c>
      <c r="G1351" s="4">
        <f t="shared" si="3"/>
        <v>8149048.68</v>
      </c>
      <c r="H1351" s="4">
        <f t="shared" si="1"/>
        <v>0.8538025756</v>
      </c>
      <c r="I1351" s="4" t="str">
        <f t="shared" si="2"/>
        <v>B</v>
      </c>
    </row>
    <row r="1352">
      <c r="A1352" s="2">
        <v>1351.0</v>
      </c>
      <c r="B1352" s="2">
        <v>22955.0</v>
      </c>
      <c r="C1352" s="2" t="s">
        <v>1541</v>
      </c>
      <c r="D1352" s="2">
        <v>2.1</v>
      </c>
      <c r="E1352" s="2">
        <v>730.0</v>
      </c>
      <c r="F1352" s="2">
        <v>1454.18</v>
      </c>
      <c r="G1352" s="4">
        <f t="shared" si="3"/>
        <v>8150502.86</v>
      </c>
      <c r="H1352" s="4">
        <f t="shared" si="1"/>
        <v>0.8539549349</v>
      </c>
      <c r="I1352" s="4" t="str">
        <f t="shared" si="2"/>
        <v>B</v>
      </c>
    </row>
    <row r="1353">
      <c r="A1353" s="2">
        <v>1352.0</v>
      </c>
      <c r="B1353" s="2">
        <v>23211.0</v>
      </c>
      <c r="C1353" s="2" t="s">
        <v>1542</v>
      </c>
      <c r="D1353" s="2">
        <v>1.25</v>
      </c>
      <c r="E1353" s="2">
        <v>1154.0</v>
      </c>
      <c r="F1353" s="2">
        <v>1451.54</v>
      </c>
      <c r="G1353" s="4">
        <f t="shared" si="3"/>
        <v>8151954.4</v>
      </c>
      <c r="H1353" s="4">
        <f t="shared" si="1"/>
        <v>0.8541070175</v>
      </c>
      <c r="I1353" s="4" t="str">
        <f t="shared" si="2"/>
        <v>B</v>
      </c>
    </row>
    <row r="1354">
      <c r="A1354" s="2">
        <v>1353.0</v>
      </c>
      <c r="B1354" s="2" t="s">
        <v>1543</v>
      </c>
      <c r="C1354" s="2" t="s">
        <v>1544</v>
      </c>
      <c r="D1354" s="2">
        <v>2.95</v>
      </c>
      <c r="E1354" s="2">
        <v>2188.0</v>
      </c>
      <c r="F1354" s="2">
        <v>1448.3</v>
      </c>
      <c r="G1354" s="4">
        <f t="shared" si="3"/>
        <v>8153402.7</v>
      </c>
      <c r="H1354" s="4">
        <f t="shared" si="1"/>
        <v>0.8542587606</v>
      </c>
      <c r="I1354" s="4" t="str">
        <f t="shared" si="2"/>
        <v>B</v>
      </c>
    </row>
    <row r="1355">
      <c r="A1355" s="2">
        <v>1354.0</v>
      </c>
      <c r="B1355" s="2">
        <v>23345.0</v>
      </c>
      <c r="C1355" s="2" t="s">
        <v>1545</v>
      </c>
      <c r="D1355" s="2">
        <v>1.25</v>
      </c>
      <c r="E1355" s="2">
        <v>1228.0</v>
      </c>
      <c r="F1355" s="2">
        <v>1445.62</v>
      </c>
      <c r="G1355" s="4">
        <f t="shared" si="3"/>
        <v>8154848.32</v>
      </c>
      <c r="H1355" s="4">
        <f t="shared" si="1"/>
        <v>0.854410223</v>
      </c>
      <c r="I1355" s="4" t="str">
        <f t="shared" si="2"/>
        <v>B</v>
      </c>
    </row>
    <row r="1356">
      <c r="A1356" s="2">
        <v>1355.0</v>
      </c>
      <c r="B1356" s="2">
        <v>23290.0</v>
      </c>
      <c r="C1356" s="2" t="s">
        <v>1546</v>
      </c>
      <c r="D1356" s="2">
        <v>1.25</v>
      </c>
      <c r="E1356" s="2">
        <v>1214.0</v>
      </c>
      <c r="F1356" s="2">
        <v>1444.55</v>
      </c>
      <c r="G1356" s="4">
        <f t="shared" si="3"/>
        <v>8156292.87</v>
      </c>
      <c r="H1356" s="4">
        <f t="shared" si="1"/>
        <v>0.8545615732</v>
      </c>
      <c r="I1356" s="4" t="str">
        <f t="shared" si="2"/>
        <v>B</v>
      </c>
    </row>
    <row r="1357">
      <c r="A1357" s="2">
        <v>1356.0</v>
      </c>
      <c r="B1357" s="2">
        <v>21709.0</v>
      </c>
      <c r="C1357" s="2" t="s">
        <v>1547</v>
      </c>
      <c r="D1357" s="2">
        <v>4.95</v>
      </c>
      <c r="E1357" s="2">
        <v>349.0</v>
      </c>
      <c r="F1357" s="2">
        <v>1443.31</v>
      </c>
      <c r="G1357" s="4">
        <f t="shared" si="3"/>
        <v>8157736.18</v>
      </c>
      <c r="H1357" s="4">
        <f t="shared" si="1"/>
        <v>0.8547127935</v>
      </c>
      <c r="I1357" s="4" t="str">
        <f t="shared" si="2"/>
        <v>B</v>
      </c>
    </row>
    <row r="1358">
      <c r="A1358" s="2">
        <v>1357.0</v>
      </c>
      <c r="B1358" s="2">
        <v>20752.0</v>
      </c>
      <c r="C1358" s="2" t="s">
        <v>1548</v>
      </c>
      <c r="D1358" s="2">
        <v>2.1</v>
      </c>
      <c r="E1358" s="2">
        <v>754.0</v>
      </c>
      <c r="F1358" s="2">
        <v>1442.5</v>
      </c>
      <c r="G1358" s="4">
        <f t="shared" si="3"/>
        <v>8159178.68</v>
      </c>
      <c r="H1358" s="4">
        <f t="shared" si="1"/>
        <v>0.854863929</v>
      </c>
      <c r="I1358" s="4" t="str">
        <f t="shared" si="2"/>
        <v>B</v>
      </c>
    </row>
    <row r="1359">
      <c r="A1359" s="2">
        <v>1358.0</v>
      </c>
      <c r="B1359" s="2">
        <v>22811.0</v>
      </c>
      <c r="C1359" s="2" t="s">
        <v>1549</v>
      </c>
      <c r="D1359" s="2">
        <v>2.95</v>
      </c>
      <c r="E1359" s="2">
        <v>510.0</v>
      </c>
      <c r="F1359" s="2">
        <v>1440.59</v>
      </c>
      <c r="G1359" s="4">
        <f t="shared" si="3"/>
        <v>8160619.27</v>
      </c>
      <c r="H1359" s="4">
        <f t="shared" si="1"/>
        <v>0.8550148643</v>
      </c>
      <c r="I1359" s="4" t="str">
        <f t="shared" si="2"/>
        <v>B</v>
      </c>
    </row>
    <row r="1360">
      <c r="A1360" s="2">
        <v>1359.0</v>
      </c>
      <c r="B1360" s="2">
        <v>22480.0</v>
      </c>
      <c r="C1360" s="2" t="s">
        <v>1550</v>
      </c>
      <c r="D1360" s="2">
        <v>1.25</v>
      </c>
      <c r="E1360" s="2">
        <v>1188.0</v>
      </c>
      <c r="F1360" s="2">
        <v>1436.53</v>
      </c>
      <c r="G1360" s="4">
        <f t="shared" si="3"/>
        <v>8162055.8</v>
      </c>
      <c r="H1360" s="4">
        <f t="shared" si="1"/>
        <v>0.8551653743</v>
      </c>
      <c r="I1360" s="4" t="str">
        <f t="shared" si="2"/>
        <v>B</v>
      </c>
    </row>
    <row r="1361">
      <c r="A1361" s="2">
        <v>1360.0</v>
      </c>
      <c r="B1361" s="2">
        <v>21465.0</v>
      </c>
      <c r="C1361" s="2" t="s">
        <v>1551</v>
      </c>
      <c r="D1361" s="2">
        <v>3.75</v>
      </c>
      <c r="E1361" s="2">
        <v>396.0</v>
      </c>
      <c r="F1361" s="2">
        <v>1435.95</v>
      </c>
      <c r="G1361" s="4">
        <f t="shared" si="3"/>
        <v>8163491.75</v>
      </c>
      <c r="H1361" s="4">
        <f t="shared" si="1"/>
        <v>0.8553158235</v>
      </c>
      <c r="I1361" s="4" t="str">
        <f t="shared" si="2"/>
        <v>B</v>
      </c>
    </row>
    <row r="1362">
      <c r="A1362" s="2">
        <v>1361.0</v>
      </c>
      <c r="B1362" s="2">
        <v>22293.0</v>
      </c>
      <c r="C1362" s="2" t="s">
        <v>1552</v>
      </c>
      <c r="D1362" s="2">
        <v>1.45</v>
      </c>
      <c r="E1362" s="2">
        <v>1020.0</v>
      </c>
      <c r="F1362" s="2">
        <v>1434.45</v>
      </c>
      <c r="G1362" s="4">
        <f t="shared" si="3"/>
        <v>8164926.2</v>
      </c>
      <c r="H1362" s="4">
        <f t="shared" si="1"/>
        <v>0.8554661155</v>
      </c>
      <c r="I1362" s="4" t="str">
        <f t="shared" si="2"/>
        <v>B</v>
      </c>
    </row>
    <row r="1363">
      <c r="A1363" s="2">
        <v>1362.0</v>
      </c>
      <c r="B1363" s="2">
        <v>21821.0</v>
      </c>
      <c r="C1363" s="2" t="s">
        <v>1553</v>
      </c>
      <c r="D1363" s="2">
        <v>3.75</v>
      </c>
      <c r="E1363" s="2">
        <v>356.0</v>
      </c>
      <c r="F1363" s="2">
        <v>1433.3</v>
      </c>
      <c r="G1363" s="4">
        <f t="shared" si="3"/>
        <v>8166359.5</v>
      </c>
      <c r="H1363" s="4">
        <f t="shared" si="1"/>
        <v>0.8556162871</v>
      </c>
      <c r="I1363" s="4" t="str">
        <f t="shared" si="2"/>
        <v>B</v>
      </c>
    </row>
    <row r="1364">
      <c r="A1364" s="2">
        <v>1363.0</v>
      </c>
      <c r="B1364" s="2">
        <v>21688.0</v>
      </c>
      <c r="C1364" s="2" t="s">
        <v>1554</v>
      </c>
      <c r="D1364" s="2">
        <v>2.95</v>
      </c>
      <c r="E1364" s="2">
        <v>459.0</v>
      </c>
      <c r="F1364" s="2">
        <v>1431.68</v>
      </c>
      <c r="G1364" s="4">
        <f t="shared" si="3"/>
        <v>8167791.18</v>
      </c>
      <c r="H1364" s="4">
        <f t="shared" si="1"/>
        <v>0.8557662889</v>
      </c>
      <c r="I1364" s="4" t="str">
        <f t="shared" si="2"/>
        <v>B</v>
      </c>
    </row>
    <row r="1365">
      <c r="A1365" s="2">
        <v>1364.0</v>
      </c>
      <c r="B1365" s="2">
        <v>22581.0</v>
      </c>
      <c r="C1365" s="2" t="s">
        <v>1555</v>
      </c>
      <c r="D1365" s="2">
        <v>0.85</v>
      </c>
      <c r="E1365" s="2">
        <v>1788.0</v>
      </c>
      <c r="F1365" s="2">
        <v>1430.99</v>
      </c>
      <c r="G1365" s="4">
        <f t="shared" si="3"/>
        <v>8169222.17</v>
      </c>
      <c r="H1365" s="4">
        <f t="shared" si="1"/>
        <v>0.8559162184</v>
      </c>
      <c r="I1365" s="4" t="str">
        <f t="shared" si="2"/>
        <v>B</v>
      </c>
    </row>
    <row r="1366">
      <c r="A1366" s="2">
        <v>1365.0</v>
      </c>
      <c r="B1366" s="2">
        <v>22949.0</v>
      </c>
      <c r="C1366" s="2" t="s">
        <v>1556</v>
      </c>
      <c r="D1366" s="2">
        <v>1.45</v>
      </c>
      <c r="E1366" s="2">
        <v>1005.0</v>
      </c>
      <c r="F1366" s="2">
        <v>1429.1</v>
      </c>
      <c r="G1366" s="4">
        <f t="shared" si="3"/>
        <v>8170651.27</v>
      </c>
      <c r="H1366" s="4">
        <f t="shared" si="1"/>
        <v>0.8560659499</v>
      </c>
      <c r="I1366" s="4" t="str">
        <f t="shared" si="2"/>
        <v>B</v>
      </c>
    </row>
    <row r="1367">
      <c r="A1367" s="2">
        <v>1366.0</v>
      </c>
      <c r="B1367" s="2">
        <v>23504.0</v>
      </c>
      <c r="C1367" s="2" t="s">
        <v>1557</v>
      </c>
      <c r="D1367" s="2">
        <v>1.25</v>
      </c>
      <c r="E1367" s="2">
        <v>967.0</v>
      </c>
      <c r="F1367" s="2">
        <v>1428.82</v>
      </c>
      <c r="G1367" s="4">
        <f t="shared" si="3"/>
        <v>8172080.09</v>
      </c>
      <c r="H1367" s="4">
        <f t="shared" si="1"/>
        <v>0.8562156521</v>
      </c>
      <c r="I1367" s="4" t="str">
        <f t="shared" si="2"/>
        <v>B</v>
      </c>
    </row>
    <row r="1368">
      <c r="A1368" s="2">
        <v>1367.0</v>
      </c>
      <c r="B1368" s="2">
        <v>22897.0</v>
      </c>
      <c r="C1368" s="2" t="s">
        <v>1558</v>
      </c>
      <c r="D1368" s="2">
        <v>1.45</v>
      </c>
      <c r="E1368" s="2">
        <v>964.0</v>
      </c>
      <c r="F1368" s="2">
        <v>1427.08</v>
      </c>
      <c r="G1368" s="4">
        <f t="shared" si="3"/>
        <v>8173507.17</v>
      </c>
      <c r="H1368" s="4">
        <f t="shared" si="1"/>
        <v>0.8563651719</v>
      </c>
      <c r="I1368" s="4" t="str">
        <f t="shared" si="2"/>
        <v>B</v>
      </c>
    </row>
    <row r="1369">
      <c r="A1369" s="2">
        <v>1368.0</v>
      </c>
      <c r="B1369" s="2">
        <v>22503.0</v>
      </c>
      <c r="C1369" s="2" t="s">
        <v>1559</v>
      </c>
      <c r="D1369" s="2">
        <v>29.95</v>
      </c>
      <c r="E1369" s="2">
        <v>64.0</v>
      </c>
      <c r="F1369" s="2">
        <v>1424.34</v>
      </c>
      <c r="G1369" s="4">
        <f t="shared" si="3"/>
        <v>8174931.51</v>
      </c>
      <c r="H1369" s="4">
        <f t="shared" si="1"/>
        <v>0.8565144047</v>
      </c>
      <c r="I1369" s="4" t="str">
        <f t="shared" si="2"/>
        <v>B</v>
      </c>
    </row>
    <row r="1370">
      <c r="A1370" s="2">
        <v>1369.0</v>
      </c>
      <c r="B1370" s="2">
        <v>23427.0</v>
      </c>
      <c r="C1370" s="2" t="s">
        <v>1560</v>
      </c>
      <c r="D1370" s="2">
        <v>12.5</v>
      </c>
      <c r="E1370" s="2">
        <v>118.0</v>
      </c>
      <c r="F1370" s="2">
        <v>1424.04</v>
      </c>
      <c r="G1370" s="4">
        <f t="shared" si="3"/>
        <v>8176355.55</v>
      </c>
      <c r="H1370" s="4">
        <f t="shared" si="1"/>
        <v>0.856663606</v>
      </c>
      <c r="I1370" s="4" t="str">
        <f t="shared" si="2"/>
        <v>B</v>
      </c>
    </row>
    <row r="1371">
      <c r="A1371" s="2">
        <v>1370.0</v>
      </c>
      <c r="B1371" s="2">
        <v>23196.0</v>
      </c>
      <c r="C1371" s="2" t="s">
        <v>1561</v>
      </c>
      <c r="D1371" s="2">
        <v>1.45</v>
      </c>
      <c r="E1371" s="2">
        <v>938.0</v>
      </c>
      <c r="F1371" s="2">
        <v>1424.02</v>
      </c>
      <c r="G1371" s="4">
        <f t="shared" si="3"/>
        <v>8177779.57</v>
      </c>
      <c r="H1371" s="4">
        <f t="shared" si="1"/>
        <v>0.8568128053</v>
      </c>
      <c r="I1371" s="4" t="str">
        <f t="shared" si="2"/>
        <v>B</v>
      </c>
    </row>
    <row r="1372">
      <c r="A1372" s="2">
        <v>1371.0</v>
      </c>
      <c r="B1372" s="2">
        <v>22576.0</v>
      </c>
      <c r="C1372" s="2" t="s">
        <v>1562</v>
      </c>
      <c r="D1372" s="2">
        <v>0.85</v>
      </c>
      <c r="E1372" s="2">
        <v>1568.0</v>
      </c>
      <c r="F1372" s="2">
        <v>1419.24</v>
      </c>
      <c r="G1372" s="4">
        <f t="shared" si="3"/>
        <v>8179198.81</v>
      </c>
      <c r="H1372" s="4">
        <f t="shared" si="1"/>
        <v>0.8569615037</v>
      </c>
      <c r="I1372" s="4" t="str">
        <f t="shared" si="2"/>
        <v>B</v>
      </c>
    </row>
    <row r="1373">
      <c r="A1373" s="2">
        <v>1372.0</v>
      </c>
      <c r="B1373" s="2">
        <v>22184.0</v>
      </c>
      <c r="C1373" s="2" t="s">
        <v>1563</v>
      </c>
      <c r="D1373" s="2">
        <v>8.5</v>
      </c>
      <c r="E1373" s="2">
        <v>190.0</v>
      </c>
      <c r="F1373" s="2">
        <v>1409.54</v>
      </c>
      <c r="G1373" s="4">
        <f t="shared" si="3"/>
        <v>8180608.35</v>
      </c>
      <c r="H1373" s="4">
        <f t="shared" si="1"/>
        <v>0.8571091859</v>
      </c>
      <c r="I1373" s="4" t="str">
        <f t="shared" si="2"/>
        <v>B</v>
      </c>
    </row>
    <row r="1374">
      <c r="A1374" s="2">
        <v>1373.0</v>
      </c>
      <c r="B1374" s="2">
        <v>22671.0</v>
      </c>
      <c r="C1374" s="2" t="s">
        <v>1564</v>
      </c>
      <c r="D1374" s="2">
        <v>1.65</v>
      </c>
      <c r="E1374" s="2">
        <v>846.0</v>
      </c>
      <c r="F1374" s="2">
        <v>1408.97</v>
      </c>
      <c r="G1374" s="4">
        <f t="shared" si="3"/>
        <v>8182017.32</v>
      </c>
      <c r="H1374" s="4">
        <f t="shared" si="1"/>
        <v>0.8572568083</v>
      </c>
      <c r="I1374" s="4" t="str">
        <f t="shared" si="2"/>
        <v>B</v>
      </c>
    </row>
    <row r="1375">
      <c r="A1375" s="2">
        <v>1374.0</v>
      </c>
      <c r="B1375" s="2" t="s">
        <v>1565</v>
      </c>
      <c r="C1375" s="2" t="s">
        <v>1566</v>
      </c>
      <c r="D1375" s="2">
        <v>3.49</v>
      </c>
      <c r="E1375" s="2">
        <v>443.0</v>
      </c>
      <c r="F1375" s="2">
        <v>1408.58</v>
      </c>
      <c r="G1375" s="4">
        <f t="shared" si="3"/>
        <v>8183425.9</v>
      </c>
      <c r="H1375" s="4">
        <f t="shared" si="1"/>
        <v>0.8574043898</v>
      </c>
      <c r="I1375" s="4" t="str">
        <f t="shared" si="2"/>
        <v>B</v>
      </c>
    </row>
    <row r="1376">
      <c r="A1376" s="2">
        <v>1375.0</v>
      </c>
      <c r="B1376" s="2">
        <v>21508.0</v>
      </c>
      <c r="C1376" s="2" t="s">
        <v>1567</v>
      </c>
      <c r="D1376" s="2">
        <v>0.42</v>
      </c>
      <c r="E1376" s="2">
        <v>3364.0</v>
      </c>
      <c r="F1376" s="2">
        <v>1406.83</v>
      </c>
      <c r="G1376" s="4">
        <f t="shared" si="3"/>
        <v>8184832.73</v>
      </c>
      <c r="H1376" s="4">
        <f t="shared" si="1"/>
        <v>0.857551788</v>
      </c>
      <c r="I1376" s="4" t="str">
        <f t="shared" si="2"/>
        <v>B</v>
      </c>
    </row>
    <row r="1377">
      <c r="A1377" s="2">
        <v>1376.0</v>
      </c>
      <c r="B1377" s="2">
        <v>22983.0</v>
      </c>
      <c r="C1377" s="2" t="s">
        <v>1568</v>
      </c>
      <c r="D1377" s="2">
        <v>0.42</v>
      </c>
      <c r="E1377" s="2">
        <v>3293.0</v>
      </c>
      <c r="F1377" s="2">
        <v>1402.52</v>
      </c>
      <c r="G1377" s="4">
        <f t="shared" si="3"/>
        <v>8186235.25</v>
      </c>
      <c r="H1377" s="4">
        <f t="shared" si="1"/>
        <v>0.8576987346</v>
      </c>
      <c r="I1377" s="4" t="str">
        <f t="shared" si="2"/>
        <v>B</v>
      </c>
    </row>
    <row r="1378">
      <c r="A1378" s="2">
        <v>1377.0</v>
      </c>
      <c r="B1378" s="2">
        <v>21360.0</v>
      </c>
      <c r="C1378" s="2" t="s">
        <v>1569</v>
      </c>
      <c r="D1378" s="2">
        <v>9.95</v>
      </c>
      <c r="E1378" s="2">
        <v>221.0</v>
      </c>
      <c r="F1378" s="2">
        <v>1400.18</v>
      </c>
      <c r="G1378" s="4">
        <f t="shared" si="3"/>
        <v>8187635.43</v>
      </c>
      <c r="H1378" s="4">
        <f t="shared" si="1"/>
        <v>0.8578454361</v>
      </c>
      <c r="I1378" s="4" t="str">
        <f t="shared" si="2"/>
        <v>B</v>
      </c>
    </row>
    <row r="1379">
      <c r="A1379" s="2">
        <v>1378.0</v>
      </c>
      <c r="B1379" s="2">
        <v>22217.0</v>
      </c>
      <c r="C1379" s="2" t="s">
        <v>1570</v>
      </c>
      <c r="D1379" s="2">
        <v>1.25</v>
      </c>
      <c r="E1379" s="2">
        <v>1181.0</v>
      </c>
      <c r="F1379" s="2">
        <v>1399.9</v>
      </c>
      <c r="G1379" s="4">
        <f t="shared" si="3"/>
        <v>8189035.33</v>
      </c>
      <c r="H1379" s="4">
        <f t="shared" si="1"/>
        <v>0.8579921082</v>
      </c>
      <c r="I1379" s="4" t="str">
        <f t="shared" si="2"/>
        <v>B</v>
      </c>
    </row>
    <row r="1380">
      <c r="A1380" s="2">
        <v>1379.0</v>
      </c>
      <c r="B1380" s="2" t="s">
        <v>1571</v>
      </c>
      <c r="C1380" s="2" t="s">
        <v>1572</v>
      </c>
      <c r="D1380" s="2">
        <v>12.75</v>
      </c>
      <c r="E1380" s="2">
        <v>104.0</v>
      </c>
      <c r="F1380" s="2">
        <v>1398.78</v>
      </c>
      <c r="G1380" s="4">
        <f t="shared" si="3"/>
        <v>8190434.11</v>
      </c>
      <c r="H1380" s="4">
        <f t="shared" si="1"/>
        <v>0.858138663</v>
      </c>
      <c r="I1380" s="4" t="str">
        <f t="shared" si="2"/>
        <v>B</v>
      </c>
    </row>
    <row r="1381">
      <c r="A1381" s="2">
        <v>1380.0</v>
      </c>
      <c r="B1381" s="2">
        <v>22696.0</v>
      </c>
      <c r="C1381" s="2" t="s">
        <v>1573</v>
      </c>
      <c r="D1381" s="2">
        <v>1.95</v>
      </c>
      <c r="E1381" s="2">
        <v>709.0</v>
      </c>
      <c r="F1381" s="2">
        <v>1398.34</v>
      </c>
      <c r="G1381" s="4">
        <f t="shared" si="3"/>
        <v>8191832.45</v>
      </c>
      <c r="H1381" s="4">
        <f t="shared" si="1"/>
        <v>0.8582851716</v>
      </c>
      <c r="I1381" s="4" t="str">
        <f t="shared" si="2"/>
        <v>B</v>
      </c>
    </row>
    <row r="1382">
      <c r="A1382" s="2">
        <v>1381.0</v>
      </c>
      <c r="B1382" s="2">
        <v>22450.0</v>
      </c>
      <c r="C1382" s="2" t="s">
        <v>1574</v>
      </c>
      <c r="D1382" s="2">
        <v>3.35</v>
      </c>
      <c r="E1382" s="2">
        <v>416.0</v>
      </c>
      <c r="F1382" s="2">
        <v>1395.79</v>
      </c>
      <c r="G1382" s="4">
        <f t="shared" si="3"/>
        <v>8193228.24</v>
      </c>
      <c r="H1382" s="4">
        <f t="shared" si="1"/>
        <v>0.8584314131</v>
      </c>
      <c r="I1382" s="4" t="str">
        <f t="shared" si="2"/>
        <v>B</v>
      </c>
    </row>
    <row r="1383">
      <c r="A1383" s="2">
        <v>1382.0</v>
      </c>
      <c r="B1383" s="2" t="s">
        <v>1575</v>
      </c>
      <c r="C1383" s="2" t="s">
        <v>1576</v>
      </c>
      <c r="D1383" s="2">
        <v>2.95</v>
      </c>
      <c r="E1383" s="2">
        <v>600.0</v>
      </c>
      <c r="F1383" s="2">
        <v>1395.7</v>
      </c>
      <c r="G1383" s="4">
        <f t="shared" si="3"/>
        <v>8194623.94</v>
      </c>
      <c r="H1383" s="4">
        <f t="shared" si="1"/>
        <v>0.8585776452</v>
      </c>
      <c r="I1383" s="4" t="str">
        <f t="shared" si="2"/>
        <v>B</v>
      </c>
    </row>
    <row r="1384">
      <c r="A1384" s="2">
        <v>1383.0</v>
      </c>
      <c r="B1384" s="2">
        <v>23212.0</v>
      </c>
      <c r="C1384" s="2" t="s">
        <v>1577</v>
      </c>
      <c r="D1384" s="2">
        <v>1.25</v>
      </c>
      <c r="E1384" s="2">
        <v>1120.0</v>
      </c>
      <c r="F1384" s="2">
        <v>1395.44</v>
      </c>
      <c r="G1384" s="4">
        <f t="shared" si="3"/>
        <v>8196019.38</v>
      </c>
      <c r="H1384" s="4">
        <f t="shared" si="1"/>
        <v>0.85872385</v>
      </c>
      <c r="I1384" s="4" t="str">
        <f t="shared" si="2"/>
        <v>B</v>
      </c>
    </row>
    <row r="1385">
      <c r="A1385" s="2">
        <v>1384.0</v>
      </c>
      <c r="B1385" s="2">
        <v>22974.0</v>
      </c>
      <c r="C1385" s="2" t="s">
        <v>1578</v>
      </c>
      <c r="D1385" s="2">
        <v>1.65</v>
      </c>
      <c r="E1385" s="2">
        <v>816.0</v>
      </c>
      <c r="F1385" s="2">
        <v>1395.43</v>
      </c>
      <c r="G1385" s="4">
        <f t="shared" si="3"/>
        <v>8197414.81</v>
      </c>
      <c r="H1385" s="4">
        <f t="shared" si="1"/>
        <v>0.8588700538</v>
      </c>
      <c r="I1385" s="4" t="str">
        <f t="shared" si="2"/>
        <v>B</v>
      </c>
    </row>
    <row r="1386">
      <c r="A1386" s="2">
        <v>1385.0</v>
      </c>
      <c r="B1386" s="2">
        <v>21728.0</v>
      </c>
      <c r="C1386" s="2" t="s">
        <v>1579</v>
      </c>
      <c r="D1386" s="2">
        <v>12.75</v>
      </c>
      <c r="E1386" s="2">
        <v>150.0</v>
      </c>
      <c r="F1386" s="2">
        <v>1392.93</v>
      </c>
      <c r="G1386" s="4">
        <f t="shared" si="3"/>
        <v>8198807.74</v>
      </c>
      <c r="H1386" s="4">
        <f t="shared" si="1"/>
        <v>0.8590159957</v>
      </c>
      <c r="I1386" s="4" t="str">
        <f t="shared" si="2"/>
        <v>B</v>
      </c>
    </row>
    <row r="1387">
      <c r="A1387" s="2">
        <v>1386.0</v>
      </c>
      <c r="B1387" s="2" t="s">
        <v>1580</v>
      </c>
      <c r="C1387" s="2" t="s">
        <v>1581</v>
      </c>
      <c r="D1387" s="2">
        <v>0.42</v>
      </c>
      <c r="E1387" s="2">
        <v>3006.0</v>
      </c>
      <c r="F1387" s="2">
        <v>1392.33</v>
      </c>
      <c r="G1387" s="4">
        <f t="shared" si="3"/>
        <v>8200200.07</v>
      </c>
      <c r="H1387" s="4">
        <f t="shared" si="1"/>
        <v>0.8591618747</v>
      </c>
      <c r="I1387" s="4" t="str">
        <f t="shared" si="2"/>
        <v>B</v>
      </c>
    </row>
    <row r="1388">
      <c r="A1388" s="2">
        <v>1387.0</v>
      </c>
      <c r="B1388" s="2">
        <v>21796.0</v>
      </c>
      <c r="C1388" s="2" t="s">
        <v>1582</v>
      </c>
      <c r="D1388" s="2">
        <v>12.75</v>
      </c>
      <c r="E1388" s="2">
        <v>162.0</v>
      </c>
      <c r="F1388" s="2">
        <v>1391.1</v>
      </c>
      <c r="G1388" s="4">
        <f t="shared" si="3"/>
        <v>8201591.17</v>
      </c>
      <c r="H1388" s="4">
        <f t="shared" si="1"/>
        <v>0.8593076248</v>
      </c>
      <c r="I1388" s="4" t="str">
        <f t="shared" si="2"/>
        <v>B</v>
      </c>
    </row>
    <row r="1389">
      <c r="A1389" s="2">
        <v>1388.0</v>
      </c>
      <c r="B1389" s="2">
        <v>22710.0</v>
      </c>
      <c r="C1389" s="2" t="s">
        <v>1583</v>
      </c>
      <c r="D1389" s="2">
        <v>0.42</v>
      </c>
      <c r="E1389" s="2">
        <v>3542.0</v>
      </c>
      <c r="F1389" s="2">
        <v>1389.64</v>
      </c>
      <c r="G1389" s="4">
        <f t="shared" si="3"/>
        <v>8202980.81</v>
      </c>
      <c r="H1389" s="4">
        <f t="shared" si="1"/>
        <v>0.8594532219</v>
      </c>
      <c r="I1389" s="4" t="str">
        <f t="shared" si="2"/>
        <v>B</v>
      </c>
    </row>
    <row r="1390">
      <c r="A1390" s="2">
        <v>1389.0</v>
      </c>
      <c r="B1390" s="2">
        <v>21188.0</v>
      </c>
      <c r="C1390" s="2" t="s">
        <v>1584</v>
      </c>
      <c r="D1390" s="2">
        <v>2.95</v>
      </c>
      <c r="E1390" s="2">
        <v>456.0</v>
      </c>
      <c r="F1390" s="2">
        <v>1385.67</v>
      </c>
      <c r="G1390" s="4">
        <f t="shared" si="3"/>
        <v>8204366.48</v>
      </c>
      <c r="H1390" s="4">
        <f t="shared" si="1"/>
        <v>0.8595984031</v>
      </c>
      <c r="I1390" s="4" t="str">
        <f t="shared" si="2"/>
        <v>B</v>
      </c>
    </row>
    <row r="1391">
      <c r="A1391" s="2">
        <v>1390.0</v>
      </c>
      <c r="B1391" s="2" t="s">
        <v>1585</v>
      </c>
      <c r="C1391" s="2" t="s">
        <v>1586</v>
      </c>
      <c r="D1391" s="2">
        <v>1.95</v>
      </c>
      <c r="E1391" s="2">
        <v>460.0</v>
      </c>
      <c r="F1391" s="2">
        <v>1383.76</v>
      </c>
      <c r="G1391" s="4">
        <f t="shared" si="3"/>
        <v>8205750.24</v>
      </c>
      <c r="H1391" s="4">
        <f t="shared" si="1"/>
        <v>0.8597433842</v>
      </c>
      <c r="I1391" s="4" t="str">
        <f t="shared" si="2"/>
        <v>B</v>
      </c>
    </row>
    <row r="1392">
      <c r="A1392" s="2">
        <v>1391.0</v>
      </c>
      <c r="B1392" s="2">
        <v>23396.0</v>
      </c>
      <c r="C1392" s="2" t="s">
        <v>1587</v>
      </c>
      <c r="D1392" s="2">
        <v>3.75</v>
      </c>
      <c r="E1392" s="2">
        <v>329.0</v>
      </c>
      <c r="F1392" s="2">
        <v>1382.76</v>
      </c>
      <c r="G1392" s="4">
        <f t="shared" si="3"/>
        <v>8207133</v>
      </c>
      <c r="H1392" s="4">
        <f t="shared" si="1"/>
        <v>0.8598882605</v>
      </c>
      <c r="I1392" s="4" t="str">
        <f t="shared" si="2"/>
        <v>B</v>
      </c>
    </row>
    <row r="1393">
      <c r="A1393" s="2">
        <v>1392.0</v>
      </c>
      <c r="B1393" s="2">
        <v>22416.0</v>
      </c>
      <c r="C1393" s="2" t="s">
        <v>1588</v>
      </c>
      <c r="D1393" s="2">
        <v>1.45</v>
      </c>
      <c r="E1393" s="2">
        <v>986.0</v>
      </c>
      <c r="F1393" s="2">
        <v>1382.4</v>
      </c>
      <c r="G1393" s="4">
        <f t="shared" si="3"/>
        <v>8208515.4</v>
      </c>
      <c r="H1393" s="4">
        <f t="shared" si="1"/>
        <v>0.8600330991</v>
      </c>
      <c r="I1393" s="4" t="str">
        <f t="shared" si="2"/>
        <v>B</v>
      </c>
    </row>
    <row r="1394">
      <c r="A1394" s="2">
        <v>1393.0</v>
      </c>
      <c r="B1394" s="2">
        <v>21682.0</v>
      </c>
      <c r="C1394" s="2" t="s">
        <v>1589</v>
      </c>
      <c r="D1394" s="2">
        <v>4.95</v>
      </c>
      <c r="E1394" s="2">
        <v>279.0</v>
      </c>
      <c r="F1394" s="2">
        <v>1381.32</v>
      </c>
      <c r="G1394" s="4">
        <f t="shared" si="3"/>
        <v>8209896.72</v>
      </c>
      <c r="H1394" s="4">
        <f t="shared" si="1"/>
        <v>0.8601778245</v>
      </c>
      <c r="I1394" s="4" t="str">
        <f t="shared" si="2"/>
        <v>B</v>
      </c>
    </row>
    <row r="1395">
      <c r="A1395" s="2">
        <v>1394.0</v>
      </c>
      <c r="B1395" s="2">
        <v>22145.0</v>
      </c>
      <c r="C1395" s="2" t="s">
        <v>1590</v>
      </c>
      <c r="D1395" s="2">
        <v>2.1</v>
      </c>
      <c r="E1395" s="2">
        <v>655.0</v>
      </c>
      <c r="F1395" s="2">
        <v>1380.53</v>
      </c>
      <c r="G1395" s="4">
        <f t="shared" si="3"/>
        <v>8211277.25</v>
      </c>
      <c r="H1395" s="4">
        <f t="shared" si="1"/>
        <v>0.8603224672</v>
      </c>
      <c r="I1395" s="4" t="str">
        <f t="shared" si="2"/>
        <v>B</v>
      </c>
    </row>
    <row r="1396">
      <c r="A1396" s="2">
        <v>1395.0</v>
      </c>
      <c r="B1396" s="2">
        <v>23190.0</v>
      </c>
      <c r="C1396" s="2" t="s">
        <v>1591</v>
      </c>
      <c r="D1396" s="2">
        <v>1.65</v>
      </c>
      <c r="E1396" s="2">
        <v>850.0</v>
      </c>
      <c r="F1396" s="2">
        <v>1380.12</v>
      </c>
      <c r="G1396" s="4">
        <f t="shared" si="3"/>
        <v>8212657.37</v>
      </c>
      <c r="H1396" s="4">
        <f t="shared" si="1"/>
        <v>0.8604670669</v>
      </c>
      <c r="I1396" s="4" t="str">
        <f t="shared" si="2"/>
        <v>B</v>
      </c>
    </row>
    <row r="1397">
      <c r="A1397" s="2">
        <v>1396.0</v>
      </c>
      <c r="B1397" s="2">
        <v>22315.0</v>
      </c>
      <c r="C1397" s="2" t="s">
        <v>1592</v>
      </c>
      <c r="D1397" s="2">
        <v>1.25</v>
      </c>
      <c r="E1397" s="2">
        <v>1072.0</v>
      </c>
      <c r="F1397" s="2">
        <v>1379.76</v>
      </c>
      <c r="G1397" s="4">
        <f t="shared" si="3"/>
        <v>8214037.13</v>
      </c>
      <c r="H1397" s="4">
        <f t="shared" si="1"/>
        <v>0.8606116288</v>
      </c>
      <c r="I1397" s="4" t="str">
        <f t="shared" si="2"/>
        <v>B</v>
      </c>
    </row>
    <row r="1398">
      <c r="A1398" s="2">
        <v>1397.0</v>
      </c>
      <c r="B1398" s="2">
        <v>21683.0</v>
      </c>
      <c r="C1398" s="2" t="s">
        <v>1593</v>
      </c>
      <c r="D1398" s="2">
        <v>2.95</v>
      </c>
      <c r="E1398" s="2">
        <v>468.0</v>
      </c>
      <c r="F1398" s="2">
        <v>1378.74</v>
      </c>
      <c r="G1398" s="4">
        <f t="shared" si="3"/>
        <v>8215415.87</v>
      </c>
      <c r="H1398" s="4">
        <f t="shared" si="1"/>
        <v>0.860756084</v>
      </c>
      <c r="I1398" s="4" t="str">
        <f t="shared" si="2"/>
        <v>B</v>
      </c>
    </row>
    <row r="1399">
      <c r="A1399" s="2">
        <v>1398.0</v>
      </c>
      <c r="B1399" s="2" t="s">
        <v>1594</v>
      </c>
      <c r="C1399" s="2" t="s">
        <v>1595</v>
      </c>
      <c r="D1399" s="2">
        <v>0.83</v>
      </c>
      <c r="E1399" s="2">
        <v>2139.0</v>
      </c>
      <c r="F1399" s="2">
        <v>1377.24</v>
      </c>
      <c r="G1399" s="4">
        <f t="shared" si="3"/>
        <v>8216793.11</v>
      </c>
      <c r="H1399" s="4">
        <f t="shared" si="1"/>
        <v>0.8609003819</v>
      </c>
      <c r="I1399" s="4" t="str">
        <f t="shared" si="2"/>
        <v>B</v>
      </c>
    </row>
    <row r="1400">
      <c r="A1400" s="2">
        <v>1399.0</v>
      </c>
      <c r="B1400" s="2" t="s">
        <v>1596</v>
      </c>
      <c r="C1400" s="2" t="s">
        <v>1597</v>
      </c>
      <c r="D1400" s="2">
        <v>7.95</v>
      </c>
      <c r="E1400" s="2">
        <v>235.0</v>
      </c>
      <c r="F1400" s="2">
        <v>1376.86</v>
      </c>
      <c r="G1400" s="4">
        <f t="shared" si="3"/>
        <v>8218169.97</v>
      </c>
      <c r="H1400" s="4">
        <f t="shared" si="1"/>
        <v>0.8610446401</v>
      </c>
      <c r="I1400" s="4" t="str">
        <f t="shared" si="2"/>
        <v>B</v>
      </c>
    </row>
    <row r="1401">
      <c r="A1401" s="2">
        <v>1400.0</v>
      </c>
      <c r="B1401" s="2">
        <v>23147.0</v>
      </c>
      <c r="C1401" s="2" t="s">
        <v>1598</v>
      </c>
      <c r="D1401" s="2">
        <v>1.45</v>
      </c>
      <c r="E1401" s="2">
        <v>934.0</v>
      </c>
      <c r="F1401" s="2">
        <v>1376.82</v>
      </c>
      <c r="G1401" s="4">
        <f t="shared" si="3"/>
        <v>8219546.79</v>
      </c>
      <c r="H1401" s="4">
        <f t="shared" si="1"/>
        <v>0.861188894</v>
      </c>
      <c r="I1401" s="4" t="str">
        <f t="shared" si="2"/>
        <v>B</v>
      </c>
    </row>
    <row r="1402">
      <c r="A1402" s="2">
        <v>1401.0</v>
      </c>
      <c r="B1402" s="2" t="s">
        <v>1599</v>
      </c>
      <c r="C1402" s="2" t="s">
        <v>1600</v>
      </c>
      <c r="D1402" s="2">
        <v>7.95</v>
      </c>
      <c r="E1402" s="2">
        <v>162.0</v>
      </c>
      <c r="F1402" s="2">
        <v>1376.3</v>
      </c>
      <c r="G1402" s="4">
        <f t="shared" si="3"/>
        <v>8220923.09</v>
      </c>
      <c r="H1402" s="4">
        <f t="shared" si="1"/>
        <v>0.8613330935</v>
      </c>
      <c r="I1402" s="4" t="str">
        <f t="shared" si="2"/>
        <v>B</v>
      </c>
    </row>
    <row r="1403">
      <c r="A1403" s="2">
        <v>1402.0</v>
      </c>
      <c r="B1403" s="2">
        <v>85015.0</v>
      </c>
      <c r="C1403" s="2" t="s">
        <v>1601</v>
      </c>
      <c r="D1403" s="2">
        <v>2.51</v>
      </c>
      <c r="E1403" s="2">
        <v>1455.0</v>
      </c>
      <c r="F1403" s="2">
        <v>1375.65</v>
      </c>
      <c r="G1403" s="4">
        <f t="shared" si="3"/>
        <v>8222298.74</v>
      </c>
      <c r="H1403" s="4">
        <f t="shared" si="1"/>
        <v>0.8614772248</v>
      </c>
      <c r="I1403" s="4" t="str">
        <f t="shared" si="2"/>
        <v>B</v>
      </c>
    </row>
    <row r="1404">
      <c r="A1404" s="2">
        <v>1403.0</v>
      </c>
      <c r="B1404" s="2">
        <v>23341.0</v>
      </c>
      <c r="C1404" s="2" t="s">
        <v>1602</v>
      </c>
      <c r="D1404" s="2">
        <v>8.5</v>
      </c>
      <c r="E1404" s="2">
        <v>154.0</v>
      </c>
      <c r="F1404" s="2">
        <v>1374.92</v>
      </c>
      <c r="G1404" s="4">
        <f t="shared" si="3"/>
        <v>8223673.66</v>
      </c>
      <c r="H1404" s="4">
        <f t="shared" si="1"/>
        <v>0.8616212797</v>
      </c>
      <c r="I1404" s="4" t="str">
        <f t="shared" si="2"/>
        <v>B</v>
      </c>
    </row>
    <row r="1405">
      <c r="A1405" s="2">
        <v>1404.0</v>
      </c>
      <c r="B1405" s="2">
        <v>22482.0</v>
      </c>
      <c r="C1405" s="2" t="s">
        <v>1603</v>
      </c>
      <c r="D1405" s="2">
        <v>1.25</v>
      </c>
      <c r="E1405" s="2">
        <v>1163.0</v>
      </c>
      <c r="F1405" s="2">
        <v>1374.09</v>
      </c>
      <c r="G1405" s="4">
        <f t="shared" si="3"/>
        <v>8225047.75</v>
      </c>
      <c r="H1405" s="4">
        <f t="shared" si="1"/>
        <v>0.8617652476</v>
      </c>
      <c r="I1405" s="4" t="str">
        <f t="shared" si="2"/>
        <v>B</v>
      </c>
    </row>
    <row r="1406">
      <c r="A1406" s="2">
        <v>1405.0</v>
      </c>
      <c r="B1406" s="2">
        <v>23100.0</v>
      </c>
      <c r="C1406" s="2" t="s">
        <v>1604</v>
      </c>
      <c r="D1406" s="2">
        <v>1.25</v>
      </c>
      <c r="E1406" s="2">
        <v>1084.0</v>
      </c>
      <c r="F1406" s="2">
        <v>1371.56</v>
      </c>
      <c r="G1406" s="4">
        <f t="shared" si="3"/>
        <v>8226419.31</v>
      </c>
      <c r="H1406" s="4">
        <f t="shared" si="1"/>
        <v>0.8619089505</v>
      </c>
      <c r="I1406" s="4" t="str">
        <f t="shared" si="2"/>
        <v>B</v>
      </c>
    </row>
    <row r="1407">
      <c r="A1407" s="2">
        <v>1406.0</v>
      </c>
      <c r="B1407" s="2">
        <v>21693.0</v>
      </c>
      <c r="C1407" s="2" t="s">
        <v>1605</v>
      </c>
      <c r="D1407" s="2">
        <v>2.95</v>
      </c>
      <c r="E1407" s="2">
        <v>452.0</v>
      </c>
      <c r="F1407" s="2">
        <v>1371.51</v>
      </c>
      <c r="G1407" s="4">
        <f t="shared" si="3"/>
        <v>8227790.82</v>
      </c>
      <c r="H1407" s="4">
        <f t="shared" si="1"/>
        <v>0.8620526481</v>
      </c>
      <c r="I1407" s="4" t="str">
        <f t="shared" si="2"/>
        <v>B</v>
      </c>
    </row>
    <row r="1408">
      <c r="A1408" s="2">
        <v>1407.0</v>
      </c>
      <c r="B1408" s="2">
        <v>23266.0</v>
      </c>
      <c r="C1408" s="2" t="s">
        <v>1606</v>
      </c>
      <c r="D1408" s="2">
        <v>1.25</v>
      </c>
      <c r="E1408" s="2">
        <v>1026.0</v>
      </c>
      <c r="F1408" s="2">
        <v>1371.28</v>
      </c>
      <c r="G1408" s="4">
        <f t="shared" si="3"/>
        <v>8229162.1</v>
      </c>
      <c r="H1408" s="4">
        <f t="shared" si="1"/>
        <v>0.8621963216</v>
      </c>
      <c r="I1408" s="4" t="str">
        <f t="shared" si="2"/>
        <v>B</v>
      </c>
    </row>
    <row r="1409">
      <c r="A1409" s="2">
        <v>1408.0</v>
      </c>
      <c r="B1409" s="2">
        <v>22597.0</v>
      </c>
      <c r="C1409" s="2" t="s">
        <v>1607</v>
      </c>
      <c r="D1409" s="2">
        <v>0.85</v>
      </c>
      <c r="E1409" s="2">
        <v>2292.0</v>
      </c>
      <c r="F1409" s="2">
        <v>1370.01</v>
      </c>
      <c r="G1409" s="4">
        <f t="shared" si="3"/>
        <v>8230532.11</v>
      </c>
      <c r="H1409" s="4">
        <f t="shared" si="1"/>
        <v>0.862339862</v>
      </c>
      <c r="I1409" s="4" t="str">
        <f t="shared" si="2"/>
        <v>B</v>
      </c>
    </row>
    <row r="1410">
      <c r="A1410" s="2">
        <v>1409.0</v>
      </c>
      <c r="B1410" s="2">
        <v>22066.0</v>
      </c>
      <c r="C1410" s="2" t="s">
        <v>1608</v>
      </c>
      <c r="D1410" s="2">
        <v>1.45</v>
      </c>
      <c r="E1410" s="2">
        <v>1727.0</v>
      </c>
      <c r="F1410" s="2">
        <v>1369.88</v>
      </c>
      <c r="G1410" s="4">
        <f t="shared" si="3"/>
        <v>8231901.99</v>
      </c>
      <c r="H1410" s="4">
        <f t="shared" si="1"/>
        <v>0.8624833889</v>
      </c>
      <c r="I1410" s="4" t="str">
        <f t="shared" si="2"/>
        <v>B</v>
      </c>
    </row>
    <row r="1411">
      <c r="A1411" s="2">
        <v>1410.0</v>
      </c>
      <c r="B1411" s="2">
        <v>21424.0</v>
      </c>
      <c r="C1411" s="2" t="s">
        <v>1609</v>
      </c>
      <c r="D1411" s="2">
        <v>5.91</v>
      </c>
      <c r="E1411" s="2">
        <v>454.0</v>
      </c>
      <c r="F1411" s="2">
        <v>1369.62</v>
      </c>
      <c r="G1411" s="4">
        <f t="shared" si="3"/>
        <v>8233271.61</v>
      </c>
      <c r="H1411" s="4">
        <f t="shared" si="1"/>
        <v>0.8626268884</v>
      </c>
      <c r="I1411" s="4" t="str">
        <f t="shared" si="2"/>
        <v>B</v>
      </c>
    </row>
    <row r="1412">
      <c r="A1412" s="2">
        <v>1411.0</v>
      </c>
      <c r="B1412" s="2">
        <v>22525.0</v>
      </c>
      <c r="C1412" s="2" t="s">
        <v>1610</v>
      </c>
      <c r="D1412" s="2">
        <v>1.25</v>
      </c>
      <c r="E1412" s="2">
        <v>968.0</v>
      </c>
      <c r="F1412" s="2">
        <v>1368.77</v>
      </c>
      <c r="G1412" s="4">
        <f t="shared" si="3"/>
        <v>8234640.38</v>
      </c>
      <c r="H1412" s="4">
        <f t="shared" si="1"/>
        <v>0.862770299</v>
      </c>
      <c r="I1412" s="4" t="str">
        <f t="shared" si="2"/>
        <v>B</v>
      </c>
    </row>
    <row r="1413">
      <c r="A1413" s="2">
        <v>1412.0</v>
      </c>
      <c r="B1413" s="2">
        <v>21324.0</v>
      </c>
      <c r="C1413" s="2" t="s">
        <v>1611</v>
      </c>
      <c r="D1413" s="2">
        <v>2.95</v>
      </c>
      <c r="E1413" s="2">
        <v>484.0</v>
      </c>
      <c r="F1413" s="2">
        <v>1366.08</v>
      </c>
      <c r="G1413" s="4">
        <f t="shared" si="3"/>
        <v>8236006.46</v>
      </c>
      <c r="H1413" s="4">
        <f t="shared" si="1"/>
        <v>0.8629134277</v>
      </c>
      <c r="I1413" s="4" t="str">
        <f t="shared" si="2"/>
        <v>B</v>
      </c>
    </row>
    <row r="1414">
      <c r="A1414" s="2">
        <v>1413.0</v>
      </c>
      <c r="B1414" s="2" t="s">
        <v>1612</v>
      </c>
      <c r="C1414" s="2" t="s">
        <v>1613</v>
      </c>
      <c r="D1414" s="2">
        <v>1.25</v>
      </c>
      <c r="E1414" s="2">
        <v>862.0</v>
      </c>
      <c r="F1414" s="2">
        <v>1365.88</v>
      </c>
      <c r="G1414" s="4">
        <f t="shared" si="3"/>
        <v>8237372.34</v>
      </c>
      <c r="H1414" s="4">
        <f t="shared" si="1"/>
        <v>0.8630565354</v>
      </c>
      <c r="I1414" s="4" t="str">
        <f t="shared" si="2"/>
        <v>B</v>
      </c>
    </row>
    <row r="1415">
      <c r="A1415" s="2">
        <v>1414.0</v>
      </c>
      <c r="B1415" s="2">
        <v>22675.0</v>
      </c>
      <c r="C1415" s="2" t="s">
        <v>1614</v>
      </c>
      <c r="D1415" s="2">
        <v>1.25</v>
      </c>
      <c r="E1415" s="2">
        <v>1103.0</v>
      </c>
      <c r="F1415" s="2">
        <v>1364.35</v>
      </c>
      <c r="G1415" s="4">
        <f t="shared" si="3"/>
        <v>8238736.69</v>
      </c>
      <c r="H1415" s="4">
        <f t="shared" si="1"/>
        <v>0.8631994828</v>
      </c>
      <c r="I1415" s="4" t="str">
        <f t="shared" si="2"/>
        <v>B</v>
      </c>
    </row>
    <row r="1416">
      <c r="A1416" s="2">
        <v>1415.0</v>
      </c>
      <c r="B1416" s="2">
        <v>22914.0</v>
      </c>
      <c r="C1416" s="2" t="s">
        <v>1615</v>
      </c>
      <c r="D1416" s="2">
        <v>4.95</v>
      </c>
      <c r="E1416" s="2">
        <v>286.0</v>
      </c>
      <c r="F1416" s="2">
        <v>1362.8</v>
      </c>
      <c r="G1416" s="4">
        <f t="shared" si="3"/>
        <v>8240099.49</v>
      </c>
      <c r="H1416" s="4">
        <f t="shared" si="1"/>
        <v>0.8633422678</v>
      </c>
      <c r="I1416" s="4" t="str">
        <f t="shared" si="2"/>
        <v>B</v>
      </c>
    </row>
    <row r="1417">
      <c r="A1417" s="2">
        <v>1416.0</v>
      </c>
      <c r="B1417" s="2">
        <v>22651.0</v>
      </c>
      <c r="C1417" s="2" t="s">
        <v>1616</v>
      </c>
      <c r="D1417" s="2">
        <v>0.85</v>
      </c>
      <c r="E1417" s="2">
        <v>1590.0</v>
      </c>
      <c r="F1417" s="2">
        <v>1362.13</v>
      </c>
      <c r="G1417" s="4">
        <f t="shared" si="3"/>
        <v>8241461.62</v>
      </c>
      <c r="H1417" s="4">
        <f t="shared" si="1"/>
        <v>0.8634849827</v>
      </c>
      <c r="I1417" s="4" t="str">
        <f t="shared" si="2"/>
        <v>B</v>
      </c>
    </row>
    <row r="1418">
      <c r="A1418" s="2">
        <v>1417.0</v>
      </c>
      <c r="B1418" s="2" t="s">
        <v>1617</v>
      </c>
      <c r="C1418" s="2" t="s">
        <v>1618</v>
      </c>
      <c r="D1418" s="2">
        <v>7.95</v>
      </c>
      <c r="E1418" s="2">
        <v>172.0</v>
      </c>
      <c r="F1418" s="2">
        <v>1359.69</v>
      </c>
      <c r="G1418" s="4">
        <f t="shared" si="3"/>
        <v>8242821.31</v>
      </c>
      <c r="H1418" s="4">
        <f t="shared" si="1"/>
        <v>0.8636274419</v>
      </c>
      <c r="I1418" s="4" t="str">
        <f t="shared" si="2"/>
        <v>B</v>
      </c>
    </row>
    <row r="1419">
      <c r="A1419" s="2">
        <v>1418.0</v>
      </c>
      <c r="B1419" s="2">
        <v>23164.0</v>
      </c>
      <c r="C1419" s="2" t="s">
        <v>1619</v>
      </c>
      <c r="D1419" s="2">
        <v>4.95</v>
      </c>
      <c r="E1419" s="2">
        <v>289.0</v>
      </c>
      <c r="F1419" s="2">
        <v>1359.32</v>
      </c>
      <c r="G1419" s="4">
        <f t="shared" si="3"/>
        <v>8244180.63</v>
      </c>
      <c r="H1419" s="4">
        <f t="shared" si="1"/>
        <v>0.8637698623</v>
      </c>
      <c r="I1419" s="4" t="str">
        <f t="shared" si="2"/>
        <v>B</v>
      </c>
    </row>
    <row r="1420">
      <c r="A1420" s="2">
        <v>1419.0</v>
      </c>
      <c r="B1420" s="2" t="s">
        <v>1620</v>
      </c>
      <c r="C1420" s="2" t="s">
        <v>1621</v>
      </c>
      <c r="D1420" s="2">
        <v>3.81</v>
      </c>
      <c r="E1420" s="2">
        <v>686.0</v>
      </c>
      <c r="F1420" s="2">
        <v>1356.3</v>
      </c>
      <c r="G1420" s="4">
        <f t="shared" si="3"/>
        <v>8245536.93</v>
      </c>
      <c r="H1420" s="4">
        <f t="shared" si="1"/>
        <v>0.8639119663</v>
      </c>
      <c r="I1420" s="4" t="str">
        <f t="shared" si="2"/>
        <v>B</v>
      </c>
    </row>
    <row r="1421">
      <c r="A1421" s="2">
        <v>1420.0</v>
      </c>
      <c r="B1421" s="2">
        <v>22081.0</v>
      </c>
      <c r="C1421" s="2" t="s">
        <v>1622</v>
      </c>
      <c r="D1421" s="2">
        <v>1.65</v>
      </c>
      <c r="E1421" s="2">
        <v>764.0</v>
      </c>
      <c r="F1421" s="2">
        <v>1355.77</v>
      </c>
      <c r="G1421" s="4">
        <f t="shared" si="3"/>
        <v>8246892.7</v>
      </c>
      <c r="H1421" s="4">
        <f t="shared" si="1"/>
        <v>0.8640540148</v>
      </c>
      <c r="I1421" s="4" t="str">
        <f t="shared" si="2"/>
        <v>B</v>
      </c>
    </row>
    <row r="1422">
      <c r="A1422" s="2">
        <v>1421.0</v>
      </c>
      <c r="B1422" s="2">
        <v>22161.0</v>
      </c>
      <c r="C1422" s="2" t="s">
        <v>1623</v>
      </c>
      <c r="D1422" s="2">
        <v>0.79</v>
      </c>
      <c r="E1422" s="2">
        <v>3322.0</v>
      </c>
      <c r="F1422" s="2">
        <v>1355.4</v>
      </c>
      <c r="G1422" s="4">
        <f t="shared" si="3"/>
        <v>8248248.1</v>
      </c>
      <c r="H1422" s="4">
        <f t="shared" si="1"/>
        <v>0.8641960245</v>
      </c>
      <c r="I1422" s="4" t="str">
        <f t="shared" si="2"/>
        <v>B</v>
      </c>
    </row>
    <row r="1423">
      <c r="A1423" s="2">
        <v>1422.0</v>
      </c>
      <c r="B1423" s="2">
        <v>23489.0</v>
      </c>
      <c r="C1423" s="2" t="s">
        <v>1624</v>
      </c>
      <c r="D1423" s="2">
        <v>2.89</v>
      </c>
      <c r="E1423" s="2">
        <v>456.0</v>
      </c>
      <c r="F1423" s="2">
        <v>1354.62</v>
      </c>
      <c r="G1423" s="4">
        <f t="shared" si="3"/>
        <v>8249602.72</v>
      </c>
      <c r="H1423" s="4">
        <f t="shared" si="1"/>
        <v>0.8643379524</v>
      </c>
      <c r="I1423" s="4" t="str">
        <f t="shared" si="2"/>
        <v>B</v>
      </c>
    </row>
    <row r="1424">
      <c r="A1424" s="2">
        <v>1423.0</v>
      </c>
      <c r="B1424" s="2">
        <v>23333.0</v>
      </c>
      <c r="C1424" s="2" t="s">
        <v>1625</v>
      </c>
      <c r="D1424" s="2">
        <v>1.25</v>
      </c>
      <c r="E1424" s="2">
        <v>1049.0</v>
      </c>
      <c r="F1424" s="2">
        <v>1353.35</v>
      </c>
      <c r="G1424" s="4">
        <f t="shared" si="3"/>
        <v>8250956.07</v>
      </c>
      <c r="H1424" s="4">
        <f t="shared" si="1"/>
        <v>0.8644797474</v>
      </c>
      <c r="I1424" s="4" t="str">
        <f t="shared" si="2"/>
        <v>B</v>
      </c>
    </row>
    <row r="1425">
      <c r="A1425" s="2">
        <v>1424.0</v>
      </c>
      <c r="B1425" s="2">
        <v>22479.0</v>
      </c>
      <c r="C1425" s="2" t="s">
        <v>1626</v>
      </c>
      <c r="D1425" s="2">
        <v>1.25</v>
      </c>
      <c r="E1425" s="2">
        <v>976.0</v>
      </c>
      <c r="F1425" s="2">
        <v>1353.1</v>
      </c>
      <c r="G1425" s="4">
        <f t="shared" si="3"/>
        <v>8252309.17</v>
      </c>
      <c r="H1425" s="4">
        <f t="shared" si="1"/>
        <v>0.8646215161</v>
      </c>
      <c r="I1425" s="4" t="str">
        <f t="shared" si="2"/>
        <v>B</v>
      </c>
    </row>
    <row r="1426">
      <c r="A1426" s="2">
        <v>1425.0</v>
      </c>
      <c r="B1426" s="2">
        <v>21744.0</v>
      </c>
      <c r="C1426" s="2" t="s">
        <v>1627</v>
      </c>
      <c r="D1426" s="2">
        <v>2.95</v>
      </c>
      <c r="E1426" s="2">
        <v>450.0</v>
      </c>
      <c r="F1426" s="2">
        <v>1351.53</v>
      </c>
      <c r="G1426" s="4">
        <f t="shared" si="3"/>
        <v>8253660.7</v>
      </c>
      <c r="H1426" s="4">
        <f t="shared" si="1"/>
        <v>0.8647631203</v>
      </c>
      <c r="I1426" s="4" t="str">
        <f t="shared" si="2"/>
        <v>B</v>
      </c>
    </row>
    <row r="1427">
      <c r="A1427" s="2">
        <v>1426.0</v>
      </c>
      <c r="B1427" s="2">
        <v>22524.0</v>
      </c>
      <c r="C1427" s="2" t="s">
        <v>1628</v>
      </c>
      <c r="D1427" s="2">
        <v>1.25</v>
      </c>
      <c r="E1427" s="2">
        <v>956.0</v>
      </c>
      <c r="F1427" s="2">
        <v>1349.12</v>
      </c>
      <c r="G1427" s="4">
        <f t="shared" si="3"/>
        <v>8255009.82</v>
      </c>
      <c r="H1427" s="4">
        <f t="shared" si="1"/>
        <v>0.8649044721</v>
      </c>
      <c r="I1427" s="4" t="str">
        <f t="shared" si="2"/>
        <v>B</v>
      </c>
    </row>
    <row r="1428">
      <c r="A1428" s="2">
        <v>1427.0</v>
      </c>
      <c r="B1428" s="2">
        <v>47480.0</v>
      </c>
      <c r="C1428" s="2" t="s">
        <v>1629</v>
      </c>
      <c r="D1428" s="2">
        <v>1.65</v>
      </c>
      <c r="E1428" s="2">
        <v>814.0</v>
      </c>
      <c r="F1428" s="2">
        <v>1348.74</v>
      </c>
      <c r="G1428" s="4">
        <f t="shared" si="3"/>
        <v>8256358.56</v>
      </c>
      <c r="H1428" s="4">
        <f t="shared" si="1"/>
        <v>0.865045784</v>
      </c>
      <c r="I1428" s="4" t="str">
        <f t="shared" si="2"/>
        <v>B</v>
      </c>
    </row>
    <row r="1429">
      <c r="A1429" s="2">
        <v>1428.0</v>
      </c>
      <c r="B1429" s="2">
        <v>22155.0</v>
      </c>
      <c r="C1429" s="2" t="s">
        <v>1630</v>
      </c>
      <c r="D1429" s="2">
        <v>0.42</v>
      </c>
      <c r="E1429" s="2">
        <v>2992.0</v>
      </c>
      <c r="F1429" s="2">
        <v>1348.08</v>
      </c>
      <c r="G1429" s="4">
        <f t="shared" si="3"/>
        <v>8257706.64</v>
      </c>
      <c r="H1429" s="4">
        <f t="shared" si="1"/>
        <v>0.8651870267</v>
      </c>
      <c r="I1429" s="4" t="str">
        <f t="shared" si="2"/>
        <v>B</v>
      </c>
    </row>
    <row r="1430">
      <c r="A1430" s="2">
        <v>1429.0</v>
      </c>
      <c r="B1430" s="2">
        <v>23264.0</v>
      </c>
      <c r="C1430" s="2" t="s">
        <v>1631</v>
      </c>
      <c r="D1430" s="2">
        <v>1.25</v>
      </c>
      <c r="E1430" s="2">
        <v>982.0</v>
      </c>
      <c r="F1430" s="2">
        <v>1346.66</v>
      </c>
      <c r="G1430" s="4">
        <f t="shared" si="3"/>
        <v>8259053.3</v>
      </c>
      <c r="H1430" s="4">
        <f t="shared" si="1"/>
        <v>0.8653281207</v>
      </c>
      <c r="I1430" s="4" t="str">
        <f t="shared" si="2"/>
        <v>B</v>
      </c>
    </row>
    <row r="1431">
      <c r="A1431" s="2">
        <v>1430.0</v>
      </c>
      <c r="B1431" s="2">
        <v>21224.0</v>
      </c>
      <c r="C1431" s="2" t="s">
        <v>1632</v>
      </c>
      <c r="D1431" s="2">
        <v>1.25</v>
      </c>
      <c r="E1431" s="2">
        <v>1084.0</v>
      </c>
      <c r="F1431" s="2">
        <v>1344.7</v>
      </c>
      <c r="G1431" s="4">
        <f t="shared" si="3"/>
        <v>8260398</v>
      </c>
      <c r="H1431" s="4">
        <f t="shared" si="1"/>
        <v>0.8654690094</v>
      </c>
      <c r="I1431" s="4" t="str">
        <f t="shared" si="2"/>
        <v>B</v>
      </c>
    </row>
    <row r="1432">
      <c r="A1432" s="2">
        <v>1431.0</v>
      </c>
      <c r="B1432" s="2" t="s">
        <v>1633</v>
      </c>
      <c r="C1432" s="2" t="s">
        <v>1634</v>
      </c>
      <c r="D1432" s="2">
        <v>6.75</v>
      </c>
      <c r="E1432" s="2">
        <v>222.0</v>
      </c>
      <c r="F1432" s="2">
        <v>1344.08</v>
      </c>
      <c r="G1432" s="4">
        <f t="shared" si="3"/>
        <v>8261742.08</v>
      </c>
      <c r="H1432" s="4">
        <f t="shared" si="1"/>
        <v>0.865609833</v>
      </c>
      <c r="I1432" s="4" t="str">
        <f t="shared" si="2"/>
        <v>B</v>
      </c>
    </row>
    <row r="1433">
      <c r="A1433" s="2">
        <v>1432.0</v>
      </c>
      <c r="B1433" s="2">
        <v>22650.0</v>
      </c>
      <c r="C1433" s="2" t="s">
        <v>1635</v>
      </c>
      <c r="D1433" s="2">
        <v>1.45</v>
      </c>
      <c r="E1433" s="2">
        <v>882.0</v>
      </c>
      <c r="F1433" s="2">
        <v>1343.72</v>
      </c>
      <c r="G1433" s="4">
        <f t="shared" si="3"/>
        <v>8263085.8</v>
      </c>
      <c r="H1433" s="4">
        <f t="shared" si="1"/>
        <v>0.865750619</v>
      </c>
      <c r="I1433" s="4" t="str">
        <f t="shared" si="2"/>
        <v>B</v>
      </c>
    </row>
    <row r="1434">
      <c r="A1434" s="2">
        <v>1433.0</v>
      </c>
      <c r="B1434" s="2">
        <v>21788.0</v>
      </c>
      <c r="C1434" s="2" t="s">
        <v>1636</v>
      </c>
      <c r="D1434" s="2">
        <v>0.85</v>
      </c>
      <c r="E1434" s="2">
        <v>1664.0</v>
      </c>
      <c r="F1434" s="2">
        <v>1343.0</v>
      </c>
      <c r="G1434" s="4">
        <f t="shared" si="3"/>
        <v>8264428.8</v>
      </c>
      <c r="H1434" s="4">
        <f t="shared" si="1"/>
        <v>0.8658913295</v>
      </c>
      <c r="I1434" s="4" t="str">
        <f t="shared" si="2"/>
        <v>B</v>
      </c>
    </row>
    <row r="1435">
      <c r="A1435" s="2">
        <v>1434.0</v>
      </c>
      <c r="B1435" s="2">
        <v>22436.0</v>
      </c>
      <c r="C1435" s="2" t="s">
        <v>1637</v>
      </c>
      <c r="D1435" s="2">
        <v>0.65</v>
      </c>
      <c r="E1435" s="2">
        <v>2106.0</v>
      </c>
      <c r="F1435" s="2">
        <v>1342.22</v>
      </c>
      <c r="G1435" s="4">
        <f t="shared" si="3"/>
        <v>8265771.02</v>
      </c>
      <c r="H1435" s="4">
        <f t="shared" si="1"/>
        <v>0.8660319583</v>
      </c>
      <c r="I1435" s="4" t="str">
        <f t="shared" si="2"/>
        <v>B</v>
      </c>
    </row>
    <row r="1436">
      <c r="A1436" s="2">
        <v>1435.0</v>
      </c>
      <c r="B1436" s="2">
        <v>23292.0</v>
      </c>
      <c r="C1436" s="2" t="s">
        <v>1638</v>
      </c>
      <c r="D1436" s="2">
        <v>1.25</v>
      </c>
      <c r="E1436" s="2">
        <v>1082.0</v>
      </c>
      <c r="F1436" s="2">
        <v>1341.66</v>
      </c>
      <c r="G1436" s="4">
        <f t="shared" si="3"/>
        <v>8267112.68</v>
      </c>
      <c r="H1436" s="4">
        <f t="shared" si="1"/>
        <v>0.8661725284</v>
      </c>
      <c r="I1436" s="4" t="str">
        <f t="shared" si="2"/>
        <v>B</v>
      </c>
    </row>
    <row r="1437">
      <c r="A1437" s="2">
        <v>1436.0</v>
      </c>
      <c r="B1437" s="2">
        <v>22818.0</v>
      </c>
      <c r="C1437" s="2" t="s">
        <v>1639</v>
      </c>
      <c r="D1437" s="2">
        <v>0.42</v>
      </c>
      <c r="E1437" s="2">
        <v>3097.0</v>
      </c>
      <c r="F1437" s="2">
        <v>1340.27</v>
      </c>
      <c r="G1437" s="4">
        <f t="shared" si="3"/>
        <v>8268452.95</v>
      </c>
      <c r="H1437" s="4">
        <f t="shared" si="1"/>
        <v>0.8663129529</v>
      </c>
      <c r="I1437" s="4" t="str">
        <f t="shared" si="2"/>
        <v>B</v>
      </c>
    </row>
    <row r="1438">
      <c r="A1438" s="2">
        <v>1437.0</v>
      </c>
      <c r="B1438" s="2">
        <v>23407.0</v>
      </c>
      <c r="C1438" s="2" t="s">
        <v>1640</v>
      </c>
      <c r="D1438" s="2">
        <v>9.95</v>
      </c>
      <c r="E1438" s="2">
        <v>131.0</v>
      </c>
      <c r="F1438" s="2">
        <v>1339.79</v>
      </c>
      <c r="G1438" s="4">
        <f t="shared" si="3"/>
        <v>8269792.74</v>
      </c>
      <c r="H1438" s="4">
        <f t="shared" si="1"/>
        <v>0.8664533271</v>
      </c>
      <c r="I1438" s="4" t="str">
        <f t="shared" si="2"/>
        <v>B</v>
      </c>
    </row>
    <row r="1439">
      <c r="A1439" s="2">
        <v>1438.0</v>
      </c>
      <c r="B1439" s="2">
        <v>90057.0</v>
      </c>
      <c r="C1439" s="2" t="s">
        <v>1641</v>
      </c>
      <c r="D1439" s="2">
        <v>1.25</v>
      </c>
      <c r="E1439" s="2">
        <v>902.0</v>
      </c>
      <c r="F1439" s="2">
        <v>1337.94</v>
      </c>
      <c r="G1439" s="4">
        <f t="shared" si="3"/>
        <v>8271130.68</v>
      </c>
      <c r="H1439" s="4">
        <f t="shared" si="1"/>
        <v>0.8665935075</v>
      </c>
      <c r="I1439" s="4" t="str">
        <f t="shared" si="2"/>
        <v>B</v>
      </c>
    </row>
    <row r="1440">
      <c r="A1440" s="2">
        <v>1439.0</v>
      </c>
      <c r="B1440" s="2">
        <v>22028.0</v>
      </c>
      <c r="C1440" s="2" t="s">
        <v>1642</v>
      </c>
      <c r="D1440" s="2">
        <v>0.42</v>
      </c>
      <c r="E1440" s="2">
        <v>3184.0</v>
      </c>
      <c r="F1440" s="2">
        <v>1337.6</v>
      </c>
      <c r="G1440" s="4">
        <f t="shared" si="3"/>
        <v>8272468.28</v>
      </c>
      <c r="H1440" s="4">
        <f t="shared" si="1"/>
        <v>0.8667336522</v>
      </c>
      <c r="I1440" s="4" t="str">
        <f t="shared" si="2"/>
        <v>B</v>
      </c>
    </row>
    <row r="1441">
      <c r="A1441" s="2">
        <v>1440.0</v>
      </c>
      <c r="B1441" s="2">
        <v>21923.0</v>
      </c>
      <c r="C1441" s="2" t="s">
        <v>1643</v>
      </c>
      <c r="D1441" s="2">
        <v>7.95</v>
      </c>
      <c r="E1441" s="2">
        <v>169.0</v>
      </c>
      <c r="F1441" s="2">
        <v>1335.3</v>
      </c>
      <c r="G1441" s="4">
        <f t="shared" si="3"/>
        <v>8273803.58</v>
      </c>
      <c r="H1441" s="4">
        <f t="shared" si="1"/>
        <v>0.866873556</v>
      </c>
      <c r="I1441" s="4" t="str">
        <f t="shared" si="2"/>
        <v>B</v>
      </c>
    </row>
    <row r="1442">
      <c r="A1442" s="2">
        <v>1441.0</v>
      </c>
      <c r="B1442" s="2">
        <v>22495.0</v>
      </c>
      <c r="C1442" s="2" t="s">
        <v>1644</v>
      </c>
      <c r="D1442" s="2">
        <v>2.95</v>
      </c>
      <c r="E1442" s="2">
        <v>468.0</v>
      </c>
      <c r="F1442" s="2">
        <v>1335.26</v>
      </c>
      <c r="G1442" s="4">
        <f t="shared" si="3"/>
        <v>8275138.84</v>
      </c>
      <c r="H1442" s="4">
        <f t="shared" si="1"/>
        <v>0.8670134555</v>
      </c>
      <c r="I1442" s="4" t="str">
        <f t="shared" si="2"/>
        <v>B</v>
      </c>
    </row>
    <row r="1443">
      <c r="A1443" s="2">
        <v>1442.0</v>
      </c>
      <c r="B1443" s="2">
        <v>21742.0</v>
      </c>
      <c r="C1443" s="2" t="s">
        <v>1645</v>
      </c>
      <c r="D1443" s="2">
        <v>5.95</v>
      </c>
      <c r="E1443" s="2">
        <v>220.0</v>
      </c>
      <c r="F1443" s="2">
        <v>1332.56</v>
      </c>
      <c r="G1443" s="4">
        <f t="shared" si="3"/>
        <v>8276471.4</v>
      </c>
      <c r="H1443" s="4">
        <f t="shared" si="1"/>
        <v>0.8671530722</v>
      </c>
      <c r="I1443" s="4" t="str">
        <f t="shared" si="2"/>
        <v>B</v>
      </c>
    </row>
    <row r="1444">
      <c r="A1444" s="2">
        <v>1443.0</v>
      </c>
      <c r="B1444" s="2">
        <v>22101.0</v>
      </c>
      <c r="C1444" s="2" t="s">
        <v>1646</v>
      </c>
      <c r="D1444" s="2">
        <v>2.46</v>
      </c>
      <c r="E1444" s="2">
        <v>792.0</v>
      </c>
      <c r="F1444" s="2">
        <v>1330.9</v>
      </c>
      <c r="G1444" s="4">
        <f t="shared" si="3"/>
        <v>8277802.3</v>
      </c>
      <c r="H1444" s="4">
        <f t="shared" si="1"/>
        <v>0.867292515</v>
      </c>
      <c r="I1444" s="4" t="str">
        <f t="shared" si="2"/>
        <v>B</v>
      </c>
    </row>
    <row r="1445">
      <c r="A1445" s="2">
        <v>1444.0</v>
      </c>
      <c r="B1445" s="2">
        <v>21897.0</v>
      </c>
      <c r="C1445" s="2" t="s">
        <v>1647</v>
      </c>
      <c r="D1445" s="2">
        <v>2.95</v>
      </c>
      <c r="E1445" s="2">
        <v>436.0</v>
      </c>
      <c r="F1445" s="2">
        <v>1329.53</v>
      </c>
      <c r="G1445" s="4">
        <f t="shared" si="3"/>
        <v>8279131.83</v>
      </c>
      <c r="H1445" s="4">
        <f t="shared" si="1"/>
        <v>0.8674318142</v>
      </c>
      <c r="I1445" s="4" t="str">
        <f t="shared" si="2"/>
        <v>B</v>
      </c>
    </row>
    <row r="1446">
      <c r="A1446" s="2">
        <v>1445.0</v>
      </c>
      <c r="B1446" s="2" t="s">
        <v>1648</v>
      </c>
      <c r="C1446" s="2" t="s">
        <v>1649</v>
      </c>
      <c r="D1446" s="2">
        <v>1.25</v>
      </c>
      <c r="E1446" s="2">
        <v>1065.0</v>
      </c>
      <c r="F1446" s="2">
        <v>1329.15</v>
      </c>
      <c r="G1446" s="4">
        <f t="shared" si="3"/>
        <v>8280460.98</v>
      </c>
      <c r="H1446" s="4">
        <f t="shared" si="1"/>
        <v>0.8675710736</v>
      </c>
      <c r="I1446" s="4" t="str">
        <f t="shared" si="2"/>
        <v>B</v>
      </c>
    </row>
    <row r="1447">
      <c r="A1447" s="2">
        <v>1446.0</v>
      </c>
      <c r="B1447" s="2">
        <v>22152.0</v>
      </c>
      <c r="C1447" s="2" t="s">
        <v>1650</v>
      </c>
      <c r="D1447" s="2">
        <v>0.42</v>
      </c>
      <c r="E1447" s="2">
        <v>3134.0</v>
      </c>
      <c r="F1447" s="2">
        <v>1326.6</v>
      </c>
      <c r="G1447" s="4">
        <f t="shared" si="3"/>
        <v>8281787.58</v>
      </c>
      <c r="H1447" s="4">
        <f t="shared" si="1"/>
        <v>0.8677100659</v>
      </c>
      <c r="I1447" s="4" t="str">
        <f t="shared" si="2"/>
        <v>B</v>
      </c>
    </row>
    <row r="1448">
      <c r="A1448" s="2">
        <v>1447.0</v>
      </c>
      <c r="B1448" s="2">
        <v>22231.0</v>
      </c>
      <c r="C1448" s="2" t="s">
        <v>1651</v>
      </c>
      <c r="D1448" s="2">
        <v>1.45</v>
      </c>
      <c r="E1448" s="2">
        <v>1046.0</v>
      </c>
      <c r="F1448" s="2">
        <v>1323.91</v>
      </c>
      <c r="G1448" s="4">
        <f t="shared" si="3"/>
        <v>8283111.49</v>
      </c>
      <c r="H1448" s="4">
        <f t="shared" si="1"/>
        <v>0.8678487763</v>
      </c>
      <c r="I1448" s="4" t="str">
        <f t="shared" si="2"/>
        <v>B</v>
      </c>
    </row>
    <row r="1449">
      <c r="A1449" s="2">
        <v>1448.0</v>
      </c>
      <c r="B1449" s="2">
        <v>22930.0</v>
      </c>
      <c r="C1449" s="2" t="s">
        <v>1652</v>
      </c>
      <c r="D1449" s="2">
        <v>2.55</v>
      </c>
      <c r="E1449" s="2">
        <v>506.0</v>
      </c>
      <c r="F1449" s="2">
        <v>1323.88</v>
      </c>
      <c r="G1449" s="4">
        <f t="shared" si="3"/>
        <v>8284435.37</v>
      </c>
      <c r="H1449" s="4">
        <f t="shared" si="1"/>
        <v>0.8679874835</v>
      </c>
      <c r="I1449" s="4" t="str">
        <f t="shared" si="2"/>
        <v>B</v>
      </c>
    </row>
    <row r="1450">
      <c r="A1450" s="2">
        <v>1449.0</v>
      </c>
      <c r="B1450" s="2">
        <v>22376.0</v>
      </c>
      <c r="C1450" s="2" t="s">
        <v>1653</v>
      </c>
      <c r="D1450" s="2">
        <v>4.25</v>
      </c>
      <c r="E1450" s="2">
        <v>266.0</v>
      </c>
      <c r="F1450" s="2">
        <v>1323.52</v>
      </c>
      <c r="G1450" s="4">
        <f t="shared" si="3"/>
        <v>8285758.89</v>
      </c>
      <c r="H1450" s="4">
        <f t="shared" si="1"/>
        <v>0.868126153</v>
      </c>
      <c r="I1450" s="4" t="str">
        <f t="shared" si="2"/>
        <v>B</v>
      </c>
    </row>
    <row r="1451">
      <c r="A1451" s="2">
        <v>1450.0</v>
      </c>
      <c r="B1451" s="2">
        <v>22713.0</v>
      </c>
      <c r="C1451" s="2" t="s">
        <v>1654</v>
      </c>
      <c r="D1451" s="2">
        <v>0.42</v>
      </c>
      <c r="E1451" s="2">
        <v>3078.0</v>
      </c>
      <c r="F1451" s="2">
        <v>1323.18</v>
      </c>
      <c r="G1451" s="4">
        <f t="shared" si="3"/>
        <v>8287082.07</v>
      </c>
      <c r="H1451" s="4">
        <f t="shared" si="1"/>
        <v>0.8682647869</v>
      </c>
      <c r="I1451" s="4" t="str">
        <f t="shared" si="2"/>
        <v>B</v>
      </c>
    </row>
    <row r="1452">
      <c r="A1452" s="2">
        <v>1451.0</v>
      </c>
      <c r="B1452" s="2">
        <v>22500.0</v>
      </c>
      <c r="C1452" s="2" t="s">
        <v>1655</v>
      </c>
      <c r="D1452" s="2">
        <v>4.95</v>
      </c>
      <c r="E1452" s="2">
        <v>290.0</v>
      </c>
      <c r="F1452" s="2">
        <v>1320.58</v>
      </c>
      <c r="G1452" s="4">
        <f t="shared" si="3"/>
        <v>8288402.65</v>
      </c>
      <c r="H1452" s="4">
        <f t="shared" si="1"/>
        <v>0.8684031484</v>
      </c>
      <c r="I1452" s="4" t="str">
        <f t="shared" si="2"/>
        <v>B</v>
      </c>
    </row>
    <row r="1453">
      <c r="A1453" s="2">
        <v>1452.0</v>
      </c>
      <c r="B1453" s="2" t="s">
        <v>1656</v>
      </c>
      <c r="C1453" s="2" t="s">
        <v>1657</v>
      </c>
      <c r="D1453" s="2">
        <v>2.55</v>
      </c>
      <c r="E1453" s="2">
        <v>699.0</v>
      </c>
      <c r="F1453" s="2">
        <v>1319.66</v>
      </c>
      <c r="G1453" s="4">
        <f t="shared" si="3"/>
        <v>8289722.31</v>
      </c>
      <c r="H1453" s="4">
        <f t="shared" si="1"/>
        <v>0.8685414136</v>
      </c>
      <c r="I1453" s="4" t="str">
        <f t="shared" si="2"/>
        <v>B</v>
      </c>
    </row>
    <row r="1454">
      <c r="A1454" s="2">
        <v>1453.0</v>
      </c>
      <c r="B1454" s="2">
        <v>82597.0</v>
      </c>
      <c r="C1454" s="2" t="s">
        <v>1658</v>
      </c>
      <c r="D1454" s="2">
        <v>2.1</v>
      </c>
      <c r="E1454" s="2">
        <v>618.0</v>
      </c>
      <c r="F1454" s="2">
        <v>1312.13</v>
      </c>
      <c r="G1454" s="4">
        <f t="shared" si="3"/>
        <v>8291034.44</v>
      </c>
      <c r="H1454" s="4">
        <f t="shared" si="1"/>
        <v>0.8686788897</v>
      </c>
      <c r="I1454" s="4" t="str">
        <f t="shared" si="2"/>
        <v>B</v>
      </c>
    </row>
    <row r="1455">
      <c r="A1455" s="2">
        <v>1454.0</v>
      </c>
      <c r="B1455" s="2">
        <v>21422.0</v>
      </c>
      <c r="C1455" s="2" t="s">
        <v>1659</v>
      </c>
      <c r="D1455" s="2">
        <v>0.85</v>
      </c>
      <c r="E1455" s="2">
        <v>1580.0</v>
      </c>
      <c r="F1455" s="2">
        <v>1309.58</v>
      </c>
      <c r="G1455" s="4">
        <f t="shared" si="3"/>
        <v>8292344.02</v>
      </c>
      <c r="H1455" s="4">
        <f t="shared" si="1"/>
        <v>0.8688160987</v>
      </c>
      <c r="I1455" s="4" t="str">
        <f t="shared" si="2"/>
        <v>B</v>
      </c>
    </row>
    <row r="1456">
      <c r="A1456" s="2">
        <v>1455.0</v>
      </c>
      <c r="B1456" s="2" t="s">
        <v>1660</v>
      </c>
      <c r="C1456" s="2" t="s">
        <v>1661</v>
      </c>
      <c r="D1456" s="2">
        <v>1.69</v>
      </c>
      <c r="E1456" s="2">
        <v>779.0</v>
      </c>
      <c r="F1456" s="2">
        <v>1309.14</v>
      </c>
      <c r="G1456" s="4">
        <f t="shared" si="3"/>
        <v>8293653.16</v>
      </c>
      <c r="H1456" s="4">
        <f t="shared" si="1"/>
        <v>0.8689532616</v>
      </c>
      <c r="I1456" s="4" t="str">
        <f t="shared" si="2"/>
        <v>B</v>
      </c>
    </row>
    <row r="1457">
      <c r="A1457" s="2">
        <v>1456.0</v>
      </c>
      <c r="B1457" s="2">
        <v>23054.0</v>
      </c>
      <c r="C1457" s="2" t="s">
        <v>1662</v>
      </c>
      <c r="D1457" s="2">
        <v>8.25</v>
      </c>
      <c r="E1457" s="2">
        <v>148.0</v>
      </c>
      <c r="F1457" s="2">
        <v>1306.59</v>
      </c>
      <c r="G1457" s="4">
        <f t="shared" si="3"/>
        <v>8294959.75</v>
      </c>
      <c r="H1457" s="4">
        <f t="shared" si="1"/>
        <v>0.8690901573</v>
      </c>
      <c r="I1457" s="4" t="str">
        <f t="shared" si="2"/>
        <v>B</v>
      </c>
    </row>
    <row r="1458">
      <c r="A1458" s="2">
        <v>1457.0</v>
      </c>
      <c r="B1458" s="2" t="s">
        <v>1663</v>
      </c>
      <c r="C1458" s="2" t="s">
        <v>1664</v>
      </c>
      <c r="D1458" s="2">
        <v>1.25</v>
      </c>
      <c r="E1458" s="2">
        <v>1046.0</v>
      </c>
      <c r="F1458" s="2">
        <v>1306.38</v>
      </c>
      <c r="G1458" s="4">
        <f t="shared" si="3"/>
        <v>8296266.13</v>
      </c>
      <c r="H1458" s="4">
        <f t="shared" si="1"/>
        <v>0.8692270311</v>
      </c>
      <c r="I1458" s="4" t="str">
        <f t="shared" si="2"/>
        <v>B</v>
      </c>
    </row>
    <row r="1459">
      <c r="A1459" s="2">
        <v>1458.0</v>
      </c>
      <c r="B1459" s="2">
        <v>21204.0</v>
      </c>
      <c r="C1459" s="2" t="s">
        <v>1665</v>
      </c>
      <c r="D1459" s="2">
        <v>1.65</v>
      </c>
      <c r="E1459" s="2">
        <v>780.0</v>
      </c>
      <c r="F1459" s="2">
        <v>1305.87</v>
      </c>
      <c r="G1459" s="4">
        <f t="shared" si="3"/>
        <v>8297572</v>
      </c>
      <c r="H1459" s="4">
        <f t="shared" si="1"/>
        <v>0.8693638513</v>
      </c>
      <c r="I1459" s="4" t="str">
        <f t="shared" si="2"/>
        <v>B</v>
      </c>
    </row>
    <row r="1460">
      <c r="A1460" s="2">
        <v>1459.0</v>
      </c>
      <c r="B1460" s="2" t="s">
        <v>1666</v>
      </c>
      <c r="C1460" s="2" t="s">
        <v>1667</v>
      </c>
      <c r="D1460" s="2">
        <v>3.29</v>
      </c>
      <c r="E1460" s="2">
        <v>594.0</v>
      </c>
      <c r="F1460" s="2">
        <v>1305.82</v>
      </c>
      <c r="G1460" s="4">
        <f t="shared" si="3"/>
        <v>8298877.82</v>
      </c>
      <c r="H1460" s="4">
        <f t="shared" si="1"/>
        <v>0.8695006664</v>
      </c>
      <c r="I1460" s="4" t="str">
        <f t="shared" si="2"/>
        <v>B</v>
      </c>
    </row>
    <row r="1461">
      <c r="A1461" s="2">
        <v>1460.0</v>
      </c>
      <c r="B1461" s="2">
        <v>37502.0</v>
      </c>
      <c r="C1461" s="2" t="s">
        <v>1668</v>
      </c>
      <c r="D1461" s="2">
        <v>2.95</v>
      </c>
      <c r="E1461" s="2">
        <v>436.0</v>
      </c>
      <c r="F1461" s="2">
        <v>1305.8</v>
      </c>
      <c r="G1461" s="4">
        <f t="shared" si="3"/>
        <v>8300183.62</v>
      </c>
      <c r="H1461" s="4">
        <f t="shared" si="1"/>
        <v>0.8696374793</v>
      </c>
      <c r="I1461" s="4" t="str">
        <f t="shared" si="2"/>
        <v>B</v>
      </c>
    </row>
    <row r="1462">
      <c r="A1462" s="2">
        <v>1461.0</v>
      </c>
      <c r="B1462" s="2">
        <v>22758.0</v>
      </c>
      <c r="C1462" s="2" t="s">
        <v>1669</v>
      </c>
      <c r="D1462" s="2">
        <v>1.25</v>
      </c>
      <c r="E1462" s="2">
        <v>1214.0</v>
      </c>
      <c r="F1462" s="2">
        <v>1304.18</v>
      </c>
      <c r="G1462" s="4">
        <f t="shared" si="3"/>
        <v>8301487.8</v>
      </c>
      <c r="H1462" s="4">
        <f t="shared" si="1"/>
        <v>0.8697741226</v>
      </c>
      <c r="I1462" s="4" t="str">
        <f t="shared" si="2"/>
        <v>B</v>
      </c>
    </row>
    <row r="1463">
      <c r="A1463" s="2">
        <v>1462.0</v>
      </c>
      <c r="B1463" s="2">
        <v>22094.0</v>
      </c>
      <c r="C1463" s="2" t="s">
        <v>1670</v>
      </c>
      <c r="D1463" s="2">
        <v>1.25</v>
      </c>
      <c r="E1463" s="2">
        <v>1752.0</v>
      </c>
      <c r="F1463" s="2">
        <v>1304.1</v>
      </c>
      <c r="G1463" s="4">
        <f t="shared" si="3"/>
        <v>8302791.9</v>
      </c>
      <c r="H1463" s="4">
        <f t="shared" si="1"/>
        <v>0.8699107574</v>
      </c>
      <c r="I1463" s="4" t="str">
        <f t="shared" si="2"/>
        <v>B</v>
      </c>
    </row>
    <row r="1464">
      <c r="A1464" s="2">
        <v>1463.0</v>
      </c>
      <c r="B1464" s="2" t="s">
        <v>1671</v>
      </c>
      <c r="C1464" s="2" t="s">
        <v>1672</v>
      </c>
      <c r="D1464" s="2">
        <v>3.75</v>
      </c>
      <c r="E1464" s="2">
        <v>537.0</v>
      </c>
      <c r="F1464" s="2">
        <v>1302.69</v>
      </c>
      <c r="G1464" s="4">
        <f t="shared" si="3"/>
        <v>8304094.59</v>
      </c>
      <c r="H1464" s="4">
        <f t="shared" si="1"/>
        <v>0.8700472445</v>
      </c>
      <c r="I1464" s="4" t="str">
        <f t="shared" si="2"/>
        <v>B</v>
      </c>
    </row>
    <row r="1465">
      <c r="A1465" s="2">
        <v>1464.0</v>
      </c>
      <c r="B1465" s="2">
        <v>22046.0</v>
      </c>
      <c r="C1465" s="2" t="s">
        <v>1673</v>
      </c>
      <c r="D1465" s="2">
        <v>0.42</v>
      </c>
      <c r="E1465" s="2">
        <v>3175.0</v>
      </c>
      <c r="F1465" s="2">
        <v>1301.5</v>
      </c>
      <c r="G1465" s="4">
        <f t="shared" si="3"/>
        <v>8305396.09</v>
      </c>
      <c r="H1465" s="4">
        <f t="shared" si="1"/>
        <v>0.8701836069</v>
      </c>
      <c r="I1465" s="4" t="str">
        <f t="shared" si="2"/>
        <v>B</v>
      </c>
    </row>
    <row r="1466">
      <c r="A1466" s="2">
        <v>1465.0</v>
      </c>
      <c r="B1466" s="2" t="s">
        <v>1674</v>
      </c>
      <c r="C1466" s="2" t="s">
        <v>1675</v>
      </c>
      <c r="D1466" s="2">
        <v>2.95</v>
      </c>
      <c r="E1466" s="2">
        <v>616.0</v>
      </c>
      <c r="F1466" s="2">
        <v>1300.32</v>
      </c>
      <c r="G1466" s="4">
        <f t="shared" si="3"/>
        <v>8306696.41</v>
      </c>
      <c r="H1466" s="4">
        <f t="shared" si="1"/>
        <v>0.8703198457</v>
      </c>
      <c r="I1466" s="4" t="str">
        <f t="shared" si="2"/>
        <v>B</v>
      </c>
    </row>
    <row r="1467">
      <c r="A1467" s="2">
        <v>1466.0</v>
      </c>
      <c r="B1467" s="2">
        <v>22270.0</v>
      </c>
      <c r="C1467" s="2" t="s">
        <v>1676</v>
      </c>
      <c r="D1467" s="2">
        <v>3.75</v>
      </c>
      <c r="E1467" s="2">
        <v>336.0</v>
      </c>
      <c r="F1467" s="2">
        <v>1296.84</v>
      </c>
      <c r="G1467" s="4">
        <f t="shared" si="3"/>
        <v>8307993.25</v>
      </c>
      <c r="H1467" s="4">
        <f t="shared" si="1"/>
        <v>0.8704557199</v>
      </c>
      <c r="I1467" s="4" t="str">
        <f t="shared" si="2"/>
        <v>B</v>
      </c>
    </row>
    <row r="1468">
      <c r="A1468" s="2">
        <v>1467.0</v>
      </c>
      <c r="B1468" s="2">
        <v>22190.0</v>
      </c>
      <c r="C1468" s="2" t="s">
        <v>1677</v>
      </c>
      <c r="D1468" s="2">
        <v>2.1</v>
      </c>
      <c r="E1468" s="2">
        <v>700.0</v>
      </c>
      <c r="F1468" s="2">
        <v>1295.84</v>
      </c>
      <c r="G1468" s="4">
        <f t="shared" si="3"/>
        <v>8309289.09</v>
      </c>
      <c r="H1468" s="4">
        <f t="shared" si="1"/>
        <v>0.8705914893</v>
      </c>
      <c r="I1468" s="4" t="str">
        <f t="shared" si="2"/>
        <v>B</v>
      </c>
    </row>
    <row r="1469">
      <c r="A1469" s="2">
        <v>1468.0</v>
      </c>
      <c r="B1469" s="2">
        <v>21818.0</v>
      </c>
      <c r="C1469" s="2" t="s">
        <v>1678</v>
      </c>
      <c r="D1469" s="2">
        <v>0.85</v>
      </c>
      <c r="E1469" s="2">
        <v>2119.0</v>
      </c>
      <c r="F1469" s="2">
        <v>1292.34</v>
      </c>
      <c r="G1469" s="4">
        <f t="shared" si="3"/>
        <v>8310581.43</v>
      </c>
      <c r="H1469" s="4">
        <f t="shared" si="1"/>
        <v>0.870726892</v>
      </c>
      <c r="I1469" s="4" t="str">
        <f t="shared" si="2"/>
        <v>B</v>
      </c>
    </row>
    <row r="1470">
      <c r="A1470" s="2">
        <v>1469.0</v>
      </c>
      <c r="B1470" s="2">
        <v>21808.0</v>
      </c>
      <c r="C1470" s="2" t="s">
        <v>1679</v>
      </c>
      <c r="D1470" s="2">
        <v>3.75</v>
      </c>
      <c r="E1470" s="2">
        <v>483.0</v>
      </c>
      <c r="F1470" s="2">
        <v>1292.14</v>
      </c>
      <c r="G1470" s="4">
        <f t="shared" si="3"/>
        <v>8311873.57</v>
      </c>
      <c r="H1470" s="4">
        <f t="shared" si="1"/>
        <v>0.8708622738</v>
      </c>
      <c r="I1470" s="4" t="str">
        <f t="shared" si="2"/>
        <v>B</v>
      </c>
    </row>
    <row r="1471">
      <c r="A1471" s="2">
        <v>1470.0</v>
      </c>
      <c r="B1471" s="2">
        <v>21171.0</v>
      </c>
      <c r="C1471" s="2" t="s">
        <v>738</v>
      </c>
      <c r="D1471" s="2">
        <v>1.45</v>
      </c>
      <c r="E1471" s="2">
        <v>924.0</v>
      </c>
      <c r="F1471" s="2">
        <v>1290.58</v>
      </c>
      <c r="G1471" s="4">
        <f t="shared" si="3"/>
        <v>8313164.15</v>
      </c>
      <c r="H1471" s="4">
        <f t="shared" si="1"/>
        <v>0.8709974921</v>
      </c>
      <c r="I1471" s="4" t="str">
        <f t="shared" si="2"/>
        <v>B</v>
      </c>
    </row>
    <row r="1472">
      <c r="A1472" s="2">
        <v>1471.0</v>
      </c>
      <c r="B1472" s="2">
        <v>23146.0</v>
      </c>
      <c r="C1472" s="2" t="s">
        <v>1680</v>
      </c>
      <c r="D1472" s="2">
        <v>3.29</v>
      </c>
      <c r="E1472" s="2">
        <v>388.0</v>
      </c>
      <c r="F1472" s="2">
        <v>1288.08</v>
      </c>
      <c r="G1472" s="4">
        <f t="shared" si="3"/>
        <v>8314452.23</v>
      </c>
      <c r="H1472" s="4">
        <f t="shared" si="1"/>
        <v>0.8711324484</v>
      </c>
      <c r="I1472" s="4" t="str">
        <f t="shared" si="2"/>
        <v>B</v>
      </c>
    </row>
    <row r="1473">
      <c r="A1473" s="2">
        <v>1472.0</v>
      </c>
      <c r="B1473" s="2">
        <v>90062.0</v>
      </c>
      <c r="C1473" s="2" t="s">
        <v>1681</v>
      </c>
      <c r="D1473" s="2">
        <v>12.75</v>
      </c>
      <c r="E1473" s="2">
        <v>101.0</v>
      </c>
      <c r="F1473" s="2">
        <v>1288.08</v>
      </c>
      <c r="G1473" s="4">
        <f t="shared" si="3"/>
        <v>8315740.31</v>
      </c>
      <c r="H1473" s="4">
        <f t="shared" si="1"/>
        <v>0.8712674048</v>
      </c>
      <c r="I1473" s="4" t="str">
        <f t="shared" si="2"/>
        <v>B</v>
      </c>
    </row>
    <row r="1474">
      <c r="A1474" s="2">
        <v>1473.0</v>
      </c>
      <c r="B1474" s="2">
        <v>22146.0</v>
      </c>
      <c r="C1474" s="2" t="s">
        <v>1682</v>
      </c>
      <c r="D1474" s="2">
        <v>1.95</v>
      </c>
      <c r="E1474" s="2">
        <v>688.0</v>
      </c>
      <c r="F1474" s="2">
        <v>1287.46</v>
      </c>
      <c r="G1474" s="4">
        <f t="shared" si="3"/>
        <v>8317027.77</v>
      </c>
      <c r="H1474" s="4">
        <f t="shared" si="1"/>
        <v>0.8714022962</v>
      </c>
      <c r="I1474" s="4" t="str">
        <f t="shared" si="2"/>
        <v>B</v>
      </c>
    </row>
    <row r="1475">
      <c r="A1475" s="2">
        <v>1474.0</v>
      </c>
      <c r="B1475" s="2">
        <v>22471.0</v>
      </c>
      <c r="C1475" s="2" t="s">
        <v>1683</v>
      </c>
      <c r="D1475" s="2">
        <v>4.95</v>
      </c>
      <c r="E1475" s="2">
        <v>314.0</v>
      </c>
      <c r="F1475" s="2">
        <v>1286.86</v>
      </c>
      <c r="G1475" s="4">
        <f t="shared" si="3"/>
        <v>8318314.63</v>
      </c>
      <c r="H1475" s="4">
        <f t="shared" si="1"/>
        <v>0.8715371248</v>
      </c>
      <c r="I1475" s="4" t="str">
        <f t="shared" si="2"/>
        <v>B</v>
      </c>
    </row>
    <row r="1476">
      <c r="A1476" s="2">
        <v>1475.0</v>
      </c>
      <c r="B1476" s="2">
        <v>22439.0</v>
      </c>
      <c r="C1476" s="2" t="s">
        <v>1684</v>
      </c>
      <c r="D1476" s="2">
        <v>0.65</v>
      </c>
      <c r="E1476" s="2">
        <v>1924.0</v>
      </c>
      <c r="F1476" s="2">
        <v>1285.53</v>
      </c>
      <c r="G1476" s="4">
        <f t="shared" si="3"/>
        <v>8319600.16</v>
      </c>
      <c r="H1476" s="4">
        <f t="shared" si="1"/>
        <v>0.871671814</v>
      </c>
      <c r="I1476" s="4" t="str">
        <f t="shared" si="2"/>
        <v>B</v>
      </c>
    </row>
    <row r="1477">
      <c r="A1477" s="2">
        <v>1476.0</v>
      </c>
      <c r="B1477" s="2">
        <v>22735.0</v>
      </c>
      <c r="C1477" s="2" t="s">
        <v>1685</v>
      </c>
      <c r="D1477" s="2">
        <v>1.65</v>
      </c>
      <c r="E1477" s="2">
        <v>724.0</v>
      </c>
      <c r="F1477" s="2">
        <v>1283.06</v>
      </c>
      <c r="G1477" s="4">
        <f t="shared" si="3"/>
        <v>8320883.22</v>
      </c>
      <c r="H1477" s="4">
        <f t="shared" si="1"/>
        <v>0.8718062444</v>
      </c>
      <c r="I1477" s="4" t="str">
        <f t="shared" si="2"/>
        <v>B</v>
      </c>
    </row>
    <row r="1478">
      <c r="A1478" s="2">
        <v>1477.0</v>
      </c>
      <c r="B1478" s="2">
        <v>21653.0</v>
      </c>
      <c r="C1478" s="2" t="s">
        <v>1686</v>
      </c>
      <c r="D1478" s="2">
        <v>2.1</v>
      </c>
      <c r="E1478" s="2">
        <v>622.0</v>
      </c>
      <c r="F1478" s="2">
        <v>1281.79</v>
      </c>
      <c r="G1478" s="4">
        <f t="shared" si="3"/>
        <v>8322165.01</v>
      </c>
      <c r="H1478" s="4">
        <f t="shared" si="1"/>
        <v>0.8719405417</v>
      </c>
      <c r="I1478" s="4" t="str">
        <f t="shared" si="2"/>
        <v>B</v>
      </c>
    </row>
    <row r="1479">
      <c r="A1479" s="2">
        <v>1478.0</v>
      </c>
      <c r="B1479" s="2">
        <v>22937.0</v>
      </c>
      <c r="C1479" s="2" t="s">
        <v>1687</v>
      </c>
      <c r="D1479" s="2">
        <v>2.55</v>
      </c>
      <c r="E1479" s="2">
        <v>484.0</v>
      </c>
      <c r="F1479" s="2">
        <v>1276.52</v>
      </c>
      <c r="G1479" s="4">
        <f t="shared" si="3"/>
        <v>8323441.53</v>
      </c>
      <c r="H1479" s="4">
        <f t="shared" si="1"/>
        <v>0.8720742869</v>
      </c>
      <c r="I1479" s="4" t="str">
        <f t="shared" si="2"/>
        <v>B</v>
      </c>
    </row>
    <row r="1480">
      <c r="A1480" s="2">
        <v>1479.0</v>
      </c>
      <c r="B1480" s="2">
        <v>21589.0</v>
      </c>
      <c r="C1480" s="2" t="s">
        <v>1688</v>
      </c>
      <c r="D1480" s="2">
        <v>2.55</v>
      </c>
      <c r="E1480" s="2">
        <v>554.0</v>
      </c>
      <c r="F1480" s="2">
        <v>1276.42</v>
      </c>
      <c r="G1480" s="4">
        <f t="shared" si="3"/>
        <v>8324717.95</v>
      </c>
      <c r="H1480" s="4">
        <f t="shared" si="1"/>
        <v>0.8722080216</v>
      </c>
      <c r="I1480" s="4" t="str">
        <f t="shared" si="2"/>
        <v>B</v>
      </c>
    </row>
    <row r="1481">
      <c r="A1481" s="2">
        <v>1480.0</v>
      </c>
      <c r="B1481" s="2" t="s">
        <v>1689</v>
      </c>
      <c r="C1481" s="2" t="s">
        <v>1690</v>
      </c>
      <c r="D1481" s="2">
        <v>4.25</v>
      </c>
      <c r="E1481" s="2">
        <v>494.0</v>
      </c>
      <c r="F1481" s="2">
        <v>1276.02</v>
      </c>
      <c r="G1481" s="4">
        <f t="shared" si="3"/>
        <v>8325993.97</v>
      </c>
      <c r="H1481" s="4">
        <f t="shared" si="1"/>
        <v>0.8723417144</v>
      </c>
      <c r="I1481" s="4" t="str">
        <f t="shared" si="2"/>
        <v>B</v>
      </c>
    </row>
    <row r="1482">
      <c r="A1482" s="2">
        <v>1481.0</v>
      </c>
      <c r="B1482" s="2">
        <v>20960.0</v>
      </c>
      <c r="C1482" s="2" t="s">
        <v>1691</v>
      </c>
      <c r="D1482" s="2">
        <v>1.25</v>
      </c>
      <c r="E1482" s="2">
        <v>950.0</v>
      </c>
      <c r="F1482" s="2">
        <v>1275.42</v>
      </c>
      <c r="G1482" s="4">
        <f t="shared" si="3"/>
        <v>8327269.39</v>
      </c>
      <c r="H1482" s="4">
        <f t="shared" si="1"/>
        <v>0.8724753444</v>
      </c>
      <c r="I1482" s="4" t="str">
        <f t="shared" si="2"/>
        <v>B</v>
      </c>
    </row>
    <row r="1483">
      <c r="A1483" s="2">
        <v>1482.0</v>
      </c>
      <c r="B1483" s="2">
        <v>21898.0</v>
      </c>
      <c r="C1483" s="2" t="s">
        <v>1692</v>
      </c>
      <c r="D1483" s="2">
        <v>2.95</v>
      </c>
      <c r="E1483" s="2">
        <v>414.0</v>
      </c>
      <c r="F1483" s="2">
        <v>1272.36</v>
      </c>
      <c r="G1483" s="4">
        <f t="shared" si="3"/>
        <v>8328541.75</v>
      </c>
      <c r="H1483" s="4">
        <f t="shared" si="1"/>
        <v>0.8726086537</v>
      </c>
      <c r="I1483" s="4" t="str">
        <f t="shared" si="2"/>
        <v>B</v>
      </c>
    </row>
    <row r="1484">
      <c r="A1484" s="2">
        <v>1483.0</v>
      </c>
      <c r="B1484" s="2" t="s">
        <v>1693</v>
      </c>
      <c r="C1484" s="2" t="s">
        <v>1694</v>
      </c>
      <c r="D1484" s="2">
        <v>1.25</v>
      </c>
      <c r="E1484" s="2">
        <v>651.0</v>
      </c>
      <c r="F1484" s="2">
        <v>1270.58</v>
      </c>
      <c r="G1484" s="4">
        <f t="shared" si="3"/>
        <v>8329812.33</v>
      </c>
      <c r="H1484" s="4">
        <f t="shared" si="1"/>
        <v>0.8727417765</v>
      </c>
      <c r="I1484" s="4" t="str">
        <f t="shared" si="2"/>
        <v>B</v>
      </c>
    </row>
    <row r="1485">
      <c r="A1485" s="2">
        <v>1484.0</v>
      </c>
      <c r="B1485" s="2">
        <v>21215.0</v>
      </c>
      <c r="C1485" s="2" t="s">
        <v>1695</v>
      </c>
      <c r="D1485" s="2">
        <v>0.55</v>
      </c>
      <c r="E1485" s="2">
        <v>2178.0</v>
      </c>
      <c r="F1485" s="2">
        <v>1268.86</v>
      </c>
      <c r="G1485" s="4">
        <f t="shared" si="3"/>
        <v>8331081.19</v>
      </c>
      <c r="H1485" s="4">
        <f t="shared" si="1"/>
        <v>0.8728747192</v>
      </c>
      <c r="I1485" s="4" t="str">
        <f t="shared" si="2"/>
        <v>B</v>
      </c>
    </row>
    <row r="1486">
      <c r="A1486" s="2">
        <v>1485.0</v>
      </c>
      <c r="B1486" s="2">
        <v>20787.0</v>
      </c>
      <c r="C1486" s="2" t="s">
        <v>1696</v>
      </c>
      <c r="D1486" s="2">
        <v>34.0</v>
      </c>
      <c r="E1486" s="2">
        <v>34.0</v>
      </c>
      <c r="F1486" s="2">
        <v>1267.55</v>
      </c>
      <c r="G1486" s="4">
        <f t="shared" si="3"/>
        <v>8332348.74</v>
      </c>
      <c r="H1486" s="4">
        <f t="shared" si="1"/>
        <v>0.8730075245</v>
      </c>
      <c r="I1486" s="4" t="str">
        <f t="shared" si="2"/>
        <v>B</v>
      </c>
    </row>
    <row r="1487">
      <c r="A1487" s="2">
        <v>1486.0</v>
      </c>
      <c r="B1487" s="2">
        <v>84012.0</v>
      </c>
      <c r="C1487" s="2" t="s">
        <v>1697</v>
      </c>
      <c r="D1487" s="2">
        <v>1.66</v>
      </c>
      <c r="E1487" s="2">
        <v>860.0</v>
      </c>
      <c r="F1487" s="2">
        <v>1265.79</v>
      </c>
      <c r="G1487" s="4">
        <f t="shared" si="3"/>
        <v>8333614.53</v>
      </c>
      <c r="H1487" s="4">
        <f t="shared" si="1"/>
        <v>0.8731401455</v>
      </c>
      <c r="I1487" s="4" t="str">
        <f t="shared" si="2"/>
        <v>B</v>
      </c>
    </row>
    <row r="1488">
      <c r="A1488" s="2">
        <v>1487.0</v>
      </c>
      <c r="B1488" s="2">
        <v>23424.0</v>
      </c>
      <c r="C1488" s="2" t="s">
        <v>1698</v>
      </c>
      <c r="D1488" s="2">
        <v>4.95</v>
      </c>
      <c r="E1488" s="2">
        <v>233.0</v>
      </c>
      <c r="F1488" s="2">
        <v>1264.71</v>
      </c>
      <c r="G1488" s="4">
        <f t="shared" si="3"/>
        <v>8334879.24</v>
      </c>
      <c r="H1488" s="4">
        <f t="shared" si="1"/>
        <v>0.8732726533</v>
      </c>
      <c r="I1488" s="4" t="str">
        <f t="shared" si="2"/>
        <v>B</v>
      </c>
    </row>
    <row r="1489">
      <c r="A1489" s="2">
        <v>1488.0</v>
      </c>
      <c r="B1489" s="2">
        <v>21792.0</v>
      </c>
      <c r="C1489" s="2" t="s">
        <v>1699</v>
      </c>
      <c r="D1489" s="2">
        <v>6.75</v>
      </c>
      <c r="E1489" s="2">
        <v>248.0</v>
      </c>
      <c r="F1489" s="2">
        <v>1263.71</v>
      </c>
      <c r="G1489" s="4">
        <f t="shared" si="3"/>
        <v>8336142.95</v>
      </c>
      <c r="H1489" s="4">
        <f t="shared" si="1"/>
        <v>0.8734050564</v>
      </c>
      <c r="I1489" s="4" t="str">
        <f t="shared" si="2"/>
        <v>B</v>
      </c>
    </row>
    <row r="1490">
      <c r="A1490" s="2">
        <v>1489.0</v>
      </c>
      <c r="B1490" s="2">
        <v>23681.0</v>
      </c>
      <c r="C1490" s="2" t="s">
        <v>1700</v>
      </c>
      <c r="D1490" s="2">
        <v>1.65</v>
      </c>
      <c r="E1490" s="2">
        <v>788.0</v>
      </c>
      <c r="F1490" s="2">
        <v>1263.34</v>
      </c>
      <c r="G1490" s="4">
        <f t="shared" si="3"/>
        <v>8337406.29</v>
      </c>
      <c r="H1490" s="4">
        <f t="shared" si="1"/>
        <v>0.8735374206</v>
      </c>
      <c r="I1490" s="4" t="str">
        <f t="shared" si="2"/>
        <v>B</v>
      </c>
    </row>
    <row r="1491">
      <c r="A1491" s="2">
        <v>1490.0</v>
      </c>
      <c r="B1491" s="2">
        <v>22415.0</v>
      </c>
      <c r="C1491" s="2" t="s">
        <v>1701</v>
      </c>
      <c r="D1491" s="2">
        <v>7.95</v>
      </c>
      <c r="E1491" s="2">
        <v>158.0</v>
      </c>
      <c r="F1491" s="2">
        <v>1260.08</v>
      </c>
      <c r="G1491" s="4">
        <f t="shared" si="3"/>
        <v>8338666.37</v>
      </c>
      <c r="H1491" s="4">
        <f t="shared" si="1"/>
        <v>0.8736694434</v>
      </c>
      <c r="I1491" s="4" t="str">
        <f t="shared" si="2"/>
        <v>B</v>
      </c>
    </row>
    <row r="1492">
      <c r="A1492" s="2">
        <v>1491.0</v>
      </c>
      <c r="B1492" s="2">
        <v>21431.0</v>
      </c>
      <c r="C1492" s="2" t="s">
        <v>1702</v>
      </c>
      <c r="D1492" s="2">
        <v>1.65</v>
      </c>
      <c r="E1492" s="2">
        <v>744.0</v>
      </c>
      <c r="F1492" s="2">
        <v>1259.8</v>
      </c>
      <c r="G1492" s="4">
        <f t="shared" si="3"/>
        <v>8339926.17</v>
      </c>
      <c r="H1492" s="4">
        <f t="shared" si="1"/>
        <v>0.8738014367</v>
      </c>
      <c r="I1492" s="4" t="str">
        <f t="shared" si="2"/>
        <v>B</v>
      </c>
    </row>
    <row r="1493">
      <c r="A1493" s="2">
        <v>1492.0</v>
      </c>
      <c r="B1493" s="2">
        <v>23316.0</v>
      </c>
      <c r="C1493" s="2" t="s">
        <v>1703</v>
      </c>
      <c r="D1493" s="2">
        <v>9.95</v>
      </c>
      <c r="E1493" s="2">
        <v>126.0</v>
      </c>
      <c r="F1493" s="2">
        <v>1255.8</v>
      </c>
      <c r="G1493" s="4">
        <f t="shared" si="3"/>
        <v>8341181.97</v>
      </c>
      <c r="H1493" s="4">
        <f t="shared" si="1"/>
        <v>0.873933011</v>
      </c>
      <c r="I1493" s="4" t="str">
        <f t="shared" si="2"/>
        <v>B</v>
      </c>
    </row>
    <row r="1494">
      <c r="A1494" s="2">
        <v>1493.0</v>
      </c>
      <c r="B1494" s="2">
        <v>21323.0</v>
      </c>
      <c r="C1494" s="2" t="s">
        <v>1704</v>
      </c>
      <c r="D1494" s="2">
        <v>4.25</v>
      </c>
      <c r="E1494" s="2">
        <v>370.0</v>
      </c>
      <c r="F1494" s="2">
        <v>1255.57</v>
      </c>
      <c r="G1494" s="4">
        <f t="shared" si="3"/>
        <v>8342437.54</v>
      </c>
      <c r="H1494" s="4">
        <f t="shared" si="1"/>
        <v>0.8740645612</v>
      </c>
      <c r="I1494" s="4" t="str">
        <f t="shared" si="2"/>
        <v>B</v>
      </c>
    </row>
    <row r="1495">
      <c r="A1495" s="2">
        <v>1494.0</v>
      </c>
      <c r="B1495" s="2">
        <v>82567.0</v>
      </c>
      <c r="C1495" s="2" t="s">
        <v>1705</v>
      </c>
      <c r="D1495" s="2">
        <v>2.1</v>
      </c>
      <c r="E1495" s="2">
        <v>605.0</v>
      </c>
      <c r="F1495" s="2">
        <v>1252.64</v>
      </c>
      <c r="G1495" s="4">
        <f t="shared" si="3"/>
        <v>8343690.18</v>
      </c>
      <c r="H1495" s="4">
        <f t="shared" si="1"/>
        <v>0.8741958044</v>
      </c>
      <c r="I1495" s="4" t="str">
        <f t="shared" si="2"/>
        <v>B</v>
      </c>
    </row>
    <row r="1496">
      <c r="A1496" s="2">
        <v>1495.0</v>
      </c>
      <c r="B1496" s="2">
        <v>21288.0</v>
      </c>
      <c r="C1496" s="2" t="s">
        <v>1706</v>
      </c>
      <c r="D1496" s="2">
        <v>2.95</v>
      </c>
      <c r="E1496" s="2">
        <v>480.0</v>
      </c>
      <c r="F1496" s="2">
        <v>1252.56</v>
      </c>
      <c r="G1496" s="4">
        <f t="shared" si="3"/>
        <v>8344942.74</v>
      </c>
      <c r="H1496" s="4">
        <f t="shared" si="1"/>
        <v>0.8743270392</v>
      </c>
      <c r="I1496" s="4" t="str">
        <f t="shared" si="2"/>
        <v>B</v>
      </c>
    </row>
    <row r="1497">
      <c r="A1497" s="2">
        <v>1496.0</v>
      </c>
      <c r="B1497" s="2">
        <v>85054.0</v>
      </c>
      <c r="C1497" s="2" t="s">
        <v>1707</v>
      </c>
      <c r="D1497" s="2">
        <v>2.95</v>
      </c>
      <c r="E1497" s="2">
        <v>459.0</v>
      </c>
      <c r="F1497" s="2">
        <v>1250.46</v>
      </c>
      <c r="G1497" s="4">
        <f t="shared" si="3"/>
        <v>8346193.2</v>
      </c>
      <c r="H1497" s="4">
        <f t="shared" si="1"/>
        <v>0.874458054</v>
      </c>
      <c r="I1497" s="4" t="str">
        <f t="shared" si="2"/>
        <v>B</v>
      </c>
    </row>
    <row r="1498">
      <c r="A1498" s="2">
        <v>1497.0</v>
      </c>
      <c r="B1498" s="2">
        <v>21680.0</v>
      </c>
      <c r="C1498" s="2" t="s">
        <v>1708</v>
      </c>
      <c r="D1498" s="2">
        <v>0.85</v>
      </c>
      <c r="E1498" s="2">
        <v>1435.0</v>
      </c>
      <c r="F1498" s="2">
        <v>1246.94</v>
      </c>
      <c r="G1498" s="4">
        <f t="shared" si="3"/>
        <v>8347440.14</v>
      </c>
      <c r="H1498" s="4">
        <f t="shared" si="1"/>
        <v>0.8745887</v>
      </c>
      <c r="I1498" s="4" t="str">
        <f t="shared" si="2"/>
        <v>B</v>
      </c>
    </row>
    <row r="1499">
      <c r="A1499" s="2">
        <v>1498.0</v>
      </c>
      <c r="B1499" s="2" t="s">
        <v>1709</v>
      </c>
      <c r="C1499" s="2" t="s">
        <v>1710</v>
      </c>
      <c r="D1499" s="2">
        <v>1.65</v>
      </c>
      <c r="E1499" s="2">
        <v>772.0</v>
      </c>
      <c r="F1499" s="2">
        <v>1242.77</v>
      </c>
      <c r="G1499" s="4">
        <f t="shared" si="3"/>
        <v>8348682.91</v>
      </c>
      <c r="H1499" s="4">
        <f t="shared" si="1"/>
        <v>0.8747189091</v>
      </c>
      <c r="I1499" s="4" t="str">
        <f t="shared" si="2"/>
        <v>B</v>
      </c>
    </row>
    <row r="1500">
      <c r="A1500" s="2">
        <v>1499.0</v>
      </c>
      <c r="B1500" s="2">
        <v>23367.0</v>
      </c>
      <c r="C1500" s="2" t="s">
        <v>1711</v>
      </c>
      <c r="D1500" s="2">
        <v>0.65</v>
      </c>
      <c r="E1500" s="2">
        <v>1634.0</v>
      </c>
      <c r="F1500" s="2">
        <v>1242.68</v>
      </c>
      <c r="G1500" s="4">
        <f t="shared" si="3"/>
        <v>8349925.59</v>
      </c>
      <c r="H1500" s="4">
        <f t="shared" si="1"/>
        <v>0.8748491088</v>
      </c>
      <c r="I1500" s="4" t="str">
        <f t="shared" si="2"/>
        <v>B</v>
      </c>
    </row>
    <row r="1501">
      <c r="A1501" s="2">
        <v>1500.0</v>
      </c>
      <c r="B1501" s="2">
        <v>84754.0</v>
      </c>
      <c r="C1501" s="2" t="s">
        <v>1712</v>
      </c>
      <c r="D1501" s="2">
        <v>1.25</v>
      </c>
      <c r="E1501" s="2">
        <v>970.0</v>
      </c>
      <c r="F1501" s="2">
        <v>1242.22</v>
      </c>
      <c r="G1501" s="4">
        <f t="shared" si="3"/>
        <v>8351167.81</v>
      </c>
      <c r="H1501" s="4">
        <f t="shared" si="1"/>
        <v>0.8749792603</v>
      </c>
      <c r="I1501" s="4" t="str">
        <f t="shared" si="2"/>
        <v>B</v>
      </c>
    </row>
    <row r="1502">
      <c r="A1502" s="2">
        <v>1501.0</v>
      </c>
      <c r="B1502" s="2">
        <v>22342.0</v>
      </c>
      <c r="C1502" s="2" t="s">
        <v>1713</v>
      </c>
      <c r="D1502" s="2">
        <v>1.65</v>
      </c>
      <c r="E1502" s="2">
        <v>891.0</v>
      </c>
      <c r="F1502" s="2">
        <v>1241.35</v>
      </c>
      <c r="G1502" s="4">
        <f t="shared" si="3"/>
        <v>8352409.16</v>
      </c>
      <c r="H1502" s="4">
        <f t="shared" si="1"/>
        <v>0.8751093206</v>
      </c>
      <c r="I1502" s="4" t="str">
        <f t="shared" si="2"/>
        <v>B</v>
      </c>
    </row>
    <row r="1503">
      <c r="A1503" s="2">
        <v>1502.0</v>
      </c>
      <c r="B1503" s="2">
        <v>22742.0</v>
      </c>
      <c r="C1503" s="2" t="s">
        <v>1714</v>
      </c>
      <c r="D1503" s="2">
        <v>2.95</v>
      </c>
      <c r="E1503" s="2">
        <v>502.0</v>
      </c>
      <c r="F1503" s="2">
        <v>1239.52</v>
      </c>
      <c r="G1503" s="4">
        <f t="shared" si="3"/>
        <v>8353648.68</v>
      </c>
      <c r="H1503" s="4">
        <f t="shared" si="1"/>
        <v>0.8752391892</v>
      </c>
      <c r="I1503" s="4" t="str">
        <f t="shared" si="2"/>
        <v>B</v>
      </c>
    </row>
    <row r="1504">
      <c r="A1504" s="2">
        <v>1503.0</v>
      </c>
      <c r="B1504" s="2">
        <v>85041.0</v>
      </c>
      <c r="C1504" s="2" t="s">
        <v>1715</v>
      </c>
      <c r="D1504" s="2">
        <v>1.65</v>
      </c>
      <c r="E1504" s="2">
        <v>922.0</v>
      </c>
      <c r="F1504" s="2">
        <v>1238.34</v>
      </c>
      <c r="G1504" s="4">
        <f t="shared" si="3"/>
        <v>8354887.02</v>
      </c>
      <c r="H1504" s="4">
        <f t="shared" si="1"/>
        <v>0.8753689341</v>
      </c>
      <c r="I1504" s="4" t="str">
        <f t="shared" si="2"/>
        <v>B</v>
      </c>
    </row>
    <row r="1505">
      <c r="A1505" s="2">
        <v>1504.0</v>
      </c>
      <c r="B1505" s="2">
        <v>20668.0</v>
      </c>
      <c r="C1505" s="2" t="s">
        <v>1716</v>
      </c>
      <c r="D1505" s="2">
        <v>0.12</v>
      </c>
      <c r="E1505" s="2">
        <v>10559.0</v>
      </c>
      <c r="F1505" s="2">
        <v>1237.46</v>
      </c>
      <c r="G1505" s="4">
        <f t="shared" si="3"/>
        <v>8356124.48</v>
      </c>
      <c r="H1505" s="4">
        <f t="shared" si="1"/>
        <v>0.8754985868</v>
      </c>
      <c r="I1505" s="4" t="str">
        <f t="shared" si="2"/>
        <v>B</v>
      </c>
    </row>
    <row r="1506">
      <c r="A1506" s="2">
        <v>1505.0</v>
      </c>
      <c r="B1506" s="2">
        <v>21642.0</v>
      </c>
      <c r="C1506" s="2" t="s">
        <v>1717</v>
      </c>
      <c r="D1506" s="2">
        <v>0.85</v>
      </c>
      <c r="E1506" s="2">
        <v>2120.0</v>
      </c>
      <c r="F1506" s="2">
        <v>1234.37</v>
      </c>
      <c r="G1506" s="4">
        <f t="shared" si="3"/>
        <v>8357358.85</v>
      </c>
      <c r="H1506" s="4">
        <f t="shared" si="1"/>
        <v>0.8756279158</v>
      </c>
      <c r="I1506" s="4" t="str">
        <f t="shared" si="2"/>
        <v>B</v>
      </c>
    </row>
    <row r="1507">
      <c r="A1507" s="2">
        <v>1506.0</v>
      </c>
      <c r="B1507" s="2">
        <v>22789.0</v>
      </c>
      <c r="C1507" s="2" t="s">
        <v>1718</v>
      </c>
      <c r="D1507" s="2">
        <v>1.95</v>
      </c>
      <c r="E1507" s="2">
        <v>631.0</v>
      </c>
      <c r="F1507" s="2">
        <v>1233.17</v>
      </c>
      <c r="G1507" s="4">
        <f t="shared" si="3"/>
        <v>8358592.02</v>
      </c>
      <c r="H1507" s="4">
        <f t="shared" si="1"/>
        <v>0.8757571191</v>
      </c>
      <c r="I1507" s="4" t="str">
        <f t="shared" si="2"/>
        <v>B</v>
      </c>
    </row>
    <row r="1508">
      <c r="A1508" s="2">
        <v>1507.0</v>
      </c>
      <c r="B1508" s="2">
        <v>23352.0</v>
      </c>
      <c r="C1508" s="2" t="s">
        <v>1719</v>
      </c>
      <c r="D1508" s="2">
        <v>1.25</v>
      </c>
      <c r="E1508" s="2">
        <v>902.0</v>
      </c>
      <c r="F1508" s="2">
        <v>1231.47</v>
      </c>
      <c r="G1508" s="4">
        <f t="shared" si="3"/>
        <v>8359823.49</v>
      </c>
      <c r="H1508" s="4">
        <f t="shared" si="1"/>
        <v>0.8758861443</v>
      </c>
      <c r="I1508" s="4" t="str">
        <f t="shared" si="2"/>
        <v>B</v>
      </c>
    </row>
    <row r="1509">
      <c r="A1509" s="2">
        <v>1508.0</v>
      </c>
      <c r="B1509" s="2">
        <v>21616.0</v>
      </c>
      <c r="C1509" s="2" t="s">
        <v>1720</v>
      </c>
      <c r="D1509" s="2">
        <v>2.46</v>
      </c>
      <c r="E1509" s="2">
        <v>576.0</v>
      </c>
      <c r="F1509" s="2">
        <v>1231.16</v>
      </c>
      <c r="G1509" s="4">
        <f t="shared" si="3"/>
        <v>8361054.65</v>
      </c>
      <c r="H1509" s="4">
        <f t="shared" si="1"/>
        <v>0.8760151369</v>
      </c>
      <c r="I1509" s="4" t="str">
        <f t="shared" si="2"/>
        <v>B</v>
      </c>
    </row>
    <row r="1510">
      <c r="A1510" s="2">
        <v>1509.0</v>
      </c>
      <c r="B1510" s="2">
        <v>21330.0</v>
      </c>
      <c r="C1510" s="2" t="s">
        <v>1721</v>
      </c>
      <c r="D1510" s="2">
        <v>1.65</v>
      </c>
      <c r="E1510" s="2">
        <v>728.0</v>
      </c>
      <c r="F1510" s="2">
        <v>1230.33</v>
      </c>
      <c r="G1510" s="4">
        <f t="shared" si="3"/>
        <v>8362284.98</v>
      </c>
      <c r="H1510" s="4">
        <f t="shared" si="1"/>
        <v>0.8761440426</v>
      </c>
      <c r="I1510" s="4" t="str">
        <f t="shared" si="2"/>
        <v>B</v>
      </c>
    </row>
    <row r="1511">
      <c r="A1511" s="2">
        <v>1510.0</v>
      </c>
      <c r="B1511" s="2">
        <v>21462.0</v>
      </c>
      <c r="C1511" s="2" t="s">
        <v>1722</v>
      </c>
      <c r="D1511" s="2">
        <v>6.75</v>
      </c>
      <c r="E1511" s="2">
        <v>209.0</v>
      </c>
      <c r="F1511" s="2">
        <v>1229.58</v>
      </c>
      <c r="G1511" s="4">
        <f t="shared" si="3"/>
        <v>8363514.56</v>
      </c>
      <c r="H1511" s="4">
        <f t="shared" si="1"/>
        <v>0.8762728698</v>
      </c>
      <c r="I1511" s="4" t="str">
        <f t="shared" si="2"/>
        <v>B</v>
      </c>
    </row>
    <row r="1512">
      <c r="A1512" s="2">
        <v>1511.0</v>
      </c>
      <c r="B1512" s="2">
        <v>21203.0</v>
      </c>
      <c r="C1512" s="2" t="s">
        <v>1723</v>
      </c>
      <c r="D1512" s="2">
        <v>1.65</v>
      </c>
      <c r="E1512" s="2">
        <v>746.0</v>
      </c>
      <c r="F1512" s="2">
        <v>1229.52</v>
      </c>
      <c r="G1512" s="4">
        <f t="shared" si="3"/>
        <v>8364744.08</v>
      </c>
      <c r="H1512" s="4">
        <f t="shared" si="1"/>
        <v>0.8764016906</v>
      </c>
      <c r="I1512" s="4" t="str">
        <f t="shared" si="2"/>
        <v>B</v>
      </c>
    </row>
    <row r="1513">
      <c r="A1513" s="2">
        <v>1512.0</v>
      </c>
      <c r="B1513" s="2">
        <v>22153.0</v>
      </c>
      <c r="C1513" s="2" t="s">
        <v>1724</v>
      </c>
      <c r="D1513" s="2">
        <v>0.42</v>
      </c>
      <c r="E1513" s="2">
        <v>2837.0</v>
      </c>
      <c r="F1513" s="2">
        <v>1228.07</v>
      </c>
      <c r="G1513" s="4">
        <f t="shared" si="3"/>
        <v>8365972.15</v>
      </c>
      <c r="H1513" s="4">
        <f t="shared" si="1"/>
        <v>0.8765303595</v>
      </c>
      <c r="I1513" s="4" t="str">
        <f t="shared" si="2"/>
        <v>B</v>
      </c>
    </row>
    <row r="1514">
      <c r="A1514" s="2">
        <v>1513.0</v>
      </c>
      <c r="B1514" s="2" t="s">
        <v>1725</v>
      </c>
      <c r="C1514" s="2" t="s">
        <v>1726</v>
      </c>
      <c r="D1514" s="2">
        <v>3.75</v>
      </c>
      <c r="E1514" s="2">
        <v>1390.0</v>
      </c>
      <c r="F1514" s="2">
        <v>1228.05</v>
      </c>
      <c r="G1514" s="4">
        <f t="shared" si="3"/>
        <v>8367200.2</v>
      </c>
      <c r="H1514" s="4">
        <f t="shared" si="1"/>
        <v>0.8766590264</v>
      </c>
      <c r="I1514" s="4" t="str">
        <f t="shared" si="2"/>
        <v>B</v>
      </c>
    </row>
    <row r="1515">
      <c r="A1515" s="2">
        <v>1514.0</v>
      </c>
      <c r="B1515" s="2">
        <v>22676.0</v>
      </c>
      <c r="C1515" s="2" t="s">
        <v>1727</v>
      </c>
      <c r="D1515" s="2">
        <v>1.25</v>
      </c>
      <c r="E1515" s="2">
        <v>910.0</v>
      </c>
      <c r="F1515" s="2">
        <v>1226.86</v>
      </c>
      <c r="G1515" s="4">
        <f t="shared" si="3"/>
        <v>8368427.06</v>
      </c>
      <c r="H1515" s="4">
        <f t="shared" si="1"/>
        <v>0.8767875685</v>
      </c>
      <c r="I1515" s="4" t="str">
        <f t="shared" si="2"/>
        <v>B</v>
      </c>
    </row>
    <row r="1516">
      <c r="A1516" s="2">
        <v>1515.0</v>
      </c>
      <c r="B1516" s="2">
        <v>22852.0</v>
      </c>
      <c r="C1516" s="2" t="s">
        <v>1728</v>
      </c>
      <c r="D1516" s="2">
        <v>4.25</v>
      </c>
      <c r="E1516" s="2">
        <v>280.0</v>
      </c>
      <c r="F1516" s="2">
        <v>1225.06</v>
      </c>
      <c r="G1516" s="4">
        <f t="shared" si="3"/>
        <v>8369652.12</v>
      </c>
      <c r="H1516" s="4">
        <f t="shared" si="1"/>
        <v>0.8769159221</v>
      </c>
      <c r="I1516" s="4" t="str">
        <f t="shared" si="2"/>
        <v>B</v>
      </c>
    </row>
    <row r="1517">
      <c r="A1517" s="2">
        <v>1516.0</v>
      </c>
      <c r="B1517" s="2">
        <v>22091.0</v>
      </c>
      <c r="C1517" s="2" t="s">
        <v>1729</v>
      </c>
      <c r="D1517" s="2">
        <v>1.25</v>
      </c>
      <c r="E1517" s="2">
        <v>1577.0</v>
      </c>
      <c r="F1517" s="2">
        <v>1223.86</v>
      </c>
      <c r="G1517" s="4">
        <f t="shared" si="3"/>
        <v>8370875.98</v>
      </c>
      <c r="H1517" s="4">
        <f t="shared" si="1"/>
        <v>0.8770441499</v>
      </c>
      <c r="I1517" s="4" t="str">
        <f t="shared" si="2"/>
        <v>B</v>
      </c>
    </row>
    <row r="1518">
      <c r="A1518" s="2">
        <v>1517.0</v>
      </c>
      <c r="B1518" s="2">
        <v>22911.0</v>
      </c>
      <c r="C1518" s="2" t="s">
        <v>1730</v>
      </c>
      <c r="D1518" s="2">
        <v>2.95</v>
      </c>
      <c r="E1518" s="2">
        <v>425.0</v>
      </c>
      <c r="F1518" s="2">
        <v>1222.75</v>
      </c>
      <c r="G1518" s="4">
        <f t="shared" si="3"/>
        <v>8372098.73</v>
      </c>
      <c r="H1518" s="4">
        <f t="shared" si="1"/>
        <v>0.8771722614</v>
      </c>
      <c r="I1518" s="4" t="str">
        <f t="shared" si="2"/>
        <v>B</v>
      </c>
    </row>
    <row r="1519">
      <c r="A1519" s="2">
        <v>1518.0</v>
      </c>
      <c r="B1519" s="2" t="s">
        <v>1731</v>
      </c>
      <c r="C1519" s="2" t="s">
        <v>1732</v>
      </c>
      <c r="D1519" s="2">
        <v>4.25</v>
      </c>
      <c r="E1519" s="2">
        <v>316.0</v>
      </c>
      <c r="F1519" s="2">
        <v>1221.36</v>
      </c>
      <c r="G1519" s="4">
        <f t="shared" si="3"/>
        <v>8373320.09</v>
      </c>
      <c r="H1519" s="4">
        <f t="shared" si="1"/>
        <v>0.8773002273</v>
      </c>
      <c r="I1519" s="4" t="str">
        <f t="shared" si="2"/>
        <v>B</v>
      </c>
    </row>
    <row r="1520">
      <c r="A1520" s="2">
        <v>1519.0</v>
      </c>
      <c r="B1520" s="2">
        <v>22990.0</v>
      </c>
      <c r="C1520" s="2" t="s">
        <v>1733</v>
      </c>
      <c r="D1520" s="2">
        <v>4.95</v>
      </c>
      <c r="E1520" s="2">
        <v>261.0</v>
      </c>
      <c r="F1520" s="2">
        <v>1218.99</v>
      </c>
      <c r="G1520" s="4">
        <f t="shared" si="3"/>
        <v>8374539.08</v>
      </c>
      <c r="H1520" s="4">
        <f t="shared" si="1"/>
        <v>0.8774279449</v>
      </c>
      <c r="I1520" s="4" t="str">
        <f t="shared" si="2"/>
        <v>B</v>
      </c>
    </row>
    <row r="1521">
      <c r="A1521" s="2">
        <v>1520.0</v>
      </c>
      <c r="B1521" s="2" t="s">
        <v>1734</v>
      </c>
      <c r="C1521" s="2" t="s">
        <v>1735</v>
      </c>
      <c r="D1521" s="2">
        <v>3.75</v>
      </c>
      <c r="E1521" s="2">
        <v>322.0</v>
      </c>
      <c r="F1521" s="2">
        <v>1218.84</v>
      </c>
      <c r="G1521" s="4">
        <f t="shared" si="3"/>
        <v>8375757.92</v>
      </c>
      <c r="H1521" s="4">
        <f t="shared" si="1"/>
        <v>0.8775556468</v>
      </c>
      <c r="I1521" s="4" t="str">
        <f t="shared" si="2"/>
        <v>B</v>
      </c>
    </row>
    <row r="1522">
      <c r="A1522" s="2">
        <v>1521.0</v>
      </c>
      <c r="B1522" s="2">
        <v>22021.0</v>
      </c>
      <c r="C1522" s="2" t="s">
        <v>1736</v>
      </c>
      <c r="D1522" s="2">
        <v>1.65</v>
      </c>
      <c r="E1522" s="2">
        <v>708.0</v>
      </c>
      <c r="F1522" s="2">
        <v>1216.8</v>
      </c>
      <c r="G1522" s="4">
        <f t="shared" si="3"/>
        <v>8376974.72</v>
      </c>
      <c r="H1522" s="4">
        <f t="shared" si="1"/>
        <v>0.8776831349</v>
      </c>
      <c r="I1522" s="4" t="str">
        <f t="shared" si="2"/>
        <v>B</v>
      </c>
    </row>
    <row r="1523">
      <c r="A1523" s="2">
        <v>1522.0</v>
      </c>
      <c r="B1523" s="2">
        <v>21274.0</v>
      </c>
      <c r="C1523" s="2" t="s">
        <v>1737</v>
      </c>
      <c r="D1523" s="2">
        <v>12.75</v>
      </c>
      <c r="E1523" s="2">
        <v>88.0</v>
      </c>
      <c r="F1523" s="2">
        <v>1216.72</v>
      </c>
      <c r="G1523" s="4">
        <f t="shared" si="3"/>
        <v>8378191.44</v>
      </c>
      <c r="H1523" s="4">
        <f t="shared" si="1"/>
        <v>0.8778106147</v>
      </c>
      <c r="I1523" s="4" t="str">
        <f t="shared" si="2"/>
        <v>B</v>
      </c>
    </row>
    <row r="1524">
      <c r="A1524" s="2">
        <v>1523.0</v>
      </c>
      <c r="B1524" s="2">
        <v>21809.0</v>
      </c>
      <c r="C1524" s="2" t="s">
        <v>1738</v>
      </c>
      <c r="D1524" s="2">
        <v>1.25</v>
      </c>
      <c r="E1524" s="2">
        <v>1510.0</v>
      </c>
      <c r="F1524" s="2">
        <v>1216.02</v>
      </c>
      <c r="G1524" s="4">
        <f t="shared" si="3"/>
        <v>8379407.46</v>
      </c>
      <c r="H1524" s="4">
        <f t="shared" si="1"/>
        <v>0.8779380211</v>
      </c>
      <c r="I1524" s="4" t="str">
        <f t="shared" si="2"/>
        <v>B</v>
      </c>
    </row>
    <row r="1525">
      <c r="A1525" s="2">
        <v>1524.0</v>
      </c>
      <c r="B1525" s="2">
        <v>84840.0</v>
      </c>
      <c r="C1525" s="2" t="s">
        <v>1739</v>
      </c>
      <c r="D1525" s="2">
        <v>8.5</v>
      </c>
      <c r="E1525" s="2">
        <v>141.0</v>
      </c>
      <c r="F1525" s="2">
        <v>1215.41</v>
      </c>
      <c r="G1525" s="4">
        <f t="shared" si="3"/>
        <v>8380622.87</v>
      </c>
      <c r="H1525" s="4">
        <f t="shared" si="1"/>
        <v>0.8780653636</v>
      </c>
      <c r="I1525" s="4" t="str">
        <f t="shared" si="2"/>
        <v>B</v>
      </c>
    </row>
    <row r="1526">
      <c r="A1526" s="2">
        <v>1525.0</v>
      </c>
      <c r="B1526" s="2">
        <v>22613.0</v>
      </c>
      <c r="C1526" s="2" t="s">
        <v>1740</v>
      </c>
      <c r="D1526" s="2">
        <v>0.85</v>
      </c>
      <c r="E1526" s="2">
        <v>1528.0</v>
      </c>
      <c r="F1526" s="2">
        <v>1211.58</v>
      </c>
      <c r="G1526" s="4">
        <f t="shared" si="3"/>
        <v>8381834.45</v>
      </c>
      <c r="H1526" s="4">
        <f t="shared" si="1"/>
        <v>0.8781923048</v>
      </c>
      <c r="I1526" s="4" t="str">
        <f t="shared" si="2"/>
        <v>B</v>
      </c>
    </row>
    <row r="1527">
      <c r="A1527" s="2">
        <v>1526.0</v>
      </c>
      <c r="B1527" s="2">
        <v>21924.0</v>
      </c>
      <c r="C1527" s="2" t="s">
        <v>1741</v>
      </c>
      <c r="D1527" s="2">
        <v>7.95</v>
      </c>
      <c r="E1527" s="2">
        <v>154.0</v>
      </c>
      <c r="F1527" s="2">
        <v>1211.53</v>
      </c>
      <c r="G1527" s="4">
        <f t="shared" si="3"/>
        <v>8383045.98</v>
      </c>
      <c r="H1527" s="4">
        <f t="shared" si="1"/>
        <v>0.8783192408</v>
      </c>
      <c r="I1527" s="4" t="str">
        <f t="shared" si="2"/>
        <v>B</v>
      </c>
    </row>
    <row r="1528">
      <c r="A1528" s="2">
        <v>1527.0</v>
      </c>
      <c r="B1528" s="2">
        <v>23406.0</v>
      </c>
      <c r="C1528" s="2" t="s">
        <v>1742</v>
      </c>
      <c r="D1528" s="2">
        <v>6.25</v>
      </c>
      <c r="E1528" s="2">
        <v>228.0</v>
      </c>
      <c r="F1528" s="2">
        <v>1211.33</v>
      </c>
      <c r="G1528" s="4">
        <f t="shared" si="3"/>
        <v>8384257.31</v>
      </c>
      <c r="H1528" s="4">
        <f t="shared" si="1"/>
        <v>0.8784461558</v>
      </c>
      <c r="I1528" s="4" t="str">
        <f t="shared" si="2"/>
        <v>B</v>
      </c>
    </row>
    <row r="1529">
      <c r="A1529" s="2">
        <v>1528.0</v>
      </c>
      <c r="B1529" s="2">
        <v>21106.0</v>
      </c>
      <c r="C1529" s="2" t="s">
        <v>1743</v>
      </c>
      <c r="D1529" s="2">
        <v>2.95</v>
      </c>
      <c r="E1529" s="2">
        <v>395.0</v>
      </c>
      <c r="F1529" s="2">
        <v>1209.84</v>
      </c>
      <c r="G1529" s="4">
        <f t="shared" si="3"/>
        <v>8385467.15</v>
      </c>
      <c r="H1529" s="4">
        <f t="shared" si="1"/>
        <v>0.8785729147</v>
      </c>
      <c r="I1529" s="4" t="str">
        <f t="shared" si="2"/>
        <v>B</v>
      </c>
    </row>
    <row r="1530">
      <c r="A1530" s="2">
        <v>1529.0</v>
      </c>
      <c r="B1530" s="2">
        <v>21823.0</v>
      </c>
      <c r="C1530" s="2" t="s">
        <v>1744</v>
      </c>
      <c r="D1530" s="2">
        <v>1.45</v>
      </c>
      <c r="E1530" s="2">
        <v>1224.0</v>
      </c>
      <c r="F1530" s="2">
        <v>1209.55</v>
      </c>
      <c r="G1530" s="4">
        <f t="shared" si="3"/>
        <v>8386676.7</v>
      </c>
      <c r="H1530" s="4">
        <f t="shared" si="1"/>
        <v>0.8786996432</v>
      </c>
      <c r="I1530" s="4" t="str">
        <f t="shared" si="2"/>
        <v>B</v>
      </c>
    </row>
    <row r="1531">
      <c r="A1531" s="2">
        <v>1530.0</v>
      </c>
      <c r="B1531" s="2">
        <v>22540.0</v>
      </c>
      <c r="C1531" s="2" t="s">
        <v>1745</v>
      </c>
      <c r="D1531" s="2">
        <v>0.42</v>
      </c>
      <c r="E1531" s="2">
        <v>3081.0</v>
      </c>
      <c r="F1531" s="2">
        <v>1205.14</v>
      </c>
      <c r="G1531" s="4">
        <f t="shared" si="3"/>
        <v>8387881.84</v>
      </c>
      <c r="H1531" s="4">
        <f t="shared" si="1"/>
        <v>0.8788259097</v>
      </c>
      <c r="I1531" s="4" t="str">
        <f t="shared" si="2"/>
        <v>B</v>
      </c>
    </row>
    <row r="1532">
      <c r="A1532" s="2">
        <v>1531.0</v>
      </c>
      <c r="B1532" s="2">
        <v>22448.0</v>
      </c>
      <c r="C1532" s="2" t="s">
        <v>1746</v>
      </c>
      <c r="D1532" s="2">
        <v>3.35</v>
      </c>
      <c r="E1532" s="2">
        <v>374.0</v>
      </c>
      <c r="F1532" s="2">
        <v>1203.32</v>
      </c>
      <c r="G1532" s="4">
        <f t="shared" si="3"/>
        <v>8389085.16</v>
      </c>
      <c r="H1532" s="4">
        <f t="shared" si="1"/>
        <v>0.8789519855</v>
      </c>
      <c r="I1532" s="4" t="str">
        <f t="shared" si="2"/>
        <v>B</v>
      </c>
    </row>
    <row r="1533">
      <c r="A1533" s="2">
        <v>1532.0</v>
      </c>
      <c r="B1533" s="2">
        <v>21439.0</v>
      </c>
      <c r="C1533" s="2" t="s">
        <v>1747</v>
      </c>
      <c r="D1533" s="2">
        <v>1.25</v>
      </c>
      <c r="E1533" s="2">
        <v>926.0</v>
      </c>
      <c r="F1533" s="2">
        <v>1203.16</v>
      </c>
      <c r="G1533" s="4">
        <f t="shared" si="3"/>
        <v>8390288.32</v>
      </c>
      <c r="H1533" s="4">
        <f t="shared" si="1"/>
        <v>0.8790780445</v>
      </c>
      <c r="I1533" s="4" t="str">
        <f t="shared" si="2"/>
        <v>B</v>
      </c>
    </row>
    <row r="1534">
      <c r="A1534" s="2">
        <v>1533.0</v>
      </c>
      <c r="B1534" s="2">
        <v>23265.0</v>
      </c>
      <c r="C1534" s="2" t="s">
        <v>1748</v>
      </c>
      <c r="D1534" s="2">
        <v>1.25</v>
      </c>
      <c r="E1534" s="2">
        <v>885.0</v>
      </c>
      <c r="F1534" s="2">
        <v>1203.02</v>
      </c>
      <c r="G1534" s="4">
        <f t="shared" si="3"/>
        <v>8391491.34</v>
      </c>
      <c r="H1534" s="4">
        <f t="shared" si="1"/>
        <v>0.8792040888</v>
      </c>
      <c r="I1534" s="4" t="str">
        <f t="shared" si="2"/>
        <v>B</v>
      </c>
    </row>
    <row r="1535">
      <c r="A1535" s="2">
        <v>1534.0</v>
      </c>
      <c r="B1535" s="2">
        <v>22537.0</v>
      </c>
      <c r="C1535" s="2" t="s">
        <v>1749</v>
      </c>
      <c r="D1535" s="2">
        <v>0.42</v>
      </c>
      <c r="E1535" s="2">
        <v>2909.0</v>
      </c>
      <c r="F1535" s="2">
        <v>1201.42</v>
      </c>
      <c r="G1535" s="4">
        <f t="shared" si="3"/>
        <v>8392692.76</v>
      </c>
      <c r="H1535" s="4">
        <f t="shared" si="1"/>
        <v>0.8793299656</v>
      </c>
      <c r="I1535" s="4" t="str">
        <f t="shared" si="2"/>
        <v>B</v>
      </c>
    </row>
    <row r="1536">
      <c r="A1536" s="2">
        <v>1535.0</v>
      </c>
      <c r="B1536" s="2">
        <v>21973.0</v>
      </c>
      <c r="C1536" s="2" t="s">
        <v>1750</v>
      </c>
      <c r="D1536" s="2">
        <v>1.45</v>
      </c>
      <c r="E1536" s="2">
        <v>828.0</v>
      </c>
      <c r="F1536" s="2">
        <v>1200.59</v>
      </c>
      <c r="G1536" s="4">
        <f t="shared" si="3"/>
        <v>8393893.35</v>
      </c>
      <c r="H1536" s="4">
        <f t="shared" si="1"/>
        <v>0.8794557553</v>
      </c>
      <c r="I1536" s="4" t="str">
        <f t="shared" si="2"/>
        <v>B</v>
      </c>
    </row>
    <row r="1537">
      <c r="A1537" s="2">
        <v>1536.0</v>
      </c>
      <c r="B1537" s="2">
        <v>22829.0</v>
      </c>
      <c r="C1537" s="2" t="s">
        <v>1751</v>
      </c>
      <c r="D1537" s="2">
        <v>9.95</v>
      </c>
      <c r="E1537" s="2">
        <v>116.0</v>
      </c>
      <c r="F1537" s="2">
        <v>1200.28</v>
      </c>
      <c r="G1537" s="4">
        <f t="shared" si="3"/>
        <v>8395093.63</v>
      </c>
      <c r="H1537" s="4">
        <f t="shared" si="1"/>
        <v>0.8795815126</v>
      </c>
      <c r="I1537" s="4" t="str">
        <f t="shared" si="2"/>
        <v>B</v>
      </c>
    </row>
    <row r="1538">
      <c r="A1538" s="2">
        <v>1537.0</v>
      </c>
      <c r="B1538" s="2">
        <v>85059.0</v>
      </c>
      <c r="C1538" s="2" t="s">
        <v>1752</v>
      </c>
      <c r="D1538" s="2">
        <v>3.75</v>
      </c>
      <c r="E1538" s="2">
        <v>350.0</v>
      </c>
      <c r="F1538" s="2">
        <v>1199.94</v>
      </c>
      <c r="G1538" s="4">
        <f t="shared" si="3"/>
        <v>8396293.57</v>
      </c>
      <c r="H1538" s="4">
        <f t="shared" si="1"/>
        <v>0.8797072342</v>
      </c>
      <c r="I1538" s="4" t="str">
        <f t="shared" si="2"/>
        <v>B</v>
      </c>
    </row>
    <row r="1539">
      <c r="A1539" s="2">
        <v>1538.0</v>
      </c>
      <c r="B1539" s="2">
        <v>23400.0</v>
      </c>
      <c r="C1539" s="2" t="s">
        <v>1753</v>
      </c>
      <c r="D1539" s="2">
        <v>6.25</v>
      </c>
      <c r="E1539" s="2">
        <v>230.0</v>
      </c>
      <c r="F1539" s="2">
        <v>1198.42</v>
      </c>
      <c r="G1539" s="4">
        <f t="shared" si="3"/>
        <v>8397491.99</v>
      </c>
      <c r="H1539" s="4">
        <f t="shared" si="1"/>
        <v>0.8798327966</v>
      </c>
      <c r="I1539" s="4" t="str">
        <f t="shared" si="2"/>
        <v>B</v>
      </c>
    </row>
    <row r="1540">
      <c r="A1540" s="2">
        <v>1539.0</v>
      </c>
      <c r="B1540" s="2">
        <v>22362.0</v>
      </c>
      <c r="C1540" s="2" t="s">
        <v>1754</v>
      </c>
      <c r="D1540" s="2">
        <v>2.95</v>
      </c>
      <c r="E1540" s="2">
        <v>370.0</v>
      </c>
      <c r="F1540" s="2">
        <v>1196.42</v>
      </c>
      <c r="G1540" s="4">
        <f t="shared" si="3"/>
        <v>8398688.41</v>
      </c>
      <c r="H1540" s="4">
        <f t="shared" si="1"/>
        <v>0.8799581495</v>
      </c>
      <c r="I1540" s="4" t="str">
        <f t="shared" si="2"/>
        <v>B</v>
      </c>
    </row>
    <row r="1541">
      <c r="A1541" s="2">
        <v>1540.0</v>
      </c>
      <c r="B1541" s="2">
        <v>23028.0</v>
      </c>
      <c r="C1541" s="2" t="s">
        <v>1755</v>
      </c>
      <c r="D1541" s="2">
        <v>1.65</v>
      </c>
      <c r="E1541" s="2">
        <v>688.0</v>
      </c>
      <c r="F1541" s="2">
        <v>1193.51</v>
      </c>
      <c r="G1541" s="4">
        <f t="shared" si="3"/>
        <v>8399881.92</v>
      </c>
      <c r="H1541" s="4">
        <f t="shared" si="1"/>
        <v>0.8800831974</v>
      </c>
      <c r="I1541" s="4" t="str">
        <f t="shared" si="2"/>
        <v>B</v>
      </c>
    </row>
    <row r="1542">
      <c r="A1542" s="2">
        <v>1541.0</v>
      </c>
      <c r="B1542" s="2">
        <v>21540.0</v>
      </c>
      <c r="C1542" s="2" t="s">
        <v>1756</v>
      </c>
      <c r="D1542" s="2">
        <v>4.25</v>
      </c>
      <c r="E1542" s="2">
        <v>660.0</v>
      </c>
      <c r="F1542" s="2">
        <v>1191.1</v>
      </c>
      <c r="G1542" s="4">
        <f t="shared" si="3"/>
        <v>8401073.02</v>
      </c>
      <c r="H1542" s="4">
        <f t="shared" si="1"/>
        <v>0.8802079929</v>
      </c>
      <c r="I1542" s="4" t="str">
        <f t="shared" si="2"/>
        <v>B</v>
      </c>
    </row>
    <row r="1543">
      <c r="A1543" s="2">
        <v>1542.0</v>
      </c>
      <c r="B1543" s="2">
        <v>22986.0</v>
      </c>
      <c r="C1543" s="2" t="s">
        <v>1757</v>
      </c>
      <c r="D1543" s="2">
        <v>0.42</v>
      </c>
      <c r="E1543" s="2">
        <v>2885.0</v>
      </c>
      <c r="F1543" s="2">
        <v>1189.7</v>
      </c>
      <c r="G1543" s="4">
        <f t="shared" si="3"/>
        <v>8402262.72</v>
      </c>
      <c r="H1543" s="4">
        <f t="shared" si="1"/>
        <v>0.8803326417</v>
      </c>
      <c r="I1543" s="4" t="str">
        <f t="shared" si="2"/>
        <v>B</v>
      </c>
    </row>
    <row r="1544">
      <c r="A1544" s="2">
        <v>1543.0</v>
      </c>
      <c r="B1544" s="2" t="s">
        <v>1758</v>
      </c>
      <c r="C1544" s="2" t="s">
        <v>1759</v>
      </c>
      <c r="D1544" s="2">
        <v>7.95</v>
      </c>
      <c r="E1544" s="2">
        <v>149.0</v>
      </c>
      <c r="F1544" s="2">
        <v>1189.54</v>
      </c>
      <c r="G1544" s="4">
        <f t="shared" si="3"/>
        <v>8403452.26</v>
      </c>
      <c r="H1544" s="4">
        <f t="shared" si="1"/>
        <v>0.8804572737</v>
      </c>
      <c r="I1544" s="4" t="str">
        <f t="shared" si="2"/>
        <v>B</v>
      </c>
    </row>
    <row r="1545">
      <c r="A1545" s="2">
        <v>1544.0</v>
      </c>
      <c r="B1545" s="2">
        <v>22566.0</v>
      </c>
      <c r="C1545" s="2" t="s">
        <v>1760</v>
      </c>
      <c r="D1545" s="2">
        <v>0.85</v>
      </c>
      <c r="E1545" s="2">
        <v>1421.0</v>
      </c>
      <c r="F1545" s="2">
        <v>1189.46</v>
      </c>
      <c r="G1545" s="4">
        <f t="shared" si="3"/>
        <v>8404641.72</v>
      </c>
      <c r="H1545" s="4">
        <f t="shared" si="1"/>
        <v>0.8805818973</v>
      </c>
      <c r="I1545" s="4" t="str">
        <f t="shared" si="2"/>
        <v>B</v>
      </c>
    </row>
    <row r="1546">
      <c r="A1546" s="2">
        <v>1545.0</v>
      </c>
      <c r="B1546" s="2">
        <v>23498.0</v>
      </c>
      <c r="C1546" s="2" t="s">
        <v>1761</v>
      </c>
      <c r="D1546" s="2">
        <v>1.45</v>
      </c>
      <c r="E1546" s="2">
        <v>822.0</v>
      </c>
      <c r="F1546" s="2">
        <v>1189.24</v>
      </c>
      <c r="G1546" s="4">
        <f t="shared" si="3"/>
        <v>8405830.96</v>
      </c>
      <c r="H1546" s="4">
        <f t="shared" si="1"/>
        <v>0.8807064979</v>
      </c>
      <c r="I1546" s="4" t="str">
        <f t="shared" si="2"/>
        <v>B</v>
      </c>
    </row>
    <row r="1547">
      <c r="A1547" s="2">
        <v>1546.0</v>
      </c>
      <c r="B1547" s="2">
        <v>21789.0</v>
      </c>
      <c r="C1547" s="2" t="s">
        <v>1762</v>
      </c>
      <c r="D1547" s="2">
        <v>0.85</v>
      </c>
      <c r="E1547" s="2">
        <v>1425.0</v>
      </c>
      <c r="F1547" s="2">
        <v>1188.78</v>
      </c>
      <c r="G1547" s="4">
        <f t="shared" si="3"/>
        <v>8407019.74</v>
      </c>
      <c r="H1547" s="4">
        <f t="shared" si="1"/>
        <v>0.8808310503</v>
      </c>
      <c r="I1547" s="4" t="str">
        <f t="shared" si="2"/>
        <v>B</v>
      </c>
    </row>
    <row r="1548">
      <c r="A1548" s="2">
        <v>1547.0</v>
      </c>
      <c r="B1548" s="2">
        <v>23437.0</v>
      </c>
      <c r="C1548" s="2" t="s">
        <v>1763</v>
      </c>
      <c r="D1548" s="2">
        <v>1.25</v>
      </c>
      <c r="E1548" s="2">
        <v>970.0</v>
      </c>
      <c r="F1548" s="2">
        <v>1186.82</v>
      </c>
      <c r="G1548" s="4">
        <f t="shared" si="3"/>
        <v>8408206.56</v>
      </c>
      <c r="H1548" s="4">
        <f t="shared" si="1"/>
        <v>0.8809553973</v>
      </c>
      <c r="I1548" s="4" t="str">
        <f t="shared" si="2"/>
        <v>B</v>
      </c>
    </row>
    <row r="1549">
      <c r="A1549" s="2">
        <v>1548.0</v>
      </c>
      <c r="B1549" s="2">
        <v>47570.0</v>
      </c>
      <c r="C1549" s="2" t="s">
        <v>1764</v>
      </c>
      <c r="D1549" s="2">
        <v>10.65</v>
      </c>
      <c r="E1549" s="2">
        <v>110.0</v>
      </c>
      <c r="F1549" s="2">
        <v>1186.51</v>
      </c>
      <c r="G1549" s="4">
        <f t="shared" si="3"/>
        <v>8409393.07</v>
      </c>
      <c r="H1549" s="4">
        <f t="shared" si="1"/>
        <v>0.8810797118</v>
      </c>
      <c r="I1549" s="4" t="str">
        <f t="shared" si="2"/>
        <v>B</v>
      </c>
    </row>
    <row r="1550">
      <c r="A1550" s="2">
        <v>1549.0</v>
      </c>
      <c r="B1550" s="2" t="s">
        <v>1765</v>
      </c>
      <c r="C1550" s="2" t="s">
        <v>1766</v>
      </c>
      <c r="D1550" s="2">
        <v>4.25</v>
      </c>
      <c r="E1550" s="2">
        <v>424.0</v>
      </c>
      <c r="F1550" s="2">
        <v>1184.29</v>
      </c>
      <c r="G1550" s="4">
        <f t="shared" si="3"/>
        <v>8410577.36</v>
      </c>
      <c r="H1550" s="4">
        <f t="shared" si="1"/>
        <v>0.8812037938</v>
      </c>
      <c r="I1550" s="4" t="str">
        <f t="shared" si="2"/>
        <v>B</v>
      </c>
    </row>
    <row r="1551">
      <c r="A1551" s="2">
        <v>1550.0</v>
      </c>
      <c r="B1551" s="2">
        <v>10133.0</v>
      </c>
      <c r="C1551" s="2" t="s">
        <v>1097</v>
      </c>
      <c r="D1551" s="2">
        <v>0.83</v>
      </c>
      <c r="E1551" s="2">
        <v>1914.0</v>
      </c>
      <c r="F1551" s="2">
        <v>1182.59</v>
      </c>
      <c r="G1551" s="4">
        <f t="shared" si="3"/>
        <v>8411759.95</v>
      </c>
      <c r="H1551" s="4">
        <f t="shared" si="1"/>
        <v>0.8813276976</v>
      </c>
      <c r="I1551" s="4" t="str">
        <f t="shared" si="2"/>
        <v>B</v>
      </c>
    </row>
    <row r="1552">
      <c r="A1552" s="2">
        <v>1551.0</v>
      </c>
      <c r="B1552" s="2">
        <v>21468.0</v>
      </c>
      <c r="C1552" s="2" t="s">
        <v>1767</v>
      </c>
      <c r="D1552" s="2">
        <v>3.75</v>
      </c>
      <c r="E1552" s="2">
        <v>334.0</v>
      </c>
      <c r="F1552" s="2">
        <v>1180.7</v>
      </c>
      <c r="G1552" s="4">
        <f t="shared" si="3"/>
        <v>8412940.65</v>
      </c>
      <c r="H1552" s="4">
        <f t="shared" si="1"/>
        <v>0.8814514034</v>
      </c>
      <c r="I1552" s="4" t="str">
        <f t="shared" si="2"/>
        <v>B</v>
      </c>
    </row>
    <row r="1553">
      <c r="A1553" s="2">
        <v>1552.0</v>
      </c>
      <c r="B1553" s="2">
        <v>22321.0</v>
      </c>
      <c r="C1553" s="2" t="s">
        <v>1768</v>
      </c>
      <c r="D1553" s="2">
        <v>0.85</v>
      </c>
      <c r="E1553" s="2">
        <v>1276.0</v>
      </c>
      <c r="F1553" s="2">
        <v>1180.18</v>
      </c>
      <c r="G1553" s="4">
        <f t="shared" si="3"/>
        <v>8414120.83</v>
      </c>
      <c r="H1553" s="4">
        <f t="shared" si="1"/>
        <v>0.8815750548</v>
      </c>
      <c r="I1553" s="4" t="str">
        <f t="shared" si="2"/>
        <v>B</v>
      </c>
    </row>
    <row r="1554">
      <c r="A1554" s="2">
        <v>1553.0</v>
      </c>
      <c r="B1554" s="2">
        <v>22642.0</v>
      </c>
      <c r="C1554" s="2" t="s">
        <v>1769</v>
      </c>
      <c r="D1554" s="2">
        <v>2.55</v>
      </c>
      <c r="E1554" s="2">
        <v>496.0</v>
      </c>
      <c r="F1554" s="2">
        <v>1179.34</v>
      </c>
      <c r="G1554" s="4">
        <f t="shared" si="3"/>
        <v>8415300.17</v>
      </c>
      <c r="H1554" s="4">
        <f t="shared" si="1"/>
        <v>0.8816986181</v>
      </c>
      <c r="I1554" s="4" t="str">
        <f t="shared" si="2"/>
        <v>B</v>
      </c>
    </row>
    <row r="1555">
      <c r="A1555" s="2">
        <v>1554.0</v>
      </c>
      <c r="B1555" s="2">
        <v>21262.0</v>
      </c>
      <c r="C1555" s="2" t="s">
        <v>1770</v>
      </c>
      <c r="D1555" s="2">
        <v>2.95</v>
      </c>
      <c r="E1555" s="2">
        <v>304.0</v>
      </c>
      <c r="F1555" s="2">
        <v>1178.96</v>
      </c>
      <c r="G1555" s="4">
        <f t="shared" si="3"/>
        <v>8416479.13</v>
      </c>
      <c r="H1555" s="4">
        <f t="shared" si="1"/>
        <v>0.8818221416</v>
      </c>
      <c r="I1555" s="4" t="str">
        <f t="shared" si="2"/>
        <v>B</v>
      </c>
    </row>
    <row r="1556">
      <c r="A1556" s="2">
        <v>1555.0</v>
      </c>
      <c r="B1556" s="2">
        <v>21615.0</v>
      </c>
      <c r="C1556" s="2" t="s">
        <v>1771</v>
      </c>
      <c r="D1556" s="2">
        <v>2.46</v>
      </c>
      <c r="E1556" s="2">
        <v>590.0</v>
      </c>
      <c r="F1556" s="2">
        <v>1177.46</v>
      </c>
      <c r="G1556" s="4">
        <f t="shared" si="3"/>
        <v>8417656.59</v>
      </c>
      <c r="H1556" s="4">
        <f t="shared" si="1"/>
        <v>0.881945508</v>
      </c>
      <c r="I1556" s="4" t="str">
        <f t="shared" si="2"/>
        <v>B</v>
      </c>
    </row>
    <row r="1557">
      <c r="A1557" s="2">
        <v>1556.0</v>
      </c>
      <c r="B1557" s="2">
        <v>23401.0</v>
      </c>
      <c r="C1557" s="2" t="s">
        <v>1772</v>
      </c>
      <c r="D1557" s="2">
        <v>6.25</v>
      </c>
      <c r="E1557" s="2">
        <v>230.0</v>
      </c>
      <c r="F1557" s="2">
        <v>1177.44</v>
      </c>
      <c r="G1557" s="4">
        <f t="shared" si="3"/>
        <v>8418834.03</v>
      </c>
      <c r="H1557" s="4">
        <f t="shared" si="1"/>
        <v>0.8820688722</v>
      </c>
      <c r="I1557" s="4" t="str">
        <f t="shared" si="2"/>
        <v>B</v>
      </c>
    </row>
    <row r="1558">
      <c r="A1558" s="2">
        <v>1557.0</v>
      </c>
      <c r="B1558" s="2">
        <v>23436.0</v>
      </c>
      <c r="C1558" s="2" t="s">
        <v>1773</v>
      </c>
      <c r="D1558" s="2">
        <v>1.25</v>
      </c>
      <c r="E1558" s="2">
        <v>984.0</v>
      </c>
      <c r="F1558" s="2">
        <v>1176.2</v>
      </c>
      <c r="G1558" s="4">
        <f t="shared" si="3"/>
        <v>8420010.23</v>
      </c>
      <c r="H1558" s="4">
        <f t="shared" si="1"/>
        <v>0.8821921065</v>
      </c>
      <c r="I1558" s="4" t="str">
        <f t="shared" si="2"/>
        <v>B</v>
      </c>
    </row>
    <row r="1559">
      <c r="A1559" s="2">
        <v>1558.0</v>
      </c>
      <c r="B1559" s="2">
        <v>23412.0</v>
      </c>
      <c r="C1559" s="2" t="s">
        <v>1774</v>
      </c>
      <c r="D1559" s="2">
        <v>7.5</v>
      </c>
      <c r="E1559" s="2">
        <v>178.0</v>
      </c>
      <c r="F1559" s="2">
        <v>1169.9</v>
      </c>
      <c r="G1559" s="4">
        <f t="shared" si="3"/>
        <v>8421180.13</v>
      </c>
      <c r="H1559" s="4">
        <f t="shared" si="1"/>
        <v>0.8823146808</v>
      </c>
      <c r="I1559" s="4" t="str">
        <f t="shared" si="2"/>
        <v>B</v>
      </c>
    </row>
    <row r="1560">
      <c r="A1560" s="2">
        <v>1559.0</v>
      </c>
      <c r="B1560" s="2">
        <v>21126.0</v>
      </c>
      <c r="C1560" s="2" t="s">
        <v>1775</v>
      </c>
      <c r="D1560" s="2">
        <v>1.25</v>
      </c>
      <c r="E1560" s="2">
        <v>1158.0</v>
      </c>
      <c r="F1560" s="2">
        <v>1169.61</v>
      </c>
      <c r="G1560" s="4">
        <f t="shared" si="3"/>
        <v>8422349.74</v>
      </c>
      <c r="H1560" s="4">
        <f t="shared" si="1"/>
        <v>0.8824372247</v>
      </c>
      <c r="I1560" s="4" t="str">
        <f t="shared" si="2"/>
        <v>B</v>
      </c>
    </row>
    <row r="1561">
      <c r="A1561" s="2">
        <v>1560.0</v>
      </c>
      <c r="B1561" s="2">
        <v>22421.0</v>
      </c>
      <c r="C1561" s="2" t="s">
        <v>1776</v>
      </c>
      <c r="D1561" s="2">
        <v>0.42</v>
      </c>
      <c r="E1561" s="2">
        <v>2344.0</v>
      </c>
      <c r="F1561" s="2">
        <v>1168.79</v>
      </c>
      <c r="G1561" s="4">
        <f t="shared" si="3"/>
        <v>8423518.53</v>
      </c>
      <c r="H1561" s="4">
        <f t="shared" si="1"/>
        <v>0.8825596827</v>
      </c>
      <c r="I1561" s="4" t="str">
        <f t="shared" si="2"/>
        <v>B</v>
      </c>
    </row>
    <row r="1562">
      <c r="A1562" s="2">
        <v>1561.0</v>
      </c>
      <c r="B1562" s="2">
        <v>21437.0</v>
      </c>
      <c r="C1562" s="2" t="s">
        <v>1777</v>
      </c>
      <c r="D1562" s="2">
        <v>3.75</v>
      </c>
      <c r="E1562" s="2">
        <v>336.0</v>
      </c>
      <c r="F1562" s="2">
        <v>1167.96</v>
      </c>
      <c r="G1562" s="4">
        <f t="shared" si="3"/>
        <v>8424686.49</v>
      </c>
      <c r="H1562" s="4">
        <f t="shared" si="1"/>
        <v>0.8826820537</v>
      </c>
      <c r="I1562" s="4" t="str">
        <f t="shared" si="2"/>
        <v>B</v>
      </c>
    </row>
    <row r="1563">
      <c r="A1563" s="2">
        <v>1562.0</v>
      </c>
      <c r="B1563" s="2">
        <v>22609.0</v>
      </c>
      <c r="C1563" s="2" t="s">
        <v>1778</v>
      </c>
      <c r="D1563" s="2">
        <v>0.21</v>
      </c>
      <c r="E1563" s="2">
        <v>3508.0</v>
      </c>
      <c r="F1563" s="2">
        <v>1164.79</v>
      </c>
      <c r="G1563" s="4">
        <f t="shared" si="3"/>
        <v>8425851.28</v>
      </c>
      <c r="H1563" s="4">
        <f t="shared" si="1"/>
        <v>0.8828040925</v>
      </c>
      <c r="I1563" s="4" t="str">
        <f t="shared" si="2"/>
        <v>B</v>
      </c>
    </row>
    <row r="1564">
      <c r="A1564" s="2">
        <v>1563.0</v>
      </c>
      <c r="B1564" s="2">
        <v>21947.0</v>
      </c>
      <c r="C1564" s="2" t="s">
        <v>1779</v>
      </c>
      <c r="D1564" s="2">
        <v>1.25</v>
      </c>
      <c r="E1564" s="2">
        <v>848.0</v>
      </c>
      <c r="F1564" s="2">
        <v>1163.9</v>
      </c>
      <c r="G1564" s="4">
        <f t="shared" si="3"/>
        <v>8427015.18</v>
      </c>
      <c r="H1564" s="4">
        <f t="shared" si="1"/>
        <v>0.8829260381</v>
      </c>
      <c r="I1564" s="4" t="str">
        <f t="shared" si="2"/>
        <v>B</v>
      </c>
    </row>
    <row r="1565">
      <c r="A1565" s="2">
        <v>1564.0</v>
      </c>
      <c r="B1565" s="2">
        <v>22251.0</v>
      </c>
      <c r="C1565" s="2" t="s">
        <v>1780</v>
      </c>
      <c r="D1565" s="2">
        <v>1.25</v>
      </c>
      <c r="E1565" s="2">
        <v>938.0</v>
      </c>
      <c r="F1565" s="2">
        <v>1161.32</v>
      </c>
      <c r="G1565" s="4">
        <f t="shared" si="3"/>
        <v>8428176.5</v>
      </c>
      <c r="H1565" s="4">
        <f t="shared" si="1"/>
        <v>0.8830477135</v>
      </c>
      <c r="I1565" s="4" t="str">
        <f t="shared" si="2"/>
        <v>B</v>
      </c>
    </row>
    <row r="1566">
      <c r="A1566" s="2">
        <v>1565.0</v>
      </c>
      <c r="B1566" s="2">
        <v>21708.0</v>
      </c>
      <c r="C1566" s="2" t="s">
        <v>1781</v>
      </c>
      <c r="D1566" s="2">
        <v>4.95</v>
      </c>
      <c r="E1566" s="2">
        <v>304.0</v>
      </c>
      <c r="F1566" s="2">
        <v>1160.82</v>
      </c>
      <c r="G1566" s="4">
        <f t="shared" si="3"/>
        <v>8429337.32</v>
      </c>
      <c r="H1566" s="4">
        <f t="shared" si="1"/>
        <v>0.8831693364</v>
      </c>
      <c r="I1566" s="4" t="str">
        <f t="shared" si="2"/>
        <v>B</v>
      </c>
    </row>
    <row r="1567">
      <c r="A1567" s="2">
        <v>1566.0</v>
      </c>
      <c r="B1567" s="2">
        <v>21824.0</v>
      </c>
      <c r="C1567" s="2" t="s">
        <v>1782</v>
      </c>
      <c r="D1567" s="2">
        <v>1.45</v>
      </c>
      <c r="E1567" s="2">
        <v>1380.0</v>
      </c>
      <c r="F1567" s="2">
        <v>1159.97</v>
      </c>
      <c r="G1567" s="4">
        <f t="shared" si="3"/>
        <v>8430497.29</v>
      </c>
      <c r="H1567" s="4">
        <f t="shared" si="1"/>
        <v>0.8832908702</v>
      </c>
      <c r="I1567" s="4" t="str">
        <f t="shared" si="2"/>
        <v>B</v>
      </c>
    </row>
    <row r="1568">
      <c r="A1568" s="2">
        <v>1567.0</v>
      </c>
      <c r="B1568" s="2">
        <v>21826.0</v>
      </c>
      <c r="C1568" s="2" t="s">
        <v>1783</v>
      </c>
      <c r="D1568" s="2">
        <v>1.25</v>
      </c>
      <c r="E1568" s="2">
        <v>897.0</v>
      </c>
      <c r="F1568" s="2">
        <v>1159.68</v>
      </c>
      <c r="G1568" s="4">
        <f t="shared" si="3"/>
        <v>8431656.97</v>
      </c>
      <c r="H1568" s="4">
        <f t="shared" si="1"/>
        <v>0.8834123737</v>
      </c>
      <c r="I1568" s="4" t="str">
        <f t="shared" si="2"/>
        <v>B</v>
      </c>
    </row>
    <row r="1569">
      <c r="A1569" s="2">
        <v>1568.0</v>
      </c>
      <c r="B1569" s="2">
        <v>22306.0</v>
      </c>
      <c r="C1569" s="2" t="s">
        <v>1784</v>
      </c>
      <c r="D1569" s="2">
        <v>1.06</v>
      </c>
      <c r="E1569" s="2">
        <v>814.0</v>
      </c>
      <c r="F1569" s="2">
        <v>1158.61</v>
      </c>
      <c r="G1569" s="4">
        <f t="shared" si="3"/>
        <v>8432815.58</v>
      </c>
      <c r="H1569" s="4">
        <f t="shared" si="1"/>
        <v>0.8835337651</v>
      </c>
      <c r="I1569" s="4" t="str">
        <f t="shared" si="2"/>
        <v>B</v>
      </c>
    </row>
    <row r="1570">
      <c r="A1570" s="2">
        <v>1569.0</v>
      </c>
      <c r="B1570" s="2">
        <v>21747.0</v>
      </c>
      <c r="C1570" s="2" t="s">
        <v>1785</v>
      </c>
      <c r="D1570" s="2">
        <v>1.25</v>
      </c>
      <c r="E1570" s="2">
        <v>962.0</v>
      </c>
      <c r="F1570" s="2">
        <v>1158.31</v>
      </c>
      <c r="G1570" s="4">
        <f t="shared" si="3"/>
        <v>8433973.89</v>
      </c>
      <c r="H1570" s="4">
        <f t="shared" si="1"/>
        <v>0.883655125</v>
      </c>
      <c r="I1570" s="4" t="str">
        <f t="shared" si="2"/>
        <v>B</v>
      </c>
    </row>
    <row r="1571">
      <c r="A1571" s="2">
        <v>1570.0</v>
      </c>
      <c r="B1571" s="2">
        <v>85107.0</v>
      </c>
      <c r="C1571" s="2" t="s">
        <v>1786</v>
      </c>
      <c r="D1571" s="2">
        <v>2.55</v>
      </c>
      <c r="E1571" s="2">
        <v>610.0</v>
      </c>
      <c r="F1571" s="2">
        <v>1157.8</v>
      </c>
      <c r="G1571" s="4">
        <f t="shared" si="3"/>
        <v>8435131.69</v>
      </c>
      <c r="H1571" s="4">
        <f t="shared" si="1"/>
        <v>0.8837764315</v>
      </c>
      <c r="I1571" s="4" t="str">
        <f t="shared" si="2"/>
        <v>B</v>
      </c>
    </row>
    <row r="1572">
      <c r="A1572" s="2">
        <v>1571.0</v>
      </c>
      <c r="B1572" s="2">
        <v>23371.0</v>
      </c>
      <c r="C1572" s="2" t="s">
        <v>1787</v>
      </c>
      <c r="D1572" s="2">
        <v>1.25</v>
      </c>
      <c r="E1572" s="2">
        <v>856.0</v>
      </c>
      <c r="F1572" s="2">
        <v>1156.77</v>
      </c>
      <c r="G1572" s="4">
        <f t="shared" si="3"/>
        <v>8436288.46</v>
      </c>
      <c r="H1572" s="4">
        <f t="shared" si="1"/>
        <v>0.8838976301</v>
      </c>
      <c r="I1572" s="4" t="str">
        <f t="shared" si="2"/>
        <v>B</v>
      </c>
    </row>
    <row r="1573">
      <c r="A1573" s="2">
        <v>1572.0</v>
      </c>
      <c r="B1573" s="2">
        <v>21741.0</v>
      </c>
      <c r="C1573" s="2" t="s">
        <v>1788</v>
      </c>
      <c r="D1573" s="2">
        <v>2.95</v>
      </c>
      <c r="E1573" s="2">
        <v>354.0</v>
      </c>
      <c r="F1573" s="2">
        <v>1155.73</v>
      </c>
      <c r="G1573" s="4">
        <f t="shared" si="3"/>
        <v>8437444.19</v>
      </c>
      <c r="H1573" s="4">
        <f t="shared" si="1"/>
        <v>0.8840187198</v>
      </c>
      <c r="I1573" s="4" t="str">
        <f t="shared" si="2"/>
        <v>B</v>
      </c>
    </row>
    <row r="1574">
      <c r="A1574" s="2">
        <v>1573.0</v>
      </c>
      <c r="B1574" s="2">
        <v>21482.0</v>
      </c>
      <c r="C1574" s="2" t="s">
        <v>1789</v>
      </c>
      <c r="D1574" s="2">
        <v>2.95</v>
      </c>
      <c r="E1574" s="2">
        <v>372.0</v>
      </c>
      <c r="F1574" s="2">
        <v>1154.28</v>
      </c>
      <c r="G1574" s="4">
        <f t="shared" si="3"/>
        <v>8438598.47</v>
      </c>
      <c r="H1574" s="4">
        <f t="shared" si="1"/>
        <v>0.8841396575</v>
      </c>
      <c r="I1574" s="4" t="str">
        <f t="shared" si="2"/>
        <v>B</v>
      </c>
    </row>
    <row r="1575">
      <c r="A1575" s="2">
        <v>1574.0</v>
      </c>
      <c r="B1575" s="2" t="s">
        <v>1790</v>
      </c>
      <c r="C1575" s="2" t="s">
        <v>1791</v>
      </c>
      <c r="D1575" s="2">
        <v>1.49</v>
      </c>
      <c r="E1575" s="2">
        <v>726.0</v>
      </c>
      <c r="F1575" s="2">
        <v>1153.0</v>
      </c>
      <c r="G1575" s="4">
        <f t="shared" si="3"/>
        <v>8439751.47</v>
      </c>
      <c r="H1575" s="4">
        <f t="shared" si="1"/>
        <v>0.8842604611</v>
      </c>
      <c r="I1575" s="4" t="str">
        <f t="shared" si="2"/>
        <v>B</v>
      </c>
    </row>
    <row r="1576">
      <c r="A1576" s="2">
        <v>1575.0</v>
      </c>
      <c r="B1576" s="2">
        <v>23197.0</v>
      </c>
      <c r="C1576" s="2" t="s">
        <v>1792</v>
      </c>
      <c r="D1576" s="2">
        <v>1.45</v>
      </c>
      <c r="E1576" s="2">
        <v>740.0</v>
      </c>
      <c r="F1576" s="2">
        <v>1152.47</v>
      </c>
      <c r="G1576" s="4">
        <f t="shared" si="3"/>
        <v>8440903.94</v>
      </c>
      <c r="H1576" s="4">
        <f t="shared" si="1"/>
        <v>0.8843812091</v>
      </c>
      <c r="I1576" s="4" t="str">
        <f t="shared" si="2"/>
        <v>B</v>
      </c>
    </row>
    <row r="1577">
      <c r="A1577" s="2">
        <v>1576.0</v>
      </c>
      <c r="B1577" s="2">
        <v>22409.0</v>
      </c>
      <c r="C1577" s="2" t="s">
        <v>1793</v>
      </c>
      <c r="D1577" s="2">
        <v>1.25</v>
      </c>
      <c r="E1577" s="2">
        <v>847.0</v>
      </c>
      <c r="F1577" s="2">
        <v>1150.23</v>
      </c>
      <c r="G1577" s="4">
        <f t="shared" si="3"/>
        <v>8442054.17</v>
      </c>
      <c r="H1577" s="4">
        <f t="shared" si="1"/>
        <v>0.8845017225</v>
      </c>
      <c r="I1577" s="4" t="str">
        <f t="shared" si="2"/>
        <v>B</v>
      </c>
    </row>
    <row r="1578">
      <c r="A1578" s="2">
        <v>1577.0</v>
      </c>
      <c r="B1578" s="2">
        <v>23330.0</v>
      </c>
      <c r="C1578" s="2" t="s">
        <v>1794</v>
      </c>
      <c r="D1578" s="2">
        <v>1.25</v>
      </c>
      <c r="E1578" s="2">
        <v>902.0</v>
      </c>
      <c r="F1578" s="2">
        <v>1149.73</v>
      </c>
      <c r="G1578" s="4">
        <f t="shared" si="3"/>
        <v>8443203.9</v>
      </c>
      <c r="H1578" s="4">
        <f t="shared" si="1"/>
        <v>0.8846221835</v>
      </c>
      <c r="I1578" s="4" t="str">
        <f t="shared" si="2"/>
        <v>B</v>
      </c>
    </row>
    <row r="1579">
      <c r="A1579" s="2">
        <v>1578.0</v>
      </c>
      <c r="B1579" s="2">
        <v>23360.0</v>
      </c>
      <c r="C1579" s="2" t="s">
        <v>1795</v>
      </c>
      <c r="D1579" s="2">
        <v>1.95</v>
      </c>
      <c r="E1579" s="2">
        <v>594.0</v>
      </c>
      <c r="F1579" s="2">
        <v>1148.08</v>
      </c>
      <c r="G1579" s="4">
        <f t="shared" si="3"/>
        <v>8444351.98</v>
      </c>
      <c r="H1579" s="4">
        <f t="shared" si="1"/>
        <v>0.8847424716</v>
      </c>
      <c r="I1579" s="4" t="str">
        <f t="shared" si="2"/>
        <v>B</v>
      </c>
    </row>
    <row r="1580">
      <c r="A1580" s="2">
        <v>1579.0</v>
      </c>
      <c r="B1580" s="2">
        <v>23029.0</v>
      </c>
      <c r="C1580" s="2" t="s">
        <v>1796</v>
      </c>
      <c r="D1580" s="2">
        <v>1.65</v>
      </c>
      <c r="E1580" s="2">
        <v>673.0</v>
      </c>
      <c r="F1580" s="2">
        <v>1147.01</v>
      </c>
      <c r="G1580" s="4">
        <f t="shared" si="3"/>
        <v>8445498.99</v>
      </c>
      <c r="H1580" s="4">
        <f t="shared" si="1"/>
        <v>0.8848626476</v>
      </c>
      <c r="I1580" s="4" t="str">
        <f t="shared" si="2"/>
        <v>B</v>
      </c>
    </row>
    <row r="1581">
      <c r="A1581" s="2">
        <v>1580.0</v>
      </c>
      <c r="B1581" s="2">
        <v>22973.0</v>
      </c>
      <c r="C1581" s="2" t="s">
        <v>1797</v>
      </c>
      <c r="D1581" s="2">
        <v>1.65</v>
      </c>
      <c r="E1581" s="2">
        <v>674.0</v>
      </c>
      <c r="F1581" s="2">
        <v>1146.44</v>
      </c>
      <c r="G1581" s="4">
        <f t="shared" si="3"/>
        <v>8446645.43</v>
      </c>
      <c r="H1581" s="4">
        <f t="shared" si="1"/>
        <v>0.8849827639</v>
      </c>
      <c r="I1581" s="4" t="str">
        <f t="shared" si="2"/>
        <v>B</v>
      </c>
    </row>
    <row r="1582">
      <c r="A1582" s="2">
        <v>1581.0</v>
      </c>
      <c r="B1582" s="2">
        <v>22831.0</v>
      </c>
      <c r="C1582" s="2" t="s">
        <v>1798</v>
      </c>
      <c r="D1582" s="2">
        <v>2.95</v>
      </c>
      <c r="E1582" s="2">
        <v>389.0</v>
      </c>
      <c r="F1582" s="2">
        <v>1146.09</v>
      </c>
      <c r="G1582" s="4">
        <f t="shared" si="3"/>
        <v>8447791.52</v>
      </c>
      <c r="H1582" s="4">
        <f t="shared" si="1"/>
        <v>0.8851028435</v>
      </c>
      <c r="I1582" s="4" t="str">
        <f t="shared" si="2"/>
        <v>B</v>
      </c>
    </row>
    <row r="1583">
      <c r="A1583" s="2">
        <v>1582.0</v>
      </c>
      <c r="B1583" s="2">
        <v>84818.0</v>
      </c>
      <c r="C1583" s="2" t="s">
        <v>1799</v>
      </c>
      <c r="D1583" s="2">
        <v>2.51</v>
      </c>
      <c r="E1583" s="2">
        <v>862.0</v>
      </c>
      <c r="F1583" s="2">
        <v>1144.72</v>
      </c>
      <c r="G1583" s="4">
        <f t="shared" si="3"/>
        <v>8448936.24</v>
      </c>
      <c r="H1583" s="4">
        <f t="shared" si="1"/>
        <v>0.8852227796</v>
      </c>
      <c r="I1583" s="4" t="str">
        <f t="shared" si="2"/>
        <v>B</v>
      </c>
    </row>
    <row r="1584">
      <c r="A1584" s="2">
        <v>1583.0</v>
      </c>
      <c r="B1584" s="2">
        <v>21873.0</v>
      </c>
      <c r="C1584" s="2" t="s">
        <v>1800</v>
      </c>
      <c r="D1584" s="2">
        <v>1.25</v>
      </c>
      <c r="E1584" s="2">
        <v>970.0</v>
      </c>
      <c r="F1584" s="2">
        <v>1143.1</v>
      </c>
      <c r="G1584" s="4">
        <f t="shared" si="3"/>
        <v>8450079.34</v>
      </c>
      <c r="H1584" s="4">
        <f t="shared" si="1"/>
        <v>0.8853425459</v>
      </c>
      <c r="I1584" s="4" t="str">
        <f t="shared" si="2"/>
        <v>B</v>
      </c>
    </row>
    <row r="1585">
      <c r="A1585" s="2">
        <v>1584.0</v>
      </c>
      <c r="B1585" s="2">
        <v>23064.0</v>
      </c>
      <c r="C1585" s="2" t="s">
        <v>1801</v>
      </c>
      <c r="D1585" s="2">
        <v>49.95</v>
      </c>
      <c r="E1585" s="2">
        <v>79.0</v>
      </c>
      <c r="F1585" s="2">
        <v>1141.76</v>
      </c>
      <c r="G1585" s="4">
        <f t="shared" si="3"/>
        <v>8451221.1</v>
      </c>
      <c r="H1585" s="4">
        <f t="shared" si="1"/>
        <v>0.8854621718</v>
      </c>
      <c r="I1585" s="4" t="str">
        <f t="shared" si="2"/>
        <v>B</v>
      </c>
    </row>
    <row r="1586">
      <c r="A1586" s="2">
        <v>1585.0</v>
      </c>
      <c r="B1586" s="2">
        <v>85176.0</v>
      </c>
      <c r="C1586" s="2" t="s">
        <v>1802</v>
      </c>
      <c r="D1586" s="2">
        <v>0.85</v>
      </c>
      <c r="E1586" s="2">
        <v>1368.0</v>
      </c>
      <c r="F1586" s="2">
        <v>1141.4</v>
      </c>
      <c r="G1586" s="4">
        <f t="shared" si="3"/>
        <v>8452362.5</v>
      </c>
      <c r="H1586" s="4">
        <f t="shared" si="1"/>
        <v>0.8855817601</v>
      </c>
      <c r="I1586" s="4" t="str">
        <f t="shared" si="2"/>
        <v>B</v>
      </c>
    </row>
    <row r="1587">
      <c r="A1587" s="2">
        <v>1586.0</v>
      </c>
      <c r="B1587" s="2">
        <v>21819.0</v>
      </c>
      <c r="C1587" s="2" t="s">
        <v>1803</v>
      </c>
      <c r="D1587" s="2">
        <v>0.85</v>
      </c>
      <c r="E1587" s="2">
        <v>1944.0</v>
      </c>
      <c r="F1587" s="2">
        <v>1140.73</v>
      </c>
      <c r="G1587" s="4">
        <f t="shared" si="3"/>
        <v>8453503.23</v>
      </c>
      <c r="H1587" s="4">
        <f t="shared" si="1"/>
        <v>0.8857012781</v>
      </c>
      <c r="I1587" s="4" t="str">
        <f t="shared" si="2"/>
        <v>B</v>
      </c>
    </row>
    <row r="1588">
      <c r="A1588" s="2">
        <v>1587.0</v>
      </c>
      <c r="B1588" s="2">
        <v>85106.0</v>
      </c>
      <c r="C1588" s="2" t="s">
        <v>1804</v>
      </c>
      <c r="D1588" s="2">
        <v>2.55</v>
      </c>
      <c r="E1588" s="2">
        <v>597.0</v>
      </c>
      <c r="F1588" s="2">
        <v>1140.72</v>
      </c>
      <c r="G1588" s="4">
        <f t="shared" si="3"/>
        <v>8454643.95</v>
      </c>
      <c r="H1588" s="4">
        <f t="shared" si="1"/>
        <v>0.8858207951</v>
      </c>
      <c r="I1588" s="4" t="str">
        <f t="shared" si="2"/>
        <v>B</v>
      </c>
    </row>
    <row r="1589">
      <c r="A1589" s="2">
        <v>1588.0</v>
      </c>
      <c r="B1589" s="2" t="s">
        <v>1805</v>
      </c>
      <c r="C1589" s="2" t="s">
        <v>1806</v>
      </c>
      <c r="D1589" s="2">
        <v>0.42</v>
      </c>
      <c r="E1589" s="2">
        <v>2526.0</v>
      </c>
      <c r="F1589" s="2">
        <v>1139.82</v>
      </c>
      <c r="G1589" s="4">
        <f t="shared" si="3"/>
        <v>8455783.77</v>
      </c>
      <c r="H1589" s="4">
        <f t="shared" si="1"/>
        <v>0.8859402177</v>
      </c>
      <c r="I1589" s="4" t="str">
        <f t="shared" si="2"/>
        <v>B</v>
      </c>
    </row>
    <row r="1590">
      <c r="A1590" s="2">
        <v>1589.0</v>
      </c>
      <c r="B1590" s="2" t="s">
        <v>1807</v>
      </c>
      <c r="C1590" s="2" t="s">
        <v>1808</v>
      </c>
      <c r="D1590" s="2">
        <v>1.25</v>
      </c>
      <c r="E1590" s="2">
        <v>756.0</v>
      </c>
      <c r="F1590" s="2">
        <v>1137.88</v>
      </c>
      <c r="G1590" s="4">
        <f t="shared" si="3"/>
        <v>8456921.65</v>
      </c>
      <c r="H1590" s="4">
        <f t="shared" si="1"/>
        <v>0.8860594372</v>
      </c>
      <c r="I1590" s="4" t="str">
        <f t="shared" si="2"/>
        <v>B</v>
      </c>
    </row>
    <row r="1591">
      <c r="A1591" s="2">
        <v>1590.0</v>
      </c>
      <c r="B1591" s="2">
        <v>22828.0</v>
      </c>
      <c r="C1591" s="2" t="s">
        <v>1809</v>
      </c>
      <c r="D1591" s="2">
        <v>155.0</v>
      </c>
      <c r="E1591" s="2">
        <v>8.0</v>
      </c>
      <c r="F1591" s="2">
        <v>1137.5</v>
      </c>
      <c r="G1591" s="4">
        <f t="shared" si="3"/>
        <v>8458059.15</v>
      </c>
      <c r="H1591" s="4">
        <f t="shared" si="1"/>
        <v>0.8861786168</v>
      </c>
      <c r="I1591" s="4" t="str">
        <f t="shared" si="2"/>
        <v>B</v>
      </c>
    </row>
    <row r="1592">
      <c r="A1592" s="2">
        <v>1591.0</v>
      </c>
      <c r="B1592" s="2">
        <v>21804.0</v>
      </c>
      <c r="C1592" s="2" t="s">
        <v>1810</v>
      </c>
      <c r="D1592" s="2">
        <v>3.75</v>
      </c>
      <c r="E1592" s="2">
        <v>302.0</v>
      </c>
      <c r="F1592" s="2">
        <v>1135.5</v>
      </c>
      <c r="G1592" s="4">
        <f t="shared" si="3"/>
        <v>8459194.65</v>
      </c>
      <c r="H1592" s="4">
        <f t="shared" si="1"/>
        <v>0.8862975868</v>
      </c>
      <c r="I1592" s="4" t="str">
        <f t="shared" si="2"/>
        <v>B</v>
      </c>
    </row>
    <row r="1593">
      <c r="A1593" s="2">
        <v>1592.0</v>
      </c>
      <c r="B1593" s="2" t="s">
        <v>1811</v>
      </c>
      <c r="C1593" s="2" t="s">
        <v>1812</v>
      </c>
      <c r="D1593" s="2">
        <v>0.65</v>
      </c>
      <c r="E1593" s="2">
        <v>1716.0</v>
      </c>
      <c r="F1593" s="2">
        <v>1134.71</v>
      </c>
      <c r="G1593" s="4">
        <f t="shared" si="3"/>
        <v>8460329.36</v>
      </c>
      <c r="H1593" s="4">
        <f t="shared" si="1"/>
        <v>0.8864164741</v>
      </c>
      <c r="I1593" s="4" t="str">
        <f t="shared" si="2"/>
        <v>B</v>
      </c>
    </row>
    <row r="1594">
      <c r="A1594" s="2">
        <v>1593.0</v>
      </c>
      <c r="B1594" s="2">
        <v>22539.0</v>
      </c>
      <c r="C1594" s="2" t="s">
        <v>1813</v>
      </c>
      <c r="D1594" s="2">
        <v>0.42</v>
      </c>
      <c r="E1594" s="2">
        <v>2828.0</v>
      </c>
      <c r="F1594" s="2">
        <v>1134.7</v>
      </c>
      <c r="G1594" s="4">
        <f t="shared" si="3"/>
        <v>8461464.06</v>
      </c>
      <c r="H1594" s="4">
        <f t="shared" si="1"/>
        <v>0.8865353604</v>
      </c>
      <c r="I1594" s="4" t="str">
        <f t="shared" si="2"/>
        <v>B</v>
      </c>
    </row>
    <row r="1595">
      <c r="A1595" s="2">
        <v>1594.0</v>
      </c>
      <c r="B1595" s="2" t="s">
        <v>1814</v>
      </c>
      <c r="C1595" s="2" t="s">
        <v>1815</v>
      </c>
      <c r="D1595" s="2">
        <v>4.25</v>
      </c>
      <c r="E1595" s="2">
        <v>358.0</v>
      </c>
      <c r="F1595" s="2">
        <v>1133.98</v>
      </c>
      <c r="G1595" s="4">
        <f t="shared" si="3"/>
        <v>8462598.04</v>
      </c>
      <c r="H1595" s="4">
        <f t="shared" si="1"/>
        <v>0.8866541712</v>
      </c>
      <c r="I1595" s="4" t="str">
        <f t="shared" si="2"/>
        <v>B</v>
      </c>
    </row>
    <row r="1596">
      <c r="A1596" s="2">
        <v>1595.0</v>
      </c>
      <c r="B1596" s="2">
        <v>22246.0</v>
      </c>
      <c r="C1596" s="2" t="s">
        <v>1816</v>
      </c>
      <c r="D1596" s="2">
        <v>1.95</v>
      </c>
      <c r="E1596" s="2">
        <v>535.0</v>
      </c>
      <c r="F1596" s="2">
        <v>1133.25</v>
      </c>
      <c r="G1596" s="4">
        <f t="shared" si="3"/>
        <v>8463731.29</v>
      </c>
      <c r="H1596" s="4">
        <f t="shared" si="1"/>
        <v>0.8867729055</v>
      </c>
      <c r="I1596" s="4" t="str">
        <f t="shared" si="2"/>
        <v>B</v>
      </c>
    </row>
    <row r="1597">
      <c r="A1597" s="2">
        <v>1596.0</v>
      </c>
      <c r="B1597" s="2">
        <v>20658.0</v>
      </c>
      <c r="C1597" s="2" t="s">
        <v>1817</v>
      </c>
      <c r="D1597" s="2">
        <v>1.25</v>
      </c>
      <c r="E1597" s="2">
        <v>797.0</v>
      </c>
      <c r="F1597" s="2">
        <v>1131.93</v>
      </c>
      <c r="G1597" s="4">
        <f t="shared" si="3"/>
        <v>8464863.22</v>
      </c>
      <c r="H1597" s="4">
        <f t="shared" si="1"/>
        <v>0.8868915015</v>
      </c>
      <c r="I1597" s="4" t="str">
        <f t="shared" si="2"/>
        <v>B</v>
      </c>
    </row>
    <row r="1598">
      <c r="A1598" s="2">
        <v>1597.0</v>
      </c>
      <c r="B1598" s="2" t="s">
        <v>1818</v>
      </c>
      <c r="C1598" s="2" t="s">
        <v>1819</v>
      </c>
      <c r="D1598" s="2">
        <v>1.65</v>
      </c>
      <c r="E1598" s="2">
        <v>590.0</v>
      </c>
      <c r="F1598" s="2">
        <v>1131.53</v>
      </c>
      <c r="G1598" s="4">
        <f t="shared" si="3"/>
        <v>8465994.75</v>
      </c>
      <c r="H1598" s="4">
        <f t="shared" si="1"/>
        <v>0.8870100556</v>
      </c>
      <c r="I1598" s="4" t="str">
        <f t="shared" si="2"/>
        <v>B</v>
      </c>
    </row>
    <row r="1599">
      <c r="A1599" s="2">
        <v>1598.0</v>
      </c>
      <c r="B1599" s="2">
        <v>23048.0</v>
      </c>
      <c r="C1599" s="2" t="s">
        <v>1820</v>
      </c>
      <c r="D1599" s="2">
        <v>4.15</v>
      </c>
      <c r="E1599" s="2">
        <v>274.0</v>
      </c>
      <c r="F1599" s="2">
        <v>1126.08</v>
      </c>
      <c r="G1599" s="4">
        <f t="shared" si="3"/>
        <v>8467120.83</v>
      </c>
      <c r="H1599" s="4">
        <f t="shared" si="1"/>
        <v>0.8871280387</v>
      </c>
      <c r="I1599" s="4" t="str">
        <f t="shared" si="2"/>
        <v>B</v>
      </c>
    </row>
    <row r="1600">
      <c r="A1600" s="2">
        <v>1599.0</v>
      </c>
      <c r="B1600" s="2">
        <v>22024.0</v>
      </c>
      <c r="C1600" s="2" t="s">
        <v>1821</v>
      </c>
      <c r="D1600" s="2">
        <v>0.42</v>
      </c>
      <c r="E1600" s="2">
        <v>2690.0</v>
      </c>
      <c r="F1600" s="2">
        <v>1125.98</v>
      </c>
      <c r="G1600" s="4">
        <f t="shared" si="3"/>
        <v>8468246.81</v>
      </c>
      <c r="H1600" s="4">
        <f t="shared" si="1"/>
        <v>0.8872460113</v>
      </c>
      <c r="I1600" s="4" t="str">
        <f t="shared" si="2"/>
        <v>B</v>
      </c>
    </row>
    <row r="1601">
      <c r="A1601" s="2">
        <v>1600.0</v>
      </c>
      <c r="B1601" s="2">
        <v>21651.0</v>
      </c>
      <c r="C1601" s="2" t="s">
        <v>1822</v>
      </c>
      <c r="D1601" s="2">
        <v>1.65</v>
      </c>
      <c r="E1601" s="2">
        <v>696.0</v>
      </c>
      <c r="F1601" s="2">
        <v>1125.75</v>
      </c>
      <c r="G1601" s="4">
        <f t="shared" si="3"/>
        <v>8469372.56</v>
      </c>
      <c r="H1601" s="4">
        <f t="shared" si="1"/>
        <v>0.8873639599</v>
      </c>
      <c r="I1601" s="4" t="str">
        <f t="shared" si="2"/>
        <v>B</v>
      </c>
    </row>
    <row r="1602">
      <c r="A1602" s="2">
        <v>1601.0</v>
      </c>
      <c r="B1602" s="2">
        <v>21187.0</v>
      </c>
      <c r="C1602" s="2" t="s">
        <v>1823</v>
      </c>
      <c r="D1602" s="2">
        <v>1.65</v>
      </c>
      <c r="E1602" s="2">
        <v>674.0</v>
      </c>
      <c r="F1602" s="2">
        <v>1125.19</v>
      </c>
      <c r="G1602" s="4">
        <f t="shared" si="3"/>
        <v>8470497.75</v>
      </c>
      <c r="H1602" s="4">
        <f t="shared" si="1"/>
        <v>0.8874818497</v>
      </c>
      <c r="I1602" s="4" t="str">
        <f t="shared" si="2"/>
        <v>B</v>
      </c>
    </row>
    <row r="1603">
      <c r="A1603" s="2">
        <v>1602.0</v>
      </c>
      <c r="B1603" s="2">
        <v>84469.0</v>
      </c>
      <c r="C1603" s="2" t="s">
        <v>1824</v>
      </c>
      <c r="D1603" s="2">
        <v>2.95</v>
      </c>
      <c r="E1603" s="2">
        <v>332.0</v>
      </c>
      <c r="F1603" s="2">
        <v>1124.7</v>
      </c>
      <c r="G1603" s="4">
        <f t="shared" si="3"/>
        <v>8471622.45</v>
      </c>
      <c r="H1603" s="4">
        <f t="shared" si="1"/>
        <v>0.8875996882</v>
      </c>
      <c r="I1603" s="4" t="str">
        <f t="shared" si="2"/>
        <v>B</v>
      </c>
    </row>
    <row r="1604">
      <c r="A1604" s="2">
        <v>1603.0</v>
      </c>
      <c r="B1604" s="2">
        <v>23128.0</v>
      </c>
      <c r="C1604" s="2" t="s">
        <v>1825</v>
      </c>
      <c r="D1604" s="2">
        <v>4.95</v>
      </c>
      <c r="E1604" s="2">
        <v>223.0</v>
      </c>
      <c r="F1604" s="2">
        <v>1124.38</v>
      </c>
      <c r="G1604" s="4">
        <f t="shared" si="3"/>
        <v>8472746.83</v>
      </c>
      <c r="H1604" s="4">
        <f t="shared" si="1"/>
        <v>0.8877174932</v>
      </c>
      <c r="I1604" s="4" t="str">
        <f t="shared" si="2"/>
        <v>B</v>
      </c>
    </row>
    <row r="1605">
      <c r="A1605" s="2">
        <v>1604.0</v>
      </c>
      <c r="B1605" s="2">
        <v>22133.0</v>
      </c>
      <c r="C1605" s="2" t="s">
        <v>1826</v>
      </c>
      <c r="D1605" s="2">
        <v>0.85</v>
      </c>
      <c r="E1605" s="2">
        <v>1226.0</v>
      </c>
      <c r="F1605" s="2">
        <v>1124.2</v>
      </c>
      <c r="G1605" s="4">
        <f t="shared" si="3"/>
        <v>8473871.03</v>
      </c>
      <c r="H1605" s="4">
        <f t="shared" si="1"/>
        <v>0.8878352793</v>
      </c>
      <c r="I1605" s="4" t="str">
        <f t="shared" si="2"/>
        <v>B</v>
      </c>
    </row>
    <row r="1606">
      <c r="A1606" s="2">
        <v>1605.0</v>
      </c>
      <c r="B1606" s="2">
        <v>22933.0</v>
      </c>
      <c r="C1606" s="2" t="s">
        <v>1827</v>
      </c>
      <c r="D1606" s="2">
        <v>2.95</v>
      </c>
      <c r="E1606" s="2">
        <v>392.0</v>
      </c>
      <c r="F1606" s="2">
        <v>1124.06</v>
      </c>
      <c r="G1606" s="4">
        <f t="shared" si="3"/>
        <v>8474995.09</v>
      </c>
      <c r="H1606" s="4">
        <f t="shared" si="1"/>
        <v>0.8879530508</v>
      </c>
      <c r="I1606" s="4" t="str">
        <f t="shared" si="2"/>
        <v>B</v>
      </c>
    </row>
    <row r="1607">
      <c r="A1607" s="2">
        <v>1606.0</v>
      </c>
      <c r="B1607" s="2">
        <v>22286.0</v>
      </c>
      <c r="C1607" s="2" t="s">
        <v>1828</v>
      </c>
      <c r="D1607" s="2">
        <v>1.65</v>
      </c>
      <c r="E1607" s="2">
        <v>982.0</v>
      </c>
      <c r="F1607" s="2">
        <v>1122.65</v>
      </c>
      <c r="G1607" s="4">
        <f t="shared" si="3"/>
        <v>8476117.74</v>
      </c>
      <c r="H1607" s="4">
        <f t="shared" si="1"/>
        <v>0.8880706745</v>
      </c>
      <c r="I1607" s="4" t="str">
        <f t="shared" si="2"/>
        <v>B</v>
      </c>
    </row>
    <row r="1608">
      <c r="A1608" s="2">
        <v>1607.0</v>
      </c>
      <c r="B1608" s="2">
        <v>23093.0</v>
      </c>
      <c r="C1608" s="2" t="s">
        <v>1829</v>
      </c>
      <c r="D1608" s="2">
        <v>2.49</v>
      </c>
      <c r="E1608" s="2">
        <v>470.0</v>
      </c>
      <c r="F1608" s="2">
        <v>1122.11</v>
      </c>
      <c r="G1608" s="4">
        <f t="shared" si="3"/>
        <v>8477239.85</v>
      </c>
      <c r="H1608" s="4">
        <f t="shared" si="1"/>
        <v>0.8881882417</v>
      </c>
      <c r="I1608" s="4" t="str">
        <f t="shared" si="2"/>
        <v>B</v>
      </c>
    </row>
    <row r="1609">
      <c r="A1609" s="2">
        <v>1608.0</v>
      </c>
      <c r="B1609" s="2">
        <v>85172.0</v>
      </c>
      <c r="C1609" s="2" t="s">
        <v>1830</v>
      </c>
      <c r="D1609" s="2">
        <v>0.42</v>
      </c>
      <c r="E1609" s="2">
        <v>2096.0</v>
      </c>
      <c r="F1609" s="2">
        <v>1120.48</v>
      </c>
      <c r="G1609" s="4">
        <f t="shared" si="3"/>
        <v>8478360.33</v>
      </c>
      <c r="H1609" s="4">
        <f t="shared" si="1"/>
        <v>0.888305638</v>
      </c>
      <c r="I1609" s="4" t="str">
        <f t="shared" si="2"/>
        <v>B</v>
      </c>
    </row>
    <row r="1610">
      <c r="A1610" s="2">
        <v>1609.0</v>
      </c>
      <c r="B1610" s="2" t="s">
        <v>1831</v>
      </c>
      <c r="C1610" s="2" t="s">
        <v>1832</v>
      </c>
      <c r="D1610" s="2">
        <v>4.25</v>
      </c>
      <c r="E1610" s="2">
        <v>310.0</v>
      </c>
      <c r="F1610" s="2">
        <v>1120.36</v>
      </c>
      <c r="G1610" s="4">
        <f t="shared" si="3"/>
        <v>8479480.69</v>
      </c>
      <c r="H1610" s="4">
        <f t="shared" si="1"/>
        <v>0.8884230218</v>
      </c>
      <c r="I1610" s="4" t="str">
        <f t="shared" si="2"/>
        <v>B</v>
      </c>
    </row>
    <row r="1611">
      <c r="A1611" s="2">
        <v>1610.0</v>
      </c>
      <c r="B1611" s="2">
        <v>21638.0</v>
      </c>
      <c r="C1611" s="2" t="s">
        <v>1833</v>
      </c>
      <c r="D1611" s="2">
        <v>2.1</v>
      </c>
      <c r="E1611" s="2">
        <v>514.0</v>
      </c>
      <c r="F1611" s="2">
        <v>1119.92</v>
      </c>
      <c r="G1611" s="4">
        <f t="shared" si="3"/>
        <v>8480600.61</v>
      </c>
      <c r="H1611" s="4">
        <f t="shared" si="1"/>
        <v>0.8885403595</v>
      </c>
      <c r="I1611" s="4" t="str">
        <f t="shared" si="2"/>
        <v>B</v>
      </c>
    </row>
    <row r="1612">
      <c r="A1612" s="2">
        <v>1611.0</v>
      </c>
      <c r="B1612" s="2">
        <v>22803.0</v>
      </c>
      <c r="C1612" s="2" t="s">
        <v>1834</v>
      </c>
      <c r="D1612" s="2">
        <v>39.95</v>
      </c>
      <c r="E1612" s="2">
        <v>30.0</v>
      </c>
      <c r="F1612" s="2">
        <v>1118.92</v>
      </c>
      <c r="G1612" s="4">
        <f t="shared" si="3"/>
        <v>8481719.53</v>
      </c>
      <c r="H1612" s="4">
        <f t="shared" si="1"/>
        <v>0.8886575924</v>
      </c>
      <c r="I1612" s="4" t="str">
        <f t="shared" si="2"/>
        <v>B</v>
      </c>
    </row>
    <row r="1613">
      <c r="A1613" s="2">
        <v>1612.0</v>
      </c>
      <c r="B1613" s="2">
        <v>23326.0</v>
      </c>
      <c r="C1613" s="2" t="s">
        <v>1835</v>
      </c>
      <c r="D1613" s="2">
        <v>0.63</v>
      </c>
      <c r="E1613" s="2">
        <v>1722.0</v>
      </c>
      <c r="F1613" s="2">
        <v>1118.86</v>
      </c>
      <c r="G1613" s="4">
        <f t="shared" si="3"/>
        <v>8482838.39</v>
      </c>
      <c r="H1613" s="4">
        <f t="shared" si="1"/>
        <v>0.8887748191</v>
      </c>
      <c r="I1613" s="4" t="str">
        <f t="shared" si="2"/>
        <v>B</v>
      </c>
    </row>
    <row r="1614">
      <c r="A1614" s="2">
        <v>1613.0</v>
      </c>
      <c r="B1614" s="2">
        <v>22336.0</v>
      </c>
      <c r="C1614" s="2" t="s">
        <v>1836</v>
      </c>
      <c r="D1614" s="2">
        <v>0.65</v>
      </c>
      <c r="E1614" s="2">
        <v>2332.0</v>
      </c>
      <c r="F1614" s="2">
        <v>1117.67</v>
      </c>
      <c r="G1614" s="4">
        <f t="shared" si="3"/>
        <v>8483956.06</v>
      </c>
      <c r="H1614" s="4">
        <f t="shared" si="1"/>
        <v>0.888891921</v>
      </c>
      <c r="I1614" s="4" t="str">
        <f t="shared" si="2"/>
        <v>B</v>
      </c>
    </row>
    <row r="1615">
      <c r="A1615" s="2">
        <v>1614.0</v>
      </c>
      <c r="B1615" s="2">
        <v>21696.0</v>
      </c>
      <c r="C1615" s="2" t="s">
        <v>1837</v>
      </c>
      <c r="D1615" s="2">
        <v>2.95</v>
      </c>
      <c r="E1615" s="2">
        <v>372.0</v>
      </c>
      <c r="F1615" s="2">
        <v>1116.72</v>
      </c>
      <c r="G1615" s="4">
        <f t="shared" si="3"/>
        <v>8485072.78</v>
      </c>
      <c r="H1615" s="4">
        <f t="shared" si="1"/>
        <v>0.8890089234</v>
      </c>
      <c r="I1615" s="4" t="str">
        <f t="shared" si="2"/>
        <v>B</v>
      </c>
    </row>
    <row r="1616">
      <c r="A1616" s="2">
        <v>1615.0</v>
      </c>
      <c r="B1616" s="2">
        <v>21398.0</v>
      </c>
      <c r="C1616" s="2" t="s">
        <v>1838</v>
      </c>
      <c r="D1616" s="2">
        <v>2.1</v>
      </c>
      <c r="E1616" s="2">
        <v>1148.0</v>
      </c>
      <c r="F1616" s="2">
        <v>1115.95</v>
      </c>
      <c r="G1616" s="4">
        <f t="shared" si="3"/>
        <v>8486188.73</v>
      </c>
      <c r="H1616" s="4">
        <f t="shared" si="1"/>
        <v>0.8891258452</v>
      </c>
      <c r="I1616" s="4" t="str">
        <f t="shared" si="2"/>
        <v>B</v>
      </c>
    </row>
    <row r="1617">
      <c r="A1617" s="2">
        <v>1616.0</v>
      </c>
      <c r="B1617" s="2">
        <v>84691.0</v>
      </c>
      <c r="C1617" s="2" t="s">
        <v>1839</v>
      </c>
      <c r="D1617" s="2">
        <v>0.85</v>
      </c>
      <c r="E1617" s="2">
        <v>1377.0</v>
      </c>
      <c r="F1617" s="2">
        <v>1115.72</v>
      </c>
      <c r="G1617" s="4">
        <f t="shared" si="3"/>
        <v>8487304.45</v>
      </c>
      <c r="H1617" s="4">
        <f t="shared" si="1"/>
        <v>0.8892427428</v>
      </c>
      <c r="I1617" s="4" t="str">
        <f t="shared" si="2"/>
        <v>B</v>
      </c>
    </row>
    <row r="1618">
      <c r="A1618" s="2">
        <v>1617.0</v>
      </c>
      <c r="B1618" s="2">
        <v>23438.0</v>
      </c>
      <c r="C1618" s="2" t="s">
        <v>1840</v>
      </c>
      <c r="D1618" s="2">
        <v>1.25</v>
      </c>
      <c r="E1618" s="2">
        <v>912.0</v>
      </c>
      <c r="F1618" s="2">
        <v>1113.71</v>
      </c>
      <c r="G1618" s="4">
        <f t="shared" si="3"/>
        <v>8488418.16</v>
      </c>
      <c r="H1618" s="4">
        <f t="shared" si="1"/>
        <v>0.8893594299</v>
      </c>
      <c r="I1618" s="4" t="str">
        <f t="shared" si="2"/>
        <v>B</v>
      </c>
    </row>
    <row r="1619">
      <c r="A1619" s="2">
        <v>1618.0</v>
      </c>
      <c r="B1619" s="2">
        <v>21681.0</v>
      </c>
      <c r="C1619" s="2" t="s">
        <v>1841</v>
      </c>
      <c r="D1619" s="2">
        <v>9.95</v>
      </c>
      <c r="E1619" s="2">
        <v>116.0</v>
      </c>
      <c r="F1619" s="2">
        <v>1112.43</v>
      </c>
      <c r="G1619" s="4">
        <f t="shared" si="3"/>
        <v>8489530.59</v>
      </c>
      <c r="H1619" s="4">
        <f t="shared" si="1"/>
        <v>0.8894759828</v>
      </c>
      <c r="I1619" s="4" t="str">
        <f t="shared" si="2"/>
        <v>B</v>
      </c>
    </row>
    <row r="1620">
      <c r="A1620" s="2">
        <v>1619.0</v>
      </c>
      <c r="B1620" s="2">
        <v>20931.0</v>
      </c>
      <c r="C1620" s="2" t="s">
        <v>1842</v>
      </c>
      <c r="D1620" s="2">
        <v>3.75</v>
      </c>
      <c r="E1620" s="2">
        <v>334.0</v>
      </c>
      <c r="F1620" s="2">
        <v>1111.54</v>
      </c>
      <c r="G1620" s="4">
        <f t="shared" si="3"/>
        <v>8490642.13</v>
      </c>
      <c r="H1620" s="4">
        <f t="shared" si="1"/>
        <v>0.8895924425</v>
      </c>
      <c r="I1620" s="4" t="str">
        <f t="shared" si="2"/>
        <v>B</v>
      </c>
    </row>
    <row r="1621">
      <c r="A1621" s="2">
        <v>1620.0</v>
      </c>
      <c r="B1621" s="2">
        <v>23501.0</v>
      </c>
      <c r="C1621" s="2" t="s">
        <v>1843</v>
      </c>
      <c r="D1621" s="2">
        <v>1.25</v>
      </c>
      <c r="E1621" s="2">
        <v>912.0</v>
      </c>
      <c r="F1621" s="2">
        <v>1110.18</v>
      </c>
      <c r="G1621" s="4">
        <f t="shared" si="3"/>
        <v>8491752.31</v>
      </c>
      <c r="H1621" s="4">
        <f t="shared" si="1"/>
        <v>0.8897087597</v>
      </c>
      <c r="I1621" s="4" t="str">
        <f t="shared" si="2"/>
        <v>B</v>
      </c>
    </row>
    <row r="1622">
      <c r="A1622" s="2">
        <v>1621.0</v>
      </c>
      <c r="B1622" s="2">
        <v>85045.0</v>
      </c>
      <c r="C1622" s="2" t="s">
        <v>1844</v>
      </c>
      <c r="D1622" s="2">
        <v>4.95</v>
      </c>
      <c r="E1622" s="2">
        <v>234.0</v>
      </c>
      <c r="F1622" s="2">
        <v>1109.77</v>
      </c>
      <c r="G1622" s="4">
        <f t="shared" si="3"/>
        <v>8492862.08</v>
      </c>
      <c r="H1622" s="4">
        <f t="shared" si="1"/>
        <v>0.889825034</v>
      </c>
      <c r="I1622" s="4" t="str">
        <f t="shared" si="2"/>
        <v>B</v>
      </c>
    </row>
    <row r="1623">
      <c r="A1623" s="2">
        <v>1622.0</v>
      </c>
      <c r="B1623" s="2">
        <v>21476.0</v>
      </c>
      <c r="C1623" s="2" t="s">
        <v>1845</v>
      </c>
      <c r="D1623" s="2">
        <v>14.95</v>
      </c>
      <c r="E1623" s="2">
        <v>71.0</v>
      </c>
      <c r="F1623" s="2">
        <v>1109.75</v>
      </c>
      <c r="G1623" s="4">
        <f t="shared" si="3"/>
        <v>8493971.83</v>
      </c>
      <c r="H1623" s="4">
        <f t="shared" si="1"/>
        <v>0.8899413061</v>
      </c>
      <c r="I1623" s="4" t="str">
        <f t="shared" si="2"/>
        <v>B</v>
      </c>
    </row>
    <row r="1624">
      <c r="A1624" s="2">
        <v>1623.0</v>
      </c>
      <c r="B1624" s="2">
        <v>21464.0</v>
      </c>
      <c r="C1624" s="2" t="s">
        <v>1846</v>
      </c>
      <c r="D1624" s="2">
        <v>4.25</v>
      </c>
      <c r="E1624" s="2">
        <v>262.0</v>
      </c>
      <c r="F1624" s="2">
        <v>1109.38</v>
      </c>
      <c r="G1624" s="4">
        <f t="shared" si="3"/>
        <v>8495081.21</v>
      </c>
      <c r="H1624" s="4">
        <f t="shared" si="1"/>
        <v>0.8900575395</v>
      </c>
      <c r="I1624" s="4" t="str">
        <f t="shared" si="2"/>
        <v>B</v>
      </c>
    </row>
    <row r="1625">
      <c r="A1625" s="2">
        <v>1624.0</v>
      </c>
      <c r="B1625" s="2">
        <v>21710.0</v>
      </c>
      <c r="C1625" s="2" t="s">
        <v>1847</v>
      </c>
      <c r="D1625" s="2">
        <v>4.95</v>
      </c>
      <c r="E1625" s="2">
        <v>361.0</v>
      </c>
      <c r="F1625" s="2">
        <v>1107.6</v>
      </c>
      <c r="G1625" s="4">
        <f t="shared" si="3"/>
        <v>8496188.81</v>
      </c>
      <c r="H1625" s="4">
        <f t="shared" si="1"/>
        <v>0.8901735864</v>
      </c>
      <c r="I1625" s="4" t="str">
        <f t="shared" si="2"/>
        <v>B</v>
      </c>
    </row>
    <row r="1626">
      <c r="A1626" s="2">
        <v>1625.0</v>
      </c>
      <c r="B1626" s="2">
        <v>16237.0</v>
      </c>
      <c r="C1626" s="2" t="s">
        <v>1848</v>
      </c>
      <c r="D1626" s="2">
        <v>0.21</v>
      </c>
      <c r="E1626" s="2">
        <v>5148.0</v>
      </c>
      <c r="F1626" s="2">
        <v>1107.34</v>
      </c>
      <c r="G1626" s="4">
        <f t="shared" si="3"/>
        <v>8497296.15</v>
      </c>
      <c r="H1626" s="4">
        <f t="shared" si="1"/>
        <v>0.890289606</v>
      </c>
      <c r="I1626" s="4" t="str">
        <f t="shared" si="2"/>
        <v>B</v>
      </c>
    </row>
    <row r="1627">
      <c r="A1627" s="2">
        <v>1626.0</v>
      </c>
      <c r="B1627" s="2" t="s">
        <v>1849</v>
      </c>
      <c r="C1627" s="2" t="s">
        <v>1850</v>
      </c>
      <c r="D1627" s="2">
        <v>3.36</v>
      </c>
      <c r="E1627" s="2">
        <v>304.0</v>
      </c>
      <c r="F1627" s="2">
        <v>1105.77</v>
      </c>
      <c r="G1627" s="4">
        <f t="shared" si="3"/>
        <v>8498401.92</v>
      </c>
      <c r="H1627" s="4">
        <f t="shared" si="1"/>
        <v>0.8904054612</v>
      </c>
      <c r="I1627" s="4" t="str">
        <f t="shared" si="2"/>
        <v>B</v>
      </c>
    </row>
    <row r="1628">
      <c r="A1628" s="2">
        <v>1627.0</v>
      </c>
      <c r="B1628" s="2">
        <v>22716.0</v>
      </c>
      <c r="C1628" s="2" t="s">
        <v>1851</v>
      </c>
      <c r="D1628" s="2">
        <v>0.42</v>
      </c>
      <c r="E1628" s="2">
        <v>2609.0</v>
      </c>
      <c r="F1628" s="2">
        <v>1105.7</v>
      </c>
      <c r="G1628" s="4">
        <f t="shared" si="3"/>
        <v>8499507.62</v>
      </c>
      <c r="H1628" s="4">
        <f t="shared" si="1"/>
        <v>0.890521309</v>
      </c>
      <c r="I1628" s="4" t="str">
        <f t="shared" si="2"/>
        <v>B</v>
      </c>
    </row>
    <row r="1629">
      <c r="A1629" s="2">
        <v>1628.0</v>
      </c>
      <c r="B1629" s="2">
        <v>21686.0</v>
      </c>
      <c r="C1629" s="2" t="s">
        <v>1852</v>
      </c>
      <c r="D1629" s="2">
        <v>39.95</v>
      </c>
      <c r="E1629" s="2">
        <v>29.0</v>
      </c>
      <c r="F1629" s="2">
        <v>1105.25</v>
      </c>
      <c r="G1629" s="4">
        <f t="shared" si="3"/>
        <v>8500612.87</v>
      </c>
      <c r="H1629" s="4">
        <f t="shared" si="1"/>
        <v>0.8906371097</v>
      </c>
      <c r="I1629" s="4" t="str">
        <f t="shared" si="2"/>
        <v>B</v>
      </c>
    </row>
    <row r="1630">
      <c r="A1630" s="2">
        <v>1629.0</v>
      </c>
      <c r="B1630" s="2">
        <v>21620.0</v>
      </c>
      <c r="C1630" s="2" t="s">
        <v>1853</v>
      </c>
      <c r="D1630" s="2">
        <v>2.46</v>
      </c>
      <c r="E1630" s="2">
        <v>549.0</v>
      </c>
      <c r="F1630" s="2">
        <v>1105.24</v>
      </c>
      <c r="G1630" s="4">
        <f t="shared" si="3"/>
        <v>8501718.11</v>
      </c>
      <c r="H1630" s="4">
        <f t="shared" si="1"/>
        <v>0.8907529093</v>
      </c>
      <c r="I1630" s="4" t="str">
        <f t="shared" si="2"/>
        <v>B</v>
      </c>
    </row>
    <row r="1631">
      <c r="A1631" s="2">
        <v>1630.0</v>
      </c>
      <c r="B1631" s="2">
        <v>22711.0</v>
      </c>
      <c r="C1631" s="2" t="s">
        <v>1854</v>
      </c>
      <c r="D1631" s="2">
        <v>0.42</v>
      </c>
      <c r="E1631" s="2">
        <v>2688.0</v>
      </c>
      <c r="F1631" s="2">
        <v>1105.17</v>
      </c>
      <c r="G1631" s="4">
        <f t="shared" si="3"/>
        <v>8502823.28</v>
      </c>
      <c r="H1631" s="4">
        <f t="shared" si="1"/>
        <v>0.8908687016</v>
      </c>
      <c r="I1631" s="4" t="str">
        <f t="shared" si="2"/>
        <v>B</v>
      </c>
    </row>
    <row r="1632">
      <c r="A1632" s="2">
        <v>1631.0</v>
      </c>
      <c r="B1632" s="2">
        <v>23403.0</v>
      </c>
      <c r="C1632" s="2" t="s">
        <v>1855</v>
      </c>
      <c r="D1632" s="2">
        <v>3.75</v>
      </c>
      <c r="E1632" s="2">
        <v>313.0</v>
      </c>
      <c r="F1632" s="2">
        <v>1103.93</v>
      </c>
      <c r="G1632" s="4">
        <f t="shared" si="3"/>
        <v>8503927.21</v>
      </c>
      <c r="H1632" s="4">
        <f t="shared" si="1"/>
        <v>0.890984364</v>
      </c>
      <c r="I1632" s="4" t="str">
        <f t="shared" si="2"/>
        <v>B</v>
      </c>
    </row>
    <row r="1633">
      <c r="A1633" s="2">
        <v>1632.0</v>
      </c>
      <c r="B1633" s="2">
        <v>22785.0</v>
      </c>
      <c r="C1633" s="2" t="s">
        <v>1856</v>
      </c>
      <c r="D1633" s="2">
        <v>6.75</v>
      </c>
      <c r="E1633" s="2">
        <v>206.0</v>
      </c>
      <c r="F1633" s="2">
        <v>1103.56</v>
      </c>
      <c r="G1633" s="4">
        <f t="shared" si="3"/>
        <v>8505030.77</v>
      </c>
      <c r="H1633" s="4">
        <f t="shared" si="1"/>
        <v>0.8910999876</v>
      </c>
      <c r="I1633" s="4" t="str">
        <f t="shared" si="2"/>
        <v>B</v>
      </c>
    </row>
    <row r="1634">
      <c r="A1634" s="2">
        <v>1633.0</v>
      </c>
      <c r="B1634" s="2">
        <v>22514.0</v>
      </c>
      <c r="C1634" s="2" t="s">
        <v>1857</v>
      </c>
      <c r="D1634" s="2">
        <v>2.1</v>
      </c>
      <c r="E1634" s="2">
        <v>542.0</v>
      </c>
      <c r="F1634" s="2">
        <v>1102.51</v>
      </c>
      <c r="G1634" s="4">
        <f t="shared" si="3"/>
        <v>8506133.28</v>
      </c>
      <c r="H1634" s="4">
        <f t="shared" si="1"/>
        <v>0.8912155012</v>
      </c>
      <c r="I1634" s="4" t="str">
        <f t="shared" si="2"/>
        <v>B</v>
      </c>
    </row>
    <row r="1635">
      <c r="A1635" s="2">
        <v>1634.0</v>
      </c>
      <c r="B1635" s="2" t="s">
        <v>1858</v>
      </c>
      <c r="C1635" s="2" t="s">
        <v>1859</v>
      </c>
      <c r="D1635" s="2">
        <v>0.38</v>
      </c>
      <c r="E1635" s="2">
        <v>1982.0</v>
      </c>
      <c r="F1635" s="2">
        <v>1102.18</v>
      </c>
      <c r="G1635" s="4">
        <f t="shared" si="3"/>
        <v>8507235.46</v>
      </c>
      <c r="H1635" s="4">
        <f t="shared" si="1"/>
        <v>0.8913309802</v>
      </c>
      <c r="I1635" s="4" t="str">
        <f t="shared" si="2"/>
        <v>B</v>
      </c>
    </row>
    <row r="1636">
      <c r="A1636" s="2">
        <v>1635.0</v>
      </c>
      <c r="B1636" s="2">
        <v>21125.0</v>
      </c>
      <c r="C1636" s="2" t="s">
        <v>1860</v>
      </c>
      <c r="D1636" s="2">
        <v>1.25</v>
      </c>
      <c r="E1636" s="2">
        <v>1058.0</v>
      </c>
      <c r="F1636" s="2">
        <v>1101.94</v>
      </c>
      <c r="G1636" s="4">
        <f t="shared" si="3"/>
        <v>8508337.4</v>
      </c>
      <c r="H1636" s="4">
        <f t="shared" si="1"/>
        <v>0.891446434</v>
      </c>
      <c r="I1636" s="4" t="str">
        <f t="shared" si="2"/>
        <v>B</v>
      </c>
    </row>
    <row r="1637">
      <c r="A1637" s="2">
        <v>1636.0</v>
      </c>
      <c r="B1637" s="2">
        <v>22074.0</v>
      </c>
      <c r="C1637" s="2" t="s">
        <v>1861</v>
      </c>
      <c r="D1637" s="2">
        <v>1.65</v>
      </c>
      <c r="E1637" s="2">
        <v>1074.0</v>
      </c>
      <c r="F1637" s="2">
        <v>1101.57</v>
      </c>
      <c r="G1637" s="4">
        <f t="shared" si="3"/>
        <v>8509438.97</v>
      </c>
      <c r="H1637" s="4">
        <f t="shared" si="1"/>
        <v>0.8915618491</v>
      </c>
      <c r="I1637" s="4" t="str">
        <f t="shared" si="2"/>
        <v>B</v>
      </c>
    </row>
    <row r="1638">
      <c r="A1638" s="2">
        <v>1637.0</v>
      </c>
      <c r="B1638" s="2">
        <v>22453.0</v>
      </c>
      <c r="C1638" s="2" t="s">
        <v>1862</v>
      </c>
      <c r="D1638" s="2">
        <v>2.95</v>
      </c>
      <c r="E1638" s="2">
        <v>398.0</v>
      </c>
      <c r="F1638" s="2">
        <v>1100.56</v>
      </c>
      <c r="G1638" s="4">
        <f t="shared" si="3"/>
        <v>8510539.53</v>
      </c>
      <c r="H1638" s="4">
        <f t="shared" si="1"/>
        <v>0.8916771584</v>
      </c>
      <c r="I1638" s="4" t="str">
        <f t="shared" si="2"/>
        <v>B</v>
      </c>
    </row>
    <row r="1639">
      <c r="A1639" s="2">
        <v>1638.0</v>
      </c>
      <c r="B1639" s="2">
        <v>21611.0</v>
      </c>
      <c r="C1639" s="2" t="s">
        <v>1863</v>
      </c>
      <c r="D1639" s="2">
        <v>2.95</v>
      </c>
      <c r="E1639" s="2">
        <v>377.0</v>
      </c>
      <c r="F1639" s="2">
        <v>1097.0</v>
      </c>
      <c r="G1639" s="4">
        <f t="shared" si="3"/>
        <v>8511636.53</v>
      </c>
      <c r="H1639" s="4">
        <f t="shared" si="1"/>
        <v>0.8917920947</v>
      </c>
      <c r="I1639" s="4" t="str">
        <f t="shared" si="2"/>
        <v>B</v>
      </c>
    </row>
    <row r="1640">
      <c r="A1640" s="2">
        <v>1639.0</v>
      </c>
      <c r="B1640" s="2">
        <v>22853.0</v>
      </c>
      <c r="C1640" s="2" t="s">
        <v>1864</v>
      </c>
      <c r="D1640" s="2">
        <v>3.25</v>
      </c>
      <c r="E1640" s="2">
        <v>320.0</v>
      </c>
      <c r="F1640" s="2">
        <v>1093.04</v>
      </c>
      <c r="G1640" s="4">
        <f t="shared" si="3"/>
        <v>8512729.57</v>
      </c>
      <c r="H1640" s="4">
        <f t="shared" si="1"/>
        <v>0.8919066161</v>
      </c>
      <c r="I1640" s="4" t="str">
        <f t="shared" si="2"/>
        <v>B</v>
      </c>
    </row>
    <row r="1641">
      <c r="A1641" s="2">
        <v>1640.0</v>
      </c>
      <c r="B1641" s="2">
        <v>23031.0</v>
      </c>
      <c r="C1641" s="2" t="s">
        <v>1865</v>
      </c>
      <c r="D1641" s="2">
        <v>1.65</v>
      </c>
      <c r="E1641" s="2">
        <v>648.0</v>
      </c>
      <c r="F1641" s="2">
        <v>1091.0</v>
      </c>
      <c r="G1641" s="4">
        <f t="shared" si="3"/>
        <v>8513820.57</v>
      </c>
      <c r="H1641" s="4">
        <f t="shared" si="1"/>
        <v>0.8920209238</v>
      </c>
      <c r="I1641" s="4" t="str">
        <f t="shared" si="2"/>
        <v>B</v>
      </c>
    </row>
    <row r="1642">
      <c r="A1642" s="2">
        <v>1641.0</v>
      </c>
      <c r="B1642" s="2">
        <v>20770.0</v>
      </c>
      <c r="C1642" s="2" t="s">
        <v>1866</v>
      </c>
      <c r="D1642" s="2">
        <v>2.55</v>
      </c>
      <c r="E1642" s="2">
        <v>520.0</v>
      </c>
      <c r="F1642" s="2">
        <v>1088.92</v>
      </c>
      <c r="G1642" s="4">
        <f t="shared" si="3"/>
        <v>8514909.49</v>
      </c>
      <c r="H1642" s="4">
        <f t="shared" si="1"/>
        <v>0.8921350135</v>
      </c>
      <c r="I1642" s="4" t="str">
        <f t="shared" si="2"/>
        <v>B</v>
      </c>
    </row>
    <row r="1643">
      <c r="A1643" s="2">
        <v>1642.0</v>
      </c>
      <c r="B1643" s="2" t="s">
        <v>1867</v>
      </c>
      <c r="C1643" s="2" t="s">
        <v>1868</v>
      </c>
      <c r="D1643" s="2">
        <v>0.83</v>
      </c>
      <c r="E1643" s="2">
        <v>1692.0</v>
      </c>
      <c r="F1643" s="2">
        <v>1088.44</v>
      </c>
      <c r="G1643" s="4">
        <f t="shared" si="3"/>
        <v>8515997.93</v>
      </c>
      <c r="H1643" s="4">
        <f t="shared" si="1"/>
        <v>0.8922490529</v>
      </c>
      <c r="I1643" s="4" t="str">
        <f t="shared" si="2"/>
        <v>B</v>
      </c>
    </row>
    <row r="1644">
      <c r="A1644" s="2">
        <v>1643.0</v>
      </c>
      <c r="B1644" s="2">
        <v>23252.0</v>
      </c>
      <c r="C1644" s="2" t="s">
        <v>1869</v>
      </c>
      <c r="D1644" s="2">
        <v>3.75</v>
      </c>
      <c r="E1644" s="2">
        <v>290.0</v>
      </c>
      <c r="F1644" s="2">
        <v>1085.8</v>
      </c>
      <c r="G1644" s="4">
        <f t="shared" si="3"/>
        <v>8517083.73</v>
      </c>
      <c r="H1644" s="4">
        <f t="shared" si="1"/>
        <v>0.8923628157</v>
      </c>
      <c r="I1644" s="4" t="str">
        <f t="shared" si="2"/>
        <v>B</v>
      </c>
    </row>
    <row r="1645">
      <c r="A1645" s="2">
        <v>1644.0</v>
      </c>
      <c r="B1645" s="2" t="s">
        <v>1870</v>
      </c>
      <c r="C1645" s="2" t="s">
        <v>78</v>
      </c>
      <c r="D1645" s="2">
        <v>12.46</v>
      </c>
      <c r="E1645" s="2">
        <v>86.0</v>
      </c>
      <c r="F1645" s="2">
        <v>1085.2</v>
      </c>
      <c r="G1645" s="4">
        <f t="shared" si="3"/>
        <v>8518168.93</v>
      </c>
      <c r="H1645" s="4">
        <f t="shared" si="1"/>
        <v>0.8924765157</v>
      </c>
      <c r="I1645" s="4" t="str">
        <f t="shared" si="2"/>
        <v>B</v>
      </c>
    </row>
    <row r="1646">
      <c r="A1646" s="2">
        <v>1645.0</v>
      </c>
      <c r="B1646" s="2">
        <v>22069.0</v>
      </c>
      <c r="C1646" s="2" t="s">
        <v>1871</v>
      </c>
      <c r="D1646" s="2">
        <v>3.36</v>
      </c>
      <c r="E1646" s="2">
        <v>485.0</v>
      </c>
      <c r="F1646" s="2">
        <v>1083.96</v>
      </c>
      <c r="G1646" s="4">
        <f t="shared" si="3"/>
        <v>8519252.89</v>
      </c>
      <c r="H1646" s="4">
        <f t="shared" si="1"/>
        <v>0.8925900858</v>
      </c>
      <c r="I1646" s="4" t="str">
        <f t="shared" si="2"/>
        <v>B</v>
      </c>
    </row>
    <row r="1647">
      <c r="A1647" s="2">
        <v>1646.0</v>
      </c>
      <c r="B1647" s="2">
        <v>22182.0</v>
      </c>
      <c r="C1647" s="2" t="s">
        <v>1872</v>
      </c>
      <c r="D1647" s="2">
        <v>4.21</v>
      </c>
      <c r="E1647" s="2">
        <v>282.0</v>
      </c>
      <c r="F1647" s="2">
        <v>1083.18</v>
      </c>
      <c r="G1647" s="4">
        <f t="shared" si="3"/>
        <v>8520336.07</v>
      </c>
      <c r="H1647" s="4">
        <f t="shared" si="1"/>
        <v>0.8927035741</v>
      </c>
      <c r="I1647" s="4" t="str">
        <f t="shared" si="2"/>
        <v>B</v>
      </c>
    </row>
    <row r="1648">
      <c r="A1648" s="2">
        <v>1647.0</v>
      </c>
      <c r="B1648" s="2">
        <v>22948.0</v>
      </c>
      <c r="C1648" s="2" t="s">
        <v>1873</v>
      </c>
      <c r="D1648" s="2">
        <v>0.85</v>
      </c>
      <c r="E1648" s="2">
        <v>1076.0</v>
      </c>
      <c r="F1648" s="2">
        <v>1080.64</v>
      </c>
      <c r="G1648" s="4">
        <f t="shared" si="3"/>
        <v>8521416.71</v>
      </c>
      <c r="H1648" s="4">
        <f t="shared" si="1"/>
        <v>0.8928167963</v>
      </c>
      <c r="I1648" s="4" t="str">
        <f t="shared" si="2"/>
        <v>B</v>
      </c>
    </row>
    <row r="1649">
      <c r="A1649" s="2">
        <v>1648.0</v>
      </c>
      <c r="B1649" s="2">
        <v>23445.0</v>
      </c>
      <c r="C1649" s="2" t="s">
        <v>1874</v>
      </c>
      <c r="D1649" s="2">
        <v>0.83</v>
      </c>
      <c r="E1649" s="2">
        <v>1334.0</v>
      </c>
      <c r="F1649" s="2">
        <v>1080.62</v>
      </c>
      <c r="G1649" s="4">
        <f t="shared" si="3"/>
        <v>8522497.33</v>
      </c>
      <c r="H1649" s="4">
        <f t="shared" si="1"/>
        <v>0.8929300164</v>
      </c>
      <c r="I1649" s="4" t="str">
        <f t="shared" si="2"/>
        <v>B</v>
      </c>
    </row>
    <row r="1650">
      <c r="A1650" s="2">
        <v>1649.0</v>
      </c>
      <c r="B1650" s="2" t="s">
        <v>1875</v>
      </c>
      <c r="C1650" s="2" t="s">
        <v>1876</v>
      </c>
      <c r="D1650" s="2">
        <v>1.65</v>
      </c>
      <c r="E1650" s="2">
        <v>820.0</v>
      </c>
      <c r="F1650" s="2">
        <v>1079.36</v>
      </c>
      <c r="G1650" s="4">
        <f t="shared" si="3"/>
        <v>8523576.69</v>
      </c>
      <c r="H1650" s="4">
        <f t="shared" si="1"/>
        <v>0.8930431045</v>
      </c>
      <c r="I1650" s="4" t="str">
        <f t="shared" si="2"/>
        <v>B</v>
      </c>
    </row>
    <row r="1651">
      <c r="A1651" s="2">
        <v>1650.0</v>
      </c>
      <c r="B1651" s="2">
        <v>23370.0</v>
      </c>
      <c r="C1651" s="2" t="s">
        <v>1877</v>
      </c>
      <c r="D1651" s="2">
        <v>1.25</v>
      </c>
      <c r="E1651" s="2">
        <v>778.0</v>
      </c>
      <c r="F1651" s="2">
        <v>1078.92</v>
      </c>
      <c r="G1651" s="4">
        <f t="shared" si="3"/>
        <v>8524655.61</v>
      </c>
      <c r="H1651" s="4">
        <f t="shared" si="1"/>
        <v>0.8931561465</v>
      </c>
      <c r="I1651" s="4" t="str">
        <f t="shared" si="2"/>
        <v>B</v>
      </c>
    </row>
    <row r="1652">
      <c r="A1652" s="2">
        <v>1651.0</v>
      </c>
      <c r="B1652" s="2">
        <v>23005.0</v>
      </c>
      <c r="C1652" s="2" t="s">
        <v>1878</v>
      </c>
      <c r="D1652" s="2">
        <v>0.42</v>
      </c>
      <c r="E1652" s="2">
        <v>2392.0</v>
      </c>
      <c r="F1652" s="2">
        <v>1073.78</v>
      </c>
      <c r="G1652" s="4">
        <f t="shared" si="3"/>
        <v>8525729.39</v>
      </c>
      <c r="H1652" s="4">
        <f t="shared" si="1"/>
        <v>0.8932686499</v>
      </c>
      <c r="I1652" s="4" t="str">
        <f t="shared" si="2"/>
        <v>B</v>
      </c>
    </row>
    <row r="1653">
      <c r="A1653" s="2">
        <v>1652.0</v>
      </c>
      <c r="B1653" s="2">
        <v>23161.0</v>
      </c>
      <c r="C1653" s="2" t="s">
        <v>1879</v>
      </c>
      <c r="D1653" s="2">
        <v>1.25</v>
      </c>
      <c r="E1653" s="2">
        <v>858.0</v>
      </c>
      <c r="F1653" s="2">
        <v>1072.65</v>
      </c>
      <c r="G1653" s="4">
        <f t="shared" si="3"/>
        <v>8526802.04</v>
      </c>
      <c r="H1653" s="4">
        <f t="shared" si="1"/>
        <v>0.893381035</v>
      </c>
      <c r="I1653" s="4" t="str">
        <f t="shared" si="2"/>
        <v>B</v>
      </c>
    </row>
    <row r="1654">
      <c r="A1654" s="2">
        <v>1653.0</v>
      </c>
      <c r="B1654" s="2">
        <v>21421.0</v>
      </c>
      <c r="C1654" s="2" t="s">
        <v>1880</v>
      </c>
      <c r="D1654" s="2">
        <v>1.25</v>
      </c>
      <c r="E1654" s="2">
        <v>896.0</v>
      </c>
      <c r="F1654" s="2">
        <v>1072.24</v>
      </c>
      <c r="G1654" s="4">
        <f t="shared" si="3"/>
        <v>8527874.28</v>
      </c>
      <c r="H1654" s="4">
        <f t="shared" si="1"/>
        <v>0.8934933771</v>
      </c>
      <c r="I1654" s="4" t="str">
        <f t="shared" si="2"/>
        <v>B</v>
      </c>
    </row>
    <row r="1655">
      <c r="A1655" s="2">
        <v>1654.0</v>
      </c>
      <c r="B1655" s="2">
        <v>23302.0</v>
      </c>
      <c r="C1655" s="2" t="s">
        <v>1881</v>
      </c>
      <c r="D1655" s="2">
        <v>1.65</v>
      </c>
      <c r="E1655" s="2">
        <v>756.0</v>
      </c>
      <c r="F1655" s="2">
        <v>1071.73</v>
      </c>
      <c r="G1655" s="4">
        <f t="shared" si="3"/>
        <v>8528946.01</v>
      </c>
      <c r="H1655" s="4">
        <f t="shared" si="1"/>
        <v>0.8936056657</v>
      </c>
      <c r="I1655" s="4" t="str">
        <f t="shared" si="2"/>
        <v>B</v>
      </c>
    </row>
    <row r="1656">
      <c r="A1656" s="2">
        <v>1655.0</v>
      </c>
      <c r="B1656" s="2">
        <v>85116.0</v>
      </c>
      <c r="C1656" s="2" t="s">
        <v>1882</v>
      </c>
      <c r="D1656" s="2">
        <v>1.66</v>
      </c>
      <c r="E1656" s="2">
        <v>894.0</v>
      </c>
      <c r="F1656" s="2">
        <v>1071.62</v>
      </c>
      <c r="G1656" s="4">
        <f t="shared" si="3"/>
        <v>8530017.63</v>
      </c>
      <c r="H1656" s="4">
        <f t="shared" si="1"/>
        <v>0.8937179429</v>
      </c>
      <c r="I1656" s="4" t="str">
        <f t="shared" si="2"/>
        <v>B</v>
      </c>
    </row>
    <row r="1657">
      <c r="A1657" s="2">
        <v>1656.0</v>
      </c>
      <c r="B1657" s="2">
        <v>21905.0</v>
      </c>
      <c r="C1657" s="2" t="s">
        <v>1883</v>
      </c>
      <c r="D1657" s="2">
        <v>1.66</v>
      </c>
      <c r="E1657" s="2">
        <v>808.0</v>
      </c>
      <c r="F1657" s="2">
        <v>1071.58</v>
      </c>
      <c r="G1657" s="4">
        <f t="shared" si="3"/>
        <v>8531089.21</v>
      </c>
      <c r="H1657" s="4">
        <f t="shared" si="1"/>
        <v>0.8938302158</v>
      </c>
      <c r="I1657" s="4" t="str">
        <f t="shared" si="2"/>
        <v>B</v>
      </c>
    </row>
    <row r="1658">
      <c r="A1658" s="2">
        <v>1657.0</v>
      </c>
      <c r="B1658" s="2">
        <v>21617.0</v>
      </c>
      <c r="C1658" s="2" t="s">
        <v>1884</v>
      </c>
      <c r="D1658" s="2">
        <v>3.75</v>
      </c>
      <c r="E1658" s="2">
        <v>419.0</v>
      </c>
      <c r="F1658" s="2">
        <v>1071.26</v>
      </c>
      <c r="G1658" s="4">
        <f t="shared" si="3"/>
        <v>8532160.47</v>
      </c>
      <c r="H1658" s="4">
        <f t="shared" si="1"/>
        <v>0.8939424553</v>
      </c>
      <c r="I1658" s="4" t="str">
        <f t="shared" si="2"/>
        <v>B</v>
      </c>
    </row>
    <row r="1659">
      <c r="A1659" s="2">
        <v>1658.0</v>
      </c>
      <c r="B1659" s="2">
        <v>85216.0</v>
      </c>
      <c r="C1659" s="2" t="s">
        <v>1885</v>
      </c>
      <c r="D1659" s="2">
        <v>0.65</v>
      </c>
      <c r="E1659" s="2">
        <v>1416.0</v>
      </c>
      <c r="F1659" s="2">
        <v>1071.26</v>
      </c>
      <c r="G1659" s="4">
        <f t="shared" si="3"/>
        <v>8533231.73</v>
      </c>
      <c r="H1659" s="4">
        <f t="shared" si="1"/>
        <v>0.8940546947</v>
      </c>
      <c r="I1659" s="4" t="str">
        <f t="shared" si="2"/>
        <v>B</v>
      </c>
    </row>
    <row r="1660">
      <c r="A1660" s="2">
        <v>1659.0</v>
      </c>
      <c r="B1660" s="2">
        <v>23020.0</v>
      </c>
      <c r="C1660" s="2" t="s">
        <v>1886</v>
      </c>
      <c r="D1660" s="2">
        <v>12.5</v>
      </c>
      <c r="E1660" s="2">
        <v>88.0</v>
      </c>
      <c r="F1660" s="2">
        <v>1070.92</v>
      </c>
      <c r="G1660" s="4">
        <f t="shared" si="3"/>
        <v>8534302.65</v>
      </c>
      <c r="H1660" s="4">
        <f t="shared" si="1"/>
        <v>0.8941668985</v>
      </c>
      <c r="I1660" s="4" t="str">
        <f t="shared" si="2"/>
        <v>B</v>
      </c>
    </row>
    <row r="1661">
      <c r="A1661" s="2">
        <v>1660.0</v>
      </c>
      <c r="B1661" s="2">
        <v>23066.0</v>
      </c>
      <c r="C1661" s="2" t="s">
        <v>1887</v>
      </c>
      <c r="D1661" s="2">
        <v>8.25</v>
      </c>
      <c r="E1661" s="2">
        <v>130.0</v>
      </c>
      <c r="F1661" s="2">
        <v>1068.9</v>
      </c>
      <c r="G1661" s="4">
        <f t="shared" si="3"/>
        <v>8535371.55</v>
      </c>
      <c r="H1661" s="4">
        <f t="shared" si="1"/>
        <v>0.8942788907</v>
      </c>
      <c r="I1661" s="4" t="str">
        <f t="shared" si="2"/>
        <v>B</v>
      </c>
    </row>
    <row r="1662">
      <c r="A1662" s="2">
        <v>1661.0</v>
      </c>
      <c r="B1662" s="2">
        <v>21774.0</v>
      </c>
      <c r="C1662" s="2" t="s">
        <v>1888</v>
      </c>
      <c r="D1662" s="2">
        <v>2.46</v>
      </c>
      <c r="E1662" s="2">
        <v>858.0</v>
      </c>
      <c r="F1662" s="2">
        <v>1067.4</v>
      </c>
      <c r="G1662" s="4">
        <f t="shared" si="3"/>
        <v>8536438.95</v>
      </c>
      <c r="H1662" s="4">
        <f t="shared" si="1"/>
        <v>0.8943907257</v>
      </c>
      <c r="I1662" s="4" t="str">
        <f t="shared" si="2"/>
        <v>B</v>
      </c>
    </row>
    <row r="1663">
      <c r="A1663" s="2">
        <v>1662.0</v>
      </c>
      <c r="B1663" s="2">
        <v>84670.0</v>
      </c>
      <c r="C1663" s="2" t="s">
        <v>1889</v>
      </c>
      <c r="D1663" s="2">
        <v>0.42</v>
      </c>
      <c r="E1663" s="2">
        <v>2604.0</v>
      </c>
      <c r="F1663" s="2">
        <v>1067.09</v>
      </c>
      <c r="G1663" s="4">
        <f t="shared" si="3"/>
        <v>8537506.04</v>
      </c>
      <c r="H1663" s="4">
        <f t="shared" si="1"/>
        <v>0.8945025282</v>
      </c>
      <c r="I1663" s="4" t="str">
        <f t="shared" si="2"/>
        <v>B</v>
      </c>
    </row>
    <row r="1664">
      <c r="A1664" s="2">
        <v>1663.0</v>
      </c>
      <c r="B1664" s="2">
        <v>22515.0</v>
      </c>
      <c r="C1664" s="2" t="s">
        <v>1890</v>
      </c>
      <c r="D1664" s="2">
        <v>2.1</v>
      </c>
      <c r="E1664" s="2">
        <v>524.0</v>
      </c>
      <c r="F1664" s="2">
        <v>1065.92</v>
      </c>
      <c r="G1664" s="4">
        <f t="shared" si="3"/>
        <v>8538571.96</v>
      </c>
      <c r="H1664" s="4">
        <f t="shared" si="1"/>
        <v>0.8946142081</v>
      </c>
      <c r="I1664" s="4" t="str">
        <f t="shared" si="2"/>
        <v>B</v>
      </c>
    </row>
    <row r="1665">
      <c r="A1665" s="2">
        <v>1664.0</v>
      </c>
      <c r="B1665" s="2">
        <v>22708.0</v>
      </c>
      <c r="C1665" s="2" t="s">
        <v>1891</v>
      </c>
      <c r="D1665" s="2">
        <v>0.42</v>
      </c>
      <c r="E1665" s="2">
        <v>2650.0</v>
      </c>
      <c r="F1665" s="2">
        <v>1065.0</v>
      </c>
      <c r="G1665" s="4">
        <f t="shared" si="3"/>
        <v>8539636.96</v>
      </c>
      <c r="H1665" s="4">
        <f t="shared" si="1"/>
        <v>0.8947257917</v>
      </c>
      <c r="I1665" s="4" t="str">
        <f t="shared" si="2"/>
        <v>B</v>
      </c>
    </row>
    <row r="1666">
      <c r="A1666" s="2">
        <v>1665.0</v>
      </c>
      <c r="B1666" s="2">
        <v>22677.0</v>
      </c>
      <c r="C1666" s="2" t="s">
        <v>1892</v>
      </c>
      <c r="D1666" s="2">
        <v>1.25</v>
      </c>
      <c r="E1666" s="2">
        <v>786.0</v>
      </c>
      <c r="F1666" s="2">
        <v>1064.64</v>
      </c>
      <c r="G1666" s="4">
        <f t="shared" si="3"/>
        <v>8540701.6</v>
      </c>
      <c r="H1666" s="4">
        <f t="shared" si="1"/>
        <v>0.8948373375</v>
      </c>
      <c r="I1666" s="4" t="str">
        <f t="shared" si="2"/>
        <v>B</v>
      </c>
    </row>
    <row r="1667">
      <c r="A1667" s="2">
        <v>1666.0</v>
      </c>
      <c r="B1667" s="2">
        <v>20764.0</v>
      </c>
      <c r="C1667" s="2" t="s">
        <v>1893</v>
      </c>
      <c r="D1667" s="2">
        <v>3.75</v>
      </c>
      <c r="E1667" s="2">
        <v>342.0</v>
      </c>
      <c r="F1667" s="2">
        <v>1063.63</v>
      </c>
      <c r="G1667" s="4">
        <f t="shared" si="3"/>
        <v>8541765.23</v>
      </c>
      <c r="H1667" s="4">
        <f t="shared" si="1"/>
        <v>0.8949487775</v>
      </c>
      <c r="I1667" s="4" t="str">
        <f t="shared" si="2"/>
        <v>B</v>
      </c>
    </row>
    <row r="1668">
      <c r="A1668" s="2">
        <v>1667.0</v>
      </c>
      <c r="B1668" s="2">
        <v>23079.0</v>
      </c>
      <c r="C1668" s="2" t="s">
        <v>1894</v>
      </c>
      <c r="D1668" s="2">
        <v>8.95</v>
      </c>
      <c r="E1668" s="2">
        <v>120.0</v>
      </c>
      <c r="F1668" s="2">
        <v>1063.5</v>
      </c>
      <c r="G1668" s="4">
        <f t="shared" si="3"/>
        <v>8542828.73</v>
      </c>
      <c r="H1668" s="4">
        <f t="shared" si="1"/>
        <v>0.8950602039</v>
      </c>
      <c r="I1668" s="4" t="str">
        <f t="shared" si="2"/>
        <v>B</v>
      </c>
    </row>
    <row r="1669">
      <c r="A1669" s="2">
        <v>1668.0</v>
      </c>
      <c r="B1669" s="2">
        <v>23213.0</v>
      </c>
      <c r="C1669" s="2" t="s">
        <v>1895</v>
      </c>
      <c r="D1669" s="2">
        <v>1.25</v>
      </c>
      <c r="E1669" s="2">
        <v>836.0</v>
      </c>
      <c r="F1669" s="2">
        <v>1062.34</v>
      </c>
      <c r="G1669" s="4">
        <f t="shared" si="3"/>
        <v>8543891.07</v>
      </c>
      <c r="H1669" s="4">
        <f t="shared" si="1"/>
        <v>0.8951715087</v>
      </c>
      <c r="I1669" s="4" t="str">
        <f t="shared" si="2"/>
        <v>B</v>
      </c>
    </row>
    <row r="1670">
      <c r="A1670" s="2">
        <v>1669.0</v>
      </c>
      <c r="B1670" s="2">
        <v>21195.0</v>
      </c>
      <c r="C1670" s="2" t="s">
        <v>1896</v>
      </c>
      <c r="D1670" s="2">
        <v>2.1</v>
      </c>
      <c r="E1670" s="2">
        <v>498.0</v>
      </c>
      <c r="F1670" s="2">
        <v>1061.33</v>
      </c>
      <c r="G1670" s="4">
        <f t="shared" si="3"/>
        <v>8544952.4</v>
      </c>
      <c r="H1670" s="4">
        <f t="shared" si="1"/>
        <v>0.8952827078</v>
      </c>
      <c r="I1670" s="4" t="str">
        <f t="shared" si="2"/>
        <v>B</v>
      </c>
    </row>
    <row r="1671">
      <c r="A1671" s="2">
        <v>1670.0</v>
      </c>
      <c r="B1671" s="2">
        <v>22824.0</v>
      </c>
      <c r="C1671" s="2" t="s">
        <v>1897</v>
      </c>
      <c r="D1671" s="2">
        <v>35.95</v>
      </c>
      <c r="E1671" s="2">
        <v>30.0</v>
      </c>
      <c r="F1671" s="2">
        <v>1059.0</v>
      </c>
      <c r="G1671" s="4">
        <f t="shared" si="3"/>
        <v>8546011.4</v>
      </c>
      <c r="H1671" s="4">
        <f t="shared" si="1"/>
        <v>0.8953936627</v>
      </c>
      <c r="I1671" s="4" t="str">
        <f t="shared" si="2"/>
        <v>B</v>
      </c>
    </row>
    <row r="1672">
      <c r="A1672" s="2">
        <v>1671.0</v>
      </c>
      <c r="B1672" s="2">
        <v>22714.0</v>
      </c>
      <c r="C1672" s="2" t="s">
        <v>1898</v>
      </c>
      <c r="D1672" s="2">
        <v>0.42</v>
      </c>
      <c r="E1672" s="2">
        <v>2584.0</v>
      </c>
      <c r="F1672" s="2">
        <v>1058.44</v>
      </c>
      <c r="G1672" s="4">
        <f t="shared" si="3"/>
        <v>8547069.84</v>
      </c>
      <c r="H1672" s="4">
        <f t="shared" si="1"/>
        <v>0.8955045589</v>
      </c>
      <c r="I1672" s="4" t="str">
        <f t="shared" si="2"/>
        <v>B</v>
      </c>
    </row>
    <row r="1673">
      <c r="A1673" s="2">
        <v>1672.0</v>
      </c>
      <c r="B1673" s="2">
        <v>21359.0</v>
      </c>
      <c r="C1673" s="2" t="s">
        <v>1899</v>
      </c>
      <c r="D1673" s="2">
        <v>15.95</v>
      </c>
      <c r="E1673" s="2">
        <v>104.0</v>
      </c>
      <c r="F1673" s="2">
        <v>1058.24</v>
      </c>
      <c r="G1673" s="4">
        <f t="shared" si="3"/>
        <v>8548128.08</v>
      </c>
      <c r="H1673" s="4">
        <f t="shared" si="1"/>
        <v>0.8956154342</v>
      </c>
      <c r="I1673" s="4" t="str">
        <f t="shared" si="2"/>
        <v>B</v>
      </c>
    </row>
    <row r="1674">
      <c r="A1674" s="2">
        <v>1673.0</v>
      </c>
      <c r="B1674" s="2">
        <v>21643.0</v>
      </c>
      <c r="C1674" s="2" t="s">
        <v>1900</v>
      </c>
      <c r="D1674" s="2">
        <v>1.25</v>
      </c>
      <c r="E1674" s="2">
        <v>754.0</v>
      </c>
      <c r="F1674" s="2">
        <v>1056.47</v>
      </c>
      <c r="G1674" s="4">
        <f t="shared" si="3"/>
        <v>8549184.55</v>
      </c>
      <c r="H1674" s="4">
        <f t="shared" si="1"/>
        <v>0.895726124</v>
      </c>
      <c r="I1674" s="4" t="str">
        <f t="shared" si="2"/>
        <v>B</v>
      </c>
    </row>
    <row r="1675">
      <c r="A1675" s="2">
        <v>1674.0</v>
      </c>
      <c r="B1675" s="2" t="s">
        <v>1901</v>
      </c>
      <c r="C1675" s="2" t="s">
        <v>43</v>
      </c>
      <c r="D1675" s="2">
        <v>5.06</v>
      </c>
      <c r="E1675" s="2">
        <v>210.0</v>
      </c>
      <c r="F1675" s="2">
        <v>1055.82</v>
      </c>
      <c r="G1675" s="4">
        <f t="shared" si="3"/>
        <v>8550240.37</v>
      </c>
      <c r="H1675" s="4">
        <f t="shared" si="1"/>
        <v>0.8958367457</v>
      </c>
      <c r="I1675" s="4" t="str">
        <f t="shared" si="2"/>
        <v>B</v>
      </c>
    </row>
    <row r="1676">
      <c r="A1676" s="2">
        <v>1675.0</v>
      </c>
      <c r="B1676" s="2">
        <v>23046.0</v>
      </c>
      <c r="C1676" s="2" t="s">
        <v>1902</v>
      </c>
      <c r="D1676" s="2">
        <v>6.65</v>
      </c>
      <c r="E1676" s="2">
        <v>174.0</v>
      </c>
      <c r="F1676" s="2">
        <v>1055.75</v>
      </c>
      <c r="G1676" s="4">
        <f t="shared" si="3"/>
        <v>8551296.12</v>
      </c>
      <c r="H1676" s="4">
        <f t="shared" si="1"/>
        <v>0.8959473601</v>
      </c>
      <c r="I1676" s="4" t="str">
        <f t="shared" si="2"/>
        <v>B</v>
      </c>
    </row>
    <row r="1677">
      <c r="A1677" s="2">
        <v>1676.0</v>
      </c>
      <c r="B1677" s="2" t="s">
        <v>1903</v>
      </c>
      <c r="C1677" s="2" t="s">
        <v>1904</v>
      </c>
      <c r="D1677" s="2">
        <v>1.65</v>
      </c>
      <c r="E1677" s="2">
        <v>635.0</v>
      </c>
      <c r="F1677" s="2">
        <v>1055.45</v>
      </c>
      <c r="G1677" s="4">
        <f t="shared" si="3"/>
        <v>8552351.57</v>
      </c>
      <c r="H1677" s="4">
        <f t="shared" si="1"/>
        <v>0.8960579431</v>
      </c>
      <c r="I1677" s="4" t="str">
        <f t="shared" si="2"/>
        <v>B</v>
      </c>
    </row>
    <row r="1678">
      <c r="A1678" s="2">
        <v>1677.0</v>
      </c>
      <c r="B1678" s="2">
        <v>21655.0</v>
      </c>
      <c r="C1678" s="2" t="s">
        <v>1905</v>
      </c>
      <c r="D1678" s="2">
        <v>1.69</v>
      </c>
      <c r="E1678" s="2">
        <v>644.0</v>
      </c>
      <c r="F1678" s="2">
        <v>1054.69</v>
      </c>
      <c r="G1678" s="4">
        <f t="shared" si="3"/>
        <v>8553406.26</v>
      </c>
      <c r="H1678" s="4">
        <f t="shared" si="1"/>
        <v>0.8961684464</v>
      </c>
      <c r="I1678" s="4" t="str">
        <f t="shared" si="2"/>
        <v>B</v>
      </c>
    </row>
    <row r="1679">
      <c r="A1679" s="2">
        <v>1678.0</v>
      </c>
      <c r="B1679" s="2">
        <v>22913.0</v>
      </c>
      <c r="C1679" s="2" t="s">
        <v>1906</v>
      </c>
      <c r="D1679" s="2">
        <v>4.95</v>
      </c>
      <c r="E1679" s="2">
        <v>225.0</v>
      </c>
      <c r="F1679" s="2">
        <v>1053.92</v>
      </c>
      <c r="G1679" s="4">
        <f t="shared" si="3"/>
        <v>8554460.18</v>
      </c>
      <c r="H1679" s="4">
        <f t="shared" si="1"/>
        <v>0.8962788691</v>
      </c>
      <c r="I1679" s="4" t="str">
        <f t="shared" si="2"/>
        <v>B</v>
      </c>
    </row>
    <row r="1680">
      <c r="A1680" s="2">
        <v>1679.0</v>
      </c>
      <c r="B1680" s="2">
        <v>22023.0</v>
      </c>
      <c r="C1680" s="2" t="s">
        <v>1907</v>
      </c>
      <c r="D1680" s="2">
        <v>0.42</v>
      </c>
      <c r="E1680" s="2">
        <v>2524.0</v>
      </c>
      <c r="F1680" s="2">
        <v>1053.51</v>
      </c>
      <c r="G1680" s="4">
        <f t="shared" si="3"/>
        <v>8555513.69</v>
      </c>
      <c r="H1680" s="4">
        <f t="shared" si="1"/>
        <v>0.8963892488</v>
      </c>
      <c r="I1680" s="4" t="str">
        <f t="shared" si="2"/>
        <v>B</v>
      </c>
    </row>
    <row r="1681">
      <c r="A1681" s="2">
        <v>1680.0</v>
      </c>
      <c r="B1681" s="2">
        <v>23056.0</v>
      </c>
      <c r="C1681" s="2" t="s">
        <v>1908</v>
      </c>
      <c r="D1681" s="2">
        <v>6.25</v>
      </c>
      <c r="E1681" s="2">
        <v>243.0</v>
      </c>
      <c r="F1681" s="2">
        <v>1053.08</v>
      </c>
      <c r="G1681" s="4">
        <f t="shared" si="3"/>
        <v>8556566.77</v>
      </c>
      <c r="H1681" s="4">
        <f t="shared" si="1"/>
        <v>0.8964995834</v>
      </c>
      <c r="I1681" s="4" t="str">
        <f t="shared" si="2"/>
        <v>B</v>
      </c>
    </row>
    <row r="1682">
      <c r="A1682" s="2">
        <v>1681.0</v>
      </c>
      <c r="B1682" s="2">
        <v>84676.0</v>
      </c>
      <c r="C1682" s="2" t="s">
        <v>1909</v>
      </c>
      <c r="D1682" s="2">
        <v>2.95</v>
      </c>
      <c r="E1682" s="2">
        <v>424.0</v>
      </c>
      <c r="F1682" s="2">
        <v>1051.23</v>
      </c>
      <c r="G1682" s="4">
        <f t="shared" si="3"/>
        <v>8557618</v>
      </c>
      <c r="H1682" s="4">
        <f t="shared" si="1"/>
        <v>0.8966097242</v>
      </c>
      <c r="I1682" s="4" t="str">
        <f t="shared" si="2"/>
        <v>B</v>
      </c>
    </row>
    <row r="1683">
      <c r="A1683" s="2">
        <v>1682.0</v>
      </c>
      <c r="B1683" s="2" t="s">
        <v>1910</v>
      </c>
      <c r="C1683" s="2" t="s">
        <v>1911</v>
      </c>
      <c r="D1683" s="2">
        <v>1.95</v>
      </c>
      <c r="E1683" s="2">
        <v>546.0</v>
      </c>
      <c r="F1683" s="2">
        <v>1051.14</v>
      </c>
      <c r="G1683" s="4">
        <f t="shared" si="3"/>
        <v>8558669.14</v>
      </c>
      <c r="H1683" s="4">
        <f t="shared" si="1"/>
        <v>0.8967198556</v>
      </c>
      <c r="I1683" s="4" t="str">
        <f t="shared" si="2"/>
        <v>B</v>
      </c>
    </row>
    <row r="1684">
      <c r="A1684" s="2">
        <v>1683.0</v>
      </c>
      <c r="B1684" s="2">
        <v>21070.0</v>
      </c>
      <c r="C1684" s="2" t="s">
        <v>1912</v>
      </c>
      <c r="D1684" s="2">
        <v>1.25</v>
      </c>
      <c r="E1684" s="2">
        <v>1024.0</v>
      </c>
      <c r="F1684" s="2">
        <v>1049.86</v>
      </c>
      <c r="G1684" s="4">
        <f t="shared" si="3"/>
        <v>8559719</v>
      </c>
      <c r="H1684" s="4">
        <f t="shared" si="1"/>
        <v>0.8968298529</v>
      </c>
      <c r="I1684" s="4" t="str">
        <f t="shared" si="2"/>
        <v>B</v>
      </c>
    </row>
    <row r="1685">
      <c r="A1685" s="2">
        <v>1684.0</v>
      </c>
      <c r="B1685" s="2">
        <v>22996.0</v>
      </c>
      <c r="C1685" s="2" t="s">
        <v>1913</v>
      </c>
      <c r="D1685" s="2">
        <v>0.42</v>
      </c>
      <c r="E1685" s="2">
        <v>2404.0</v>
      </c>
      <c r="F1685" s="2">
        <v>1049.14</v>
      </c>
      <c r="G1685" s="4">
        <f t="shared" si="3"/>
        <v>8560768.14</v>
      </c>
      <c r="H1685" s="4">
        <f t="shared" si="1"/>
        <v>0.8969397747</v>
      </c>
      <c r="I1685" s="4" t="str">
        <f t="shared" si="2"/>
        <v>B</v>
      </c>
    </row>
    <row r="1686">
      <c r="A1686" s="2">
        <v>1685.0</v>
      </c>
      <c r="B1686" s="2">
        <v>23233.0</v>
      </c>
      <c r="C1686" s="2" t="s">
        <v>1914</v>
      </c>
      <c r="D1686" s="2">
        <v>0.42</v>
      </c>
      <c r="E1686" s="2">
        <v>2575.0</v>
      </c>
      <c r="F1686" s="2">
        <v>1047.5</v>
      </c>
      <c r="G1686" s="4">
        <f t="shared" si="3"/>
        <v>8561815.64</v>
      </c>
      <c r="H1686" s="4">
        <f t="shared" si="1"/>
        <v>0.8970495248</v>
      </c>
      <c r="I1686" s="4" t="str">
        <f t="shared" si="2"/>
        <v>B</v>
      </c>
    </row>
    <row r="1687">
      <c r="A1687" s="2">
        <v>1686.0</v>
      </c>
      <c r="B1687" s="2">
        <v>22338.0</v>
      </c>
      <c r="C1687" s="2" t="s">
        <v>1915</v>
      </c>
      <c r="D1687" s="2">
        <v>0.63</v>
      </c>
      <c r="E1687" s="2">
        <v>3000.0</v>
      </c>
      <c r="F1687" s="2">
        <v>1047.12</v>
      </c>
      <c r="G1687" s="4">
        <f t="shared" si="3"/>
        <v>8562862.76</v>
      </c>
      <c r="H1687" s="4">
        <f t="shared" si="1"/>
        <v>0.897159235</v>
      </c>
      <c r="I1687" s="4" t="str">
        <f t="shared" si="2"/>
        <v>B</v>
      </c>
    </row>
    <row r="1688">
      <c r="A1688" s="2">
        <v>1687.0</v>
      </c>
      <c r="B1688" s="2" t="s">
        <v>1916</v>
      </c>
      <c r="C1688" s="2" t="s">
        <v>1917</v>
      </c>
      <c r="D1688" s="2">
        <v>2.95</v>
      </c>
      <c r="E1688" s="2">
        <v>563.0</v>
      </c>
      <c r="F1688" s="2">
        <v>1042.84</v>
      </c>
      <c r="G1688" s="4">
        <f t="shared" si="3"/>
        <v>8563905.6</v>
      </c>
      <c r="H1688" s="4">
        <f t="shared" si="1"/>
        <v>0.8972684967</v>
      </c>
      <c r="I1688" s="4" t="str">
        <f t="shared" si="2"/>
        <v>B</v>
      </c>
    </row>
    <row r="1689">
      <c r="A1689" s="2">
        <v>1688.0</v>
      </c>
      <c r="B1689" s="2">
        <v>21865.0</v>
      </c>
      <c r="C1689" s="2" t="s">
        <v>1918</v>
      </c>
      <c r="D1689" s="2">
        <v>2.1</v>
      </c>
      <c r="E1689" s="2">
        <v>448.0</v>
      </c>
      <c r="F1689" s="2">
        <v>1042.82</v>
      </c>
      <c r="G1689" s="4">
        <f t="shared" si="3"/>
        <v>8564948.42</v>
      </c>
      <c r="H1689" s="4">
        <f t="shared" si="1"/>
        <v>0.8973777564</v>
      </c>
      <c r="I1689" s="4" t="str">
        <f t="shared" si="2"/>
        <v>B</v>
      </c>
    </row>
    <row r="1690">
      <c r="A1690" s="2">
        <v>1689.0</v>
      </c>
      <c r="B1690" s="2">
        <v>21619.0</v>
      </c>
      <c r="C1690" s="2" t="s">
        <v>1919</v>
      </c>
      <c r="D1690" s="2">
        <v>2.46</v>
      </c>
      <c r="E1690" s="2">
        <v>569.0</v>
      </c>
      <c r="F1690" s="2">
        <v>1042.64</v>
      </c>
      <c r="G1690" s="4">
        <f t="shared" si="3"/>
        <v>8565991.06</v>
      </c>
      <c r="H1690" s="4">
        <f t="shared" si="1"/>
        <v>0.8974869972</v>
      </c>
      <c r="I1690" s="4" t="str">
        <f t="shared" si="2"/>
        <v>B</v>
      </c>
    </row>
    <row r="1691">
      <c r="A1691" s="2">
        <v>1690.0</v>
      </c>
      <c r="B1691" s="2">
        <v>84854.0</v>
      </c>
      <c r="C1691" s="2" t="s">
        <v>1920</v>
      </c>
      <c r="D1691" s="2">
        <v>4.95</v>
      </c>
      <c r="E1691" s="2">
        <v>191.0</v>
      </c>
      <c r="F1691" s="2">
        <v>1042.21</v>
      </c>
      <c r="G1691" s="4">
        <f t="shared" si="3"/>
        <v>8567033.27</v>
      </c>
      <c r="H1691" s="4">
        <f t="shared" si="1"/>
        <v>0.897596193</v>
      </c>
      <c r="I1691" s="4" t="str">
        <f t="shared" si="2"/>
        <v>B</v>
      </c>
    </row>
    <row r="1692">
      <c r="A1692" s="2">
        <v>1691.0</v>
      </c>
      <c r="B1692" s="2">
        <v>21640.0</v>
      </c>
      <c r="C1692" s="2" t="s">
        <v>1921</v>
      </c>
      <c r="D1692" s="2">
        <v>0.85</v>
      </c>
      <c r="E1692" s="2">
        <v>1133.0</v>
      </c>
      <c r="F1692" s="2">
        <v>1042.12</v>
      </c>
      <c r="G1692" s="4">
        <f t="shared" si="3"/>
        <v>8568075.39</v>
      </c>
      <c r="H1692" s="4">
        <f t="shared" si="1"/>
        <v>0.8977053793</v>
      </c>
      <c r="I1692" s="4" t="str">
        <f t="shared" si="2"/>
        <v>B</v>
      </c>
    </row>
    <row r="1693">
      <c r="A1693" s="2">
        <v>1692.0</v>
      </c>
      <c r="B1693" s="2">
        <v>23152.0</v>
      </c>
      <c r="C1693" s="2" t="s">
        <v>1922</v>
      </c>
      <c r="D1693" s="2">
        <v>3.75</v>
      </c>
      <c r="E1693" s="2">
        <v>277.0</v>
      </c>
      <c r="F1693" s="2">
        <v>1040.32</v>
      </c>
      <c r="G1693" s="4">
        <f t="shared" si="3"/>
        <v>8569115.71</v>
      </c>
      <c r="H1693" s="4">
        <f t="shared" si="1"/>
        <v>0.8978143771</v>
      </c>
      <c r="I1693" s="4" t="str">
        <f t="shared" si="2"/>
        <v>B</v>
      </c>
    </row>
    <row r="1694">
      <c r="A1694" s="2">
        <v>1693.0</v>
      </c>
      <c r="B1694" s="2">
        <v>21291.0</v>
      </c>
      <c r="C1694" s="2" t="s">
        <v>1923</v>
      </c>
      <c r="D1694" s="2">
        <v>0.85</v>
      </c>
      <c r="E1694" s="2">
        <v>1203.0</v>
      </c>
      <c r="F1694" s="2">
        <v>1036.84</v>
      </c>
      <c r="G1694" s="4">
        <f t="shared" si="3"/>
        <v>8570152.55</v>
      </c>
      <c r="H1694" s="4">
        <f t="shared" si="1"/>
        <v>0.8979230102</v>
      </c>
      <c r="I1694" s="4" t="str">
        <f t="shared" si="2"/>
        <v>B</v>
      </c>
    </row>
    <row r="1695">
      <c r="A1695" s="2">
        <v>1694.0</v>
      </c>
      <c r="B1695" s="2" t="s">
        <v>1924</v>
      </c>
      <c r="C1695" s="2" t="s">
        <v>1925</v>
      </c>
      <c r="D1695" s="2">
        <v>8.47</v>
      </c>
      <c r="E1695" s="2">
        <v>142.0</v>
      </c>
      <c r="F1695" s="2">
        <v>1036.48</v>
      </c>
      <c r="G1695" s="4">
        <f t="shared" si="3"/>
        <v>8571189.03</v>
      </c>
      <c r="H1695" s="4">
        <f t="shared" si="1"/>
        <v>0.8980316056</v>
      </c>
      <c r="I1695" s="4" t="str">
        <f t="shared" si="2"/>
        <v>B</v>
      </c>
    </row>
    <row r="1696">
      <c r="A1696" s="2">
        <v>1695.0</v>
      </c>
      <c r="B1696" s="2">
        <v>22695.0</v>
      </c>
      <c r="C1696" s="2" t="s">
        <v>1926</v>
      </c>
      <c r="D1696" s="2">
        <v>1.45</v>
      </c>
      <c r="E1696" s="2">
        <v>729.0</v>
      </c>
      <c r="F1696" s="2">
        <v>1035.8</v>
      </c>
      <c r="G1696" s="4">
        <f t="shared" si="3"/>
        <v>8572224.83</v>
      </c>
      <c r="H1696" s="4">
        <f t="shared" si="1"/>
        <v>0.8981401298</v>
      </c>
      <c r="I1696" s="4" t="str">
        <f t="shared" si="2"/>
        <v>B</v>
      </c>
    </row>
    <row r="1697">
      <c r="A1697" s="2">
        <v>1696.0</v>
      </c>
      <c r="B1697" s="2">
        <v>23227.0</v>
      </c>
      <c r="C1697" s="2" t="s">
        <v>1927</v>
      </c>
      <c r="D1697" s="2">
        <v>1.25</v>
      </c>
      <c r="E1697" s="2">
        <v>821.0</v>
      </c>
      <c r="F1697" s="2">
        <v>1035.03</v>
      </c>
      <c r="G1697" s="4">
        <f t="shared" si="3"/>
        <v>8573259.86</v>
      </c>
      <c r="H1697" s="4">
        <f t="shared" si="1"/>
        <v>0.8982485733</v>
      </c>
      <c r="I1697" s="4" t="str">
        <f t="shared" si="2"/>
        <v>B</v>
      </c>
    </row>
    <row r="1698">
      <c r="A1698" s="2">
        <v>1697.0</v>
      </c>
      <c r="B1698" s="2" t="s">
        <v>1928</v>
      </c>
      <c r="C1698" s="2" t="s">
        <v>1929</v>
      </c>
      <c r="D1698" s="2">
        <v>1.25</v>
      </c>
      <c r="E1698" s="2">
        <v>1034.0</v>
      </c>
      <c r="F1698" s="2">
        <v>1034.21</v>
      </c>
      <c r="G1698" s="4">
        <f t="shared" si="3"/>
        <v>8574294.07</v>
      </c>
      <c r="H1698" s="4">
        <f t="shared" si="1"/>
        <v>0.8983569308</v>
      </c>
      <c r="I1698" s="4" t="str">
        <f t="shared" si="2"/>
        <v>B</v>
      </c>
    </row>
    <row r="1699">
      <c r="A1699" s="2">
        <v>1698.0</v>
      </c>
      <c r="B1699" s="2">
        <v>21200.0</v>
      </c>
      <c r="C1699" s="2" t="s">
        <v>1930</v>
      </c>
      <c r="D1699" s="2">
        <v>1.65</v>
      </c>
      <c r="E1699" s="2">
        <v>711.0</v>
      </c>
      <c r="F1699" s="2">
        <v>1033.4</v>
      </c>
      <c r="G1699" s="4">
        <f t="shared" si="3"/>
        <v>8575327.47</v>
      </c>
      <c r="H1699" s="4">
        <f t="shared" si="1"/>
        <v>0.8984652035</v>
      </c>
      <c r="I1699" s="4" t="str">
        <f t="shared" si="2"/>
        <v>B</v>
      </c>
    </row>
    <row r="1700">
      <c r="A1700" s="2">
        <v>1699.0</v>
      </c>
      <c r="B1700" s="2">
        <v>22279.0</v>
      </c>
      <c r="C1700" s="2" t="s">
        <v>1931</v>
      </c>
      <c r="D1700" s="2">
        <v>1.25</v>
      </c>
      <c r="E1700" s="2">
        <v>704.0</v>
      </c>
      <c r="F1700" s="2">
        <v>1032.94</v>
      </c>
      <c r="G1700" s="4">
        <f t="shared" si="3"/>
        <v>8576360.41</v>
      </c>
      <c r="H1700" s="4">
        <f t="shared" si="1"/>
        <v>0.8985734281</v>
      </c>
      <c r="I1700" s="4" t="str">
        <f t="shared" si="2"/>
        <v>B</v>
      </c>
    </row>
    <row r="1701">
      <c r="A1701" s="2">
        <v>1700.0</v>
      </c>
      <c r="B1701" s="2">
        <v>84990.0</v>
      </c>
      <c r="C1701" s="2" t="s">
        <v>1932</v>
      </c>
      <c r="D1701" s="2">
        <v>0.55</v>
      </c>
      <c r="E1701" s="2">
        <v>2126.0</v>
      </c>
      <c r="F1701" s="2">
        <v>1032.2</v>
      </c>
      <c r="G1701" s="4">
        <f t="shared" si="3"/>
        <v>8577392.61</v>
      </c>
      <c r="H1701" s="4">
        <f t="shared" si="1"/>
        <v>0.898681575</v>
      </c>
      <c r="I1701" s="4" t="str">
        <f t="shared" si="2"/>
        <v>B</v>
      </c>
    </row>
    <row r="1702">
      <c r="A1702" s="2">
        <v>1701.0</v>
      </c>
      <c r="B1702" s="2">
        <v>23251.0</v>
      </c>
      <c r="C1702" s="2" t="s">
        <v>1933</v>
      </c>
      <c r="D1702" s="2">
        <v>1.25</v>
      </c>
      <c r="E1702" s="2">
        <v>838.0</v>
      </c>
      <c r="F1702" s="2">
        <v>1031.0</v>
      </c>
      <c r="G1702" s="4">
        <f t="shared" si="3"/>
        <v>8578423.61</v>
      </c>
      <c r="H1702" s="4">
        <f t="shared" si="1"/>
        <v>0.8987895963</v>
      </c>
      <c r="I1702" s="4" t="str">
        <f t="shared" si="2"/>
        <v>B</v>
      </c>
    </row>
    <row r="1703">
      <c r="A1703" s="2">
        <v>1702.0</v>
      </c>
      <c r="B1703" s="2">
        <v>21077.0</v>
      </c>
      <c r="C1703" s="2" t="s">
        <v>1934</v>
      </c>
      <c r="D1703" s="2">
        <v>0.85</v>
      </c>
      <c r="E1703" s="2">
        <v>1396.0</v>
      </c>
      <c r="F1703" s="2">
        <v>1030.32</v>
      </c>
      <c r="G1703" s="4">
        <f t="shared" si="3"/>
        <v>8579453.93</v>
      </c>
      <c r="H1703" s="4">
        <f t="shared" si="1"/>
        <v>0.8988975463</v>
      </c>
      <c r="I1703" s="4" t="str">
        <f t="shared" si="2"/>
        <v>B</v>
      </c>
    </row>
    <row r="1704">
      <c r="A1704" s="2">
        <v>1703.0</v>
      </c>
      <c r="B1704" s="2">
        <v>22163.0</v>
      </c>
      <c r="C1704" s="2" t="s">
        <v>1935</v>
      </c>
      <c r="D1704" s="2">
        <v>2.95</v>
      </c>
      <c r="E1704" s="2">
        <v>596.0</v>
      </c>
      <c r="F1704" s="2">
        <v>1029.9</v>
      </c>
      <c r="G1704" s="4">
        <f t="shared" si="3"/>
        <v>8580483.83</v>
      </c>
      <c r="H1704" s="4">
        <f t="shared" si="1"/>
        <v>0.8990054523</v>
      </c>
      <c r="I1704" s="4" t="str">
        <f t="shared" si="2"/>
        <v>B</v>
      </c>
    </row>
    <row r="1705">
      <c r="A1705" s="2">
        <v>1704.0</v>
      </c>
      <c r="B1705" s="2">
        <v>23490.0</v>
      </c>
      <c r="C1705" s="2" t="s">
        <v>1936</v>
      </c>
      <c r="D1705" s="2">
        <v>3.75</v>
      </c>
      <c r="E1705" s="2">
        <v>274.0</v>
      </c>
      <c r="F1705" s="2">
        <v>1027.64</v>
      </c>
      <c r="G1705" s="4">
        <f t="shared" si="3"/>
        <v>8581511.47</v>
      </c>
      <c r="H1705" s="4">
        <f t="shared" si="1"/>
        <v>0.8991131215</v>
      </c>
      <c r="I1705" s="4" t="str">
        <f t="shared" si="2"/>
        <v>B</v>
      </c>
    </row>
    <row r="1706">
      <c r="A1706" s="2">
        <v>1705.0</v>
      </c>
      <c r="B1706" s="2">
        <v>21058.0</v>
      </c>
      <c r="C1706" s="2" t="s">
        <v>1937</v>
      </c>
      <c r="D1706" s="2">
        <v>0.85</v>
      </c>
      <c r="E1706" s="2">
        <v>1196.0</v>
      </c>
      <c r="F1706" s="2">
        <v>1026.52</v>
      </c>
      <c r="G1706" s="4">
        <f t="shared" si="3"/>
        <v>8582537.99</v>
      </c>
      <c r="H1706" s="4">
        <f t="shared" si="1"/>
        <v>0.8992206734</v>
      </c>
      <c r="I1706" s="4" t="str">
        <f t="shared" si="2"/>
        <v>B</v>
      </c>
    </row>
    <row r="1707">
      <c r="A1707" s="2">
        <v>1706.0</v>
      </c>
      <c r="B1707" s="2">
        <v>23291.0</v>
      </c>
      <c r="C1707" s="2" t="s">
        <v>1938</v>
      </c>
      <c r="D1707" s="2">
        <v>1.25</v>
      </c>
      <c r="E1707" s="2">
        <v>813.0</v>
      </c>
      <c r="F1707" s="2">
        <v>1024.52</v>
      </c>
      <c r="G1707" s="4">
        <f t="shared" si="3"/>
        <v>8583562.51</v>
      </c>
      <c r="H1707" s="4">
        <f t="shared" si="1"/>
        <v>0.8993280157</v>
      </c>
      <c r="I1707" s="4" t="str">
        <f t="shared" si="2"/>
        <v>B</v>
      </c>
    </row>
    <row r="1708">
      <c r="A1708" s="2">
        <v>1707.0</v>
      </c>
      <c r="B1708" s="2">
        <v>22859.0</v>
      </c>
      <c r="C1708" s="2" t="s">
        <v>1939</v>
      </c>
      <c r="D1708" s="2">
        <v>1.65</v>
      </c>
      <c r="E1708" s="2">
        <v>613.0</v>
      </c>
      <c r="F1708" s="2">
        <v>1023.08</v>
      </c>
      <c r="G1708" s="4">
        <f t="shared" si="3"/>
        <v>8584585.59</v>
      </c>
      <c r="H1708" s="4">
        <f t="shared" si="1"/>
        <v>0.8994352072</v>
      </c>
      <c r="I1708" s="4" t="str">
        <f t="shared" si="2"/>
        <v>B</v>
      </c>
    </row>
    <row r="1709">
      <c r="A1709" s="2">
        <v>1708.0</v>
      </c>
      <c r="B1709" s="2" t="s">
        <v>1940</v>
      </c>
      <c r="C1709" s="2" t="s">
        <v>1735</v>
      </c>
      <c r="D1709" s="2">
        <v>3.75</v>
      </c>
      <c r="E1709" s="2">
        <v>401.0</v>
      </c>
      <c r="F1709" s="2">
        <v>1022.72</v>
      </c>
      <c r="G1709" s="4">
        <f t="shared" si="3"/>
        <v>8585608.31</v>
      </c>
      <c r="H1709" s="4">
        <f t="shared" si="1"/>
        <v>0.8995423609</v>
      </c>
      <c r="I1709" s="4" t="str">
        <f t="shared" si="2"/>
        <v>B</v>
      </c>
    </row>
    <row r="1710">
      <c r="A1710" s="2">
        <v>1709.0</v>
      </c>
      <c r="B1710" s="2">
        <v>23500.0</v>
      </c>
      <c r="C1710" s="2" t="s">
        <v>1941</v>
      </c>
      <c r="D1710" s="2">
        <v>1.25</v>
      </c>
      <c r="E1710" s="2">
        <v>816.0</v>
      </c>
      <c r="F1710" s="2">
        <v>1022.29</v>
      </c>
      <c r="G1710" s="4">
        <f t="shared" si="3"/>
        <v>8586630.6</v>
      </c>
      <c r="H1710" s="4">
        <f t="shared" si="1"/>
        <v>0.8996494696</v>
      </c>
      <c r="I1710" s="4" t="str">
        <f t="shared" si="2"/>
        <v>B</v>
      </c>
    </row>
    <row r="1711">
      <c r="A1711" s="2">
        <v>1710.0</v>
      </c>
      <c r="B1711" s="2">
        <v>22928.0</v>
      </c>
      <c r="C1711" s="2" t="s">
        <v>1942</v>
      </c>
      <c r="D1711" s="2">
        <v>5.95</v>
      </c>
      <c r="E1711" s="2">
        <v>148.0</v>
      </c>
      <c r="F1711" s="2">
        <v>1020.68</v>
      </c>
      <c r="G1711" s="4">
        <f t="shared" si="3"/>
        <v>8587651.28</v>
      </c>
      <c r="H1711" s="4">
        <f t="shared" si="1"/>
        <v>0.8997564096</v>
      </c>
      <c r="I1711" s="4" t="str">
        <f t="shared" si="2"/>
        <v>B</v>
      </c>
    </row>
    <row r="1712">
      <c r="A1712" s="2">
        <v>1711.0</v>
      </c>
      <c r="B1712" s="2">
        <v>22201.0</v>
      </c>
      <c r="C1712" s="2" t="s">
        <v>1943</v>
      </c>
      <c r="D1712" s="2">
        <v>4.25</v>
      </c>
      <c r="E1712" s="2">
        <v>254.0</v>
      </c>
      <c r="F1712" s="2">
        <v>1017.2</v>
      </c>
      <c r="G1712" s="4">
        <f t="shared" si="3"/>
        <v>8588668.48</v>
      </c>
      <c r="H1712" s="4">
        <f t="shared" si="1"/>
        <v>0.8998629849</v>
      </c>
      <c r="I1712" s="4" t="str">
        <f t="shared" si="2"/>
        <v>B</v>
      </c>
    </row>
    <row r="1713">
      <c r="A1713" s="2">
        <v>1712.0</v>
      </c>
      <c r="B1713" s="2">
        <v>85016.0</v>
      </c>
      <c r="C1713" s="2" t="s">
        <v>1944</v>
      </c>
      <c r="D1713" s="2">
        <v>2.51</v>
      </c>
      <c r="E1713" s="2">
        <v>839.0</v>
      </c>
      <c r="F1713" s="2">
        <v>1015.39</v>
      </c>
      <c r="G1713" s="4">
        <f t="shared" si="3"/>
        <v>8589683.87</v>
      </c>
      <c r="H1713" s="4">
        <f t="shared" si="1"/>
        <v>0.8999693707</v>
      </c>
      <c r="I1713" s="4" t="str">
        <f t="shared" si="2"/>
        <v>B</v>
      </c>
    </row>
    <row r="1714">
      <c r="A1714" s="2">
        <v>1713.0</v>
      </c>
      <c r="B1714" s="2">
        <v>22261.0</v>
      </c>
      <c r="C1714" s="2" t="s">
        <v>1945</v>
      </c>
      <c r="D1714" s="2">
        <v>0.85</v>
      </c>
      <c r="E1714" s="2">
        <v>1056.0</v>
      </c>
      <c r="F1714" s="2">
        <v>1015.15</v>
      </c>
      <c r="G1714" s="4">
        <f t="shared" si="3"/>
        <v>8590699.02</v>
      </c>
      <c r="H1714" s="4">
        <f t="shared" si="1"/>
        <v>0.9000757313</v>
      </c>
      <c r="I1714" s="4" t="str">
        <f t="shared" si="2"/>
        <v>B</v>
      </c>
    </row>
    <row r="1715">
      <c r="A1715" s="2">
        <v>1714.0</v>
      </c>
      <c r="B1715" s="2">
        <v>22799.0</v>
      </c>
      <c r="C1715" s="2" t="s">
        <v>1946</v>
      </c>
      <c r="D1715" s="2">
        <v>8.5</v>
      </c>
      <c r="E1715" s="2">
        <v>127.0</v>
      </c>
      <c r="F1715" s="2">
        <v>1014.67</v>
      </c>
      <c r="G1715" s="4">
        <f t="shared" si="3"/>
        <v>8591713.69</v>
      </c>
      <c r="H1715" s="4">
        <f t="shared" si="1"/>
        <v>0.9001820416</v>
      </c>
      <c r="I1715" s="4" t="str">
        <f t="shared" si="2"/>
        <v>B</v>
      </c>
    </row>
    <row r="1716">
      <c r="A1716" s="2">
        <v>1715.0</v>
      </c>
      <c r="B1716" s="2">
        <v>22400.0</v>
      </c>
      <c r="C1716" s="2" t="s">
        <v>1947</v>
      </c>
      <c r="D1716" s="2">
        <v>1.06</v>
      </c>
      <c r="E1716" s="2">
        <v>1218.0</v>
      </c>
      <c r="F1716" s="2">
        <v>1013.64</v>
      </c>
      <c r="G1716" s="4">
        <f t="shared" si="3"/>
        <v>8592727.33</v>
      </c>
      <c r="H1716" s="4">
        <f t="shared" si="1"/>
        <v>0.900288244</v>
      </c>
      <c r="I1716" s="4" t="str">
        <f t="shared" si="2"/>
        <v>B</v>
      </c>
    </row>
    <row r="1717">
      <c r="A1717" s="2">
        <v>1716.0</v>
      </c>
      <c r="B1717" s="2">
        <v>21504.0</v>
      </c>
      <c r="C1717" s="2" t="s">
        <v>1948</v>
      </c>
      <c r="D1717" s="2">
        <v>0.42</v>
      </c>
      <c r="E1717" s="2">
        <v>2474.0</v>
      </c>
      <c r="F1717" s="2">
        <v>1010.07</v>
      </c>
      <c r="G1717" s="4">
        <f t="shared" si="3"/>
        <v>8593737.4</v>
      </c>
      <c r="H1717" s="4">
        <f t="shared" si="1"/>
        <v>0.9003940723</v>
      </c>
      <c r="I1717" s="4" t="str">
        <f t="shared" si="2"/>
        <v>B</v>
      </c>
    </row>
    <row r="1718">
      <c r="A1718" s="2">
        <v>1717.0</v>
      </c>
      <c r="B1718" s="2">
        <v>22308.0</v>
      </c>
      <c r="C1718" s="2" t="s">
        <v>1949</v>
      </c>
      <c r="D1718" s="2">
        <v>4.96</v>
      </c>
      <c r="E1718" s="2">
        <v>326.0</v>
      </c>
      <c r="F1718" s="2">
        <v>1009.38</v>
      </c>
      <c r="G1718" s="4">
        <f t="shared" si="3"/>
        <v>8594746.78</v>
      </c>
      <c r="H1718" s="4">
        <f t="shared" si="1"/>
        <v>0.9004998284</v>
      </c>
      <c r="I1718" s="4" t="str">
        <f t="shared" si="2"/>
        <v>B</v>
      </c>
    </row>
    <row r="1719">
      <c r="A1719" s="2">
        <v>1718.0</v>
      </c>
      <c r="B1719" s="2">
        <v>21356.0</v>
      </c>
      <c r="C1719" s="2" t="s">
        <v>1950</v>
      </c>
      <c r="D1719" s="2">
        <v>1.25</v>
      </c>
      <c r="E1719" s="2">
        <v>796.0</v>
      </c>
      <c r="F1719" s="2">
        <v>1007.7</v>
      </c>
      <c r="G1719" s="4">
        <f t="shared" si="3"/>
        <v>8595754.48</v>
      </c>
      <c r="H1719" s="4">
        <f t="shared" si="1"/>
        <v>0.9006054084</v>
      </c>
      <c r="I1719" s="4" t="str">
        <f t="shared" si="2"/>
        <v>B</v>
      </c>
    </row>
    <row r="1720">
      <c r="A1720" s="2">
        <v>1719.0</v>
      </c>
      <c r="B1720" s="2">
        <v>20686.0</v>
      </c>
      <c r="C1720" s="2" t="s">
        <v>1951</v>
      </c>
      <c r="D1720" s="2">
        <v>3.25</v>
      </c>
      <c r="E1720" s="2">
        <v>296.0</v>
      </c>
      <c r="F1720" s="2">
        <v>1006.3</v>
      </c>
      <c r="G1720" s="4">
        <f t="shared" si="3"/>
        <v>8596760.78</v>
      </c>
      <c r="H1720" s="4">
        <f t="shared" si="1"/>
        <v>0.9007108418</v>
      </c>
      <c r="I1720" s="4" t="str">
        <f t="shared" si="2"/>
        <v>B</v>
      </c>
    </row>
    <row r="1721">
      <c r="A1721" s="2">
        <v>1720.0</v>
      </c>
      <c r="B1721" s="2" t="s">
        <v>1952</v>
      </c>
      <c r="C1721" s="2" t="s">
        <v>1953</v>
      </c>
      <c r="D1721" s="2">
        <v>1.95</v>
      </c>
      <c r="E1721" s="2">
        <v>526.0</v>
      </c>
      <c r="F1721" s="2">
        <v>1006.22</v>
      </c>
      <c r="G1721" s="4">
        <f t="shared" si="3"/>
        <v>8597767</v>
      </c>
      <c r="H1721" s="4">
        <f t="shared" si="1"/>
        <v>0.9008162667</v>
      </c>
      <c r="I1721" s="4" t="str">
        <f t="shared" si="2"/>
        <v>B</v>
      </c>
    </row>
    <row r="1722">
      <c r="A1722" s="2">
        <v>1721.0</v>
      </c>
      <c r="B1722" s="2">
        <v>23358.0</v>
      </c>
      <c r="C1722" s="2" t="s">
        <v>1954</v>
      </c>
      <c r="D1722" s="2">
        <v>3.75</v>
      </c>
      <c r="E1722" s="2">
        <v>298.0</v>
      </c>
      <c r="F1722" s="2">
        <v>1006.06</v>
      </c>
      <c r="G1722" s="4">
        <f t="shared" si="3"/>
        <v>8598773.06</v>
      </c>
      <c r="H1722" s="4">
        <f t="shared" si="1"/>
        <v>0.900921675</v>
      </c>
      <c r="I1722" s="4" t="str">
        <f t="shared" si="2"/>
        <v>B</v>
      </c>
    </row>
    <row r="1723">
      <c r="A1723" s="2">
        <v>1722.0</v>
      </c>
      <c r="B1723" s="2">
        <v>23529.0</v>
      </c>
      <c r="C1723" s="2" t="s">
        <v>1955</v>
      </c>
      <c r="D1723" s="2">
        <v>3.75</v>
      </c>
      <c r="E1723" s="2">
        <v>318.0</v>
      </c>
      <c r="F1723" s="2">
        <v>1006.0</v>
      </c>
      <c r="G1723" s="4">
        <f t="shared" si="3"/>
        <v>8599779.06</v>
      </c>
      <c r="H1723" s="4">
        <f t="shared" si="1"/>
        <v>0.9010270769</v>
      </c>
      <c r="I1723" s="4" t="str">
        <f t="shared" si="2"/>
        <v>B</v>
      </c>
    </row>
    <row r="1724">
      <c r="A1724" s="2">
        <v>1723.0</v>
      </c>
      <c r="B1724" s="2">
        <v>22520.0</v>
      </c>
      <c r="C1724" s="2" t="s">
        <v>1956</v>
      </c>
      <c r="D1724" s="2">
        <v>0.85</v>
      </c>
      <c r="E1724" s="2">
        <v>1147.0</v>
      </c>
      <c r="F1724" s="2">
        <v>1005.64</v>
      </c>
      <c r="G1724" s="4">
        <f t="shared" si="3"/>
        <v>8600784.7</v>
      </c>
      <c r="H1724" s="4">
        <f t="shared" si="1"/>
        <v>0.9011324411</v>
      </c>
      <c r="I1724" s="4" t="str">
        <f t="shared" si="2"/>
        <v>B</v>
      </c>
    </row>
    <row r="1725">
      <c r="A1725" s="2">
        <v>1724.0</v>
      </c>
      <c r="B1725" s="2">
        <v>37476.0</v>
      </c>
      <c r="C1725" s="2" t="s">
        <v>1957</v>
      </c>
      <c r="D1725" s="2">
        <v>9.95</v>
      </c>
      <c r="E1725" s="2">
        <v>104.0</v>
      </c>
      <c r="F1725" s="2">
        <v>1005.3</v>
      </c>
      <c r="G1725" s="4">
        <f t="shared" si="3"/>
        <v>8601790</v>
      </c>
      <c r="H1725" s="4">
        <f t="shared" si="1"/>
        <v>0.9012377697</v>
      </c>
      <c r="I1725" s="4" t="str">
        <f t="shared" si="2"/>
        <v>B</v>
      </c>
    </row>
    <row r="1726">
      <c r="A1726" s="2">
        <v>1725.0</v>
      </c>
      <c r="B1726" s="2">
        <v>23274.0</v>
      </c>
      <c r="C1726" s="2" t="s">
        <v>1958</v>
      </c>
      <c r="D1726" s="2">
        <v>1.65</v>
      </c>
      <c r="E1726" s="2">
        <v>592.0</v>
      </c>
      <c r="F1726" s="2">
        <v>1004.97</v>
      </c>
      <c r="G1726" s="4">
        <f t="shared" si="3"/>
        <v>8602794.97</v>
      </c>
      <c r="H1726" s="4">
        <f t="shared" si="1"/>
        <v>0.9013430637</v>
      </c>
      <c r="I1726" s="4" t="str">
        <f t="shared" si="2"/>
        <v>B</v>
      </c>
    </row>
    <row r="1727">
      <c r="A1727" s="2">
        <v>1726.0</v>
      </c>
      <c r="B1727" s="2">
        <v>21612.0</v>
      </c>
      <c r="C1727" s="2" t="s">
        <v>1959</v>
      </c>
      <c r="D1727" s="2">
        <v>2.95</v>
      </c>
      <c r="E1727" s="2">
        <v>346.0</v>
      </c>
      <c r="F1727" s="2">
        <v>1004.04</v>
      </c>
      <c r="G1727" s="4">
        <f t="shared" si="3"/>
        <v>8603799.01</v>
      </c>
      <c r="H1727" s="4">
        <f t="shared" si="1"/>
        <v>0.9014482602</v>
      </c>
      <c r="I1727" s="4" t="str">
        <f t="shared" si="2"/>
        <v>B</v>
      </c>
    </row>
    <row r="1728">
      <c r="A1728" s="2">
        <v>1727.0</v>
      </c>
      <c r="B1728" s="2">
        <v>22496.0</v>
      </c>
      <c r="C1728" s="2" t="s">
        <v>1960</v>
      </c>
      <c r="D1728" s="2">
        <v>2.95</v>
      </c>
      <c r="E1728" s="2">
        <v>368.0</v>
      </c>
      <c r="F1728" s="2">
        <v>1003.94</v>
      </c>
      <c r="G1728" s="4">
        <f t="shared" si="3"/>
        <v>8604802.95</v>
      </c>
      <c r="H1728" s="4">
        <f t="shared" si="1"/>
        <v>0.9015534463</v>
      </c>
      <c r="I1728" s="4" t="str">
        <f t="shared" si="2"/>
        <v>B</v>
      </c>
    </row>
    <row r="1729">
      <c r="A1729" s="2">
        <v>1728.0</v>
      </c>
      <c r="B1729" s="2">
        <v>23289.0</v>
      </c>
      <c r="C1729" s="2" t="s">
        <v>1961</v>
      </c>
      <c r="D1729" s="2">
        <v>1.25</v>
      </c>
      <c r="E1729" s="2">
        <v>807.0</v>
      </c>
      <c r="F1729" s="2">
        <v>1001.85</v>
      </c>
      <c r="G1729" s="4">
        <f t="shared" si="3"/>
        <v>8605804.8</v>
      </c>
      <c r="H1729" s="4">
        <f t="shared" si="1"/>
        <v>0.9016584134</v>
      </c>
      <c r="I1729" s="4" t="str">
        <f t="shared" si="2"/>
        <v>B</v>
      </c>
    </row>
    <row r="1730">
      <c r="A1730" s="2">
        <v>1729.0</v>
      </c>
      <c r="B1730" s="2">
        <v>21397.0</v>
      </c>
      <c r="C1730" s="2" t="s">
        <v>1962</v>
      </c>
      <c r="D1730" s="2">
        <v>1.25</v>
      </c>
      <c r="E1730" s="2">
        <v>1072.0</v>
      </c>
      <c r="F1730" s="2">
        <v>1001.37</v>
      </c>
      <c r="G1730" s="4">
        <f t="shared" si="3"/>
        <v>8606806.17</v>
      </c>
      <c r="H1730" s="4">
        <f t="shared" si="1"/>
        <v>0.9017633303</v>
      </c>
      <c r="I1730" s="4" t="str">
        <f t="shared" si="2"/>
        <v>B</v>
      </c>
    </row>
    <row r="1731">
      <c r="A1731" s="2">
        <v>1730.0</v>
      </c>
      <c r="B1731" s="2">
        <v>23268.0</v>
      </c>
      <c r="C1731" s="2" t="s">
        <v>1963</v>
      </c>
      <c r="D1731" s="2">
        <v>1.45</v>
      </c>
      <c r="E1731" s="2">
        <v>718.0</v>
      </c>
      <c r="F1731" s="2">
        <v>1001.09</v>
      </c>
      <c r="G1731" s="4">
        <f t="shared" si="3"/>
        <v>8607807.26</v>
      </c>
      <c r="H1731" s="4">
        <f t="shared" si="1"/>
        <v>0.9018682177</v>
      </c>
      <c r="I1731" s="4" t="str">
        <f t="shared" si="2"/>
        <v>B</v>
      </c>
    </row>
    <row r="1732">
      <c r="A1732" s="2">
        <v>1731.0</v>
      </c>
      <c r="B1732" s="2">
        <v>21348.0</v>
      </c>
      <c r="C1732" s="2" t="s">
        <v>1964</v>
      </c>
      <c r="D1732" s="2">
        <v>2.95</v>
      </c>
      <c r="E1732" s="2">
        <v>416.0</v>
      </c>
      <c r="F1732" s="2">
        <v>1000.67</v>
      </c>
      <c r="G1732" s="4">
        <f t="shared" si="3"/>
        <v>8608807.93</v>
      </c>
      <c r="H1732" s="4">
        <f t="shared" si="1"/>
        <v>0.9019730612</v>
      </c>
      <c r="I1732" s="4" t="str">
        <f t="shared" si="2"/>
        <v>B</v>
      </c>
    </row>
    <row r="1733">
      <c r="A1733" s="2">
        <v>1732.0</v>
      </c>
      <c r="B1733" s="2">
        <v>21389.0</v>
      </c>
      <c r="C1733" s="2" t="s">
        <v>1965</v>
      </c>
      <c r="D1733" s="2">
        <v>0.85</v>
      </c>
      <c r="E1733" s="2">
        <v>1145.0</v>
      </c>
      <c r="F1733" s="2">
        <v>1000.22</v>
      </c>
      <c r="G1733" s="4">
        <f t="shared" si="3"/>
        <v>8609808.15</v>
      </c>
      <c r="H1733" s="4">
        <f t="shared" si="1"/>
        <v>0.9020778575</v>
      </c>
      <c r="I1733" s="4" t="str">
        <f t="shared" si="2"/>
        <v>B</v>
      </c>
    </row>
    <row r="1734">
      <c r="A1734" s="2">
        <v>1733.0</v>
      </c>
      <c r="B1734" s="2">
        <v>23315.0</v>
      </c>
      <c r="C1734" s="2" t="s">
        <v>1966</v>
      </c>
      <c r="D1734" s="2">
        <v>9.95</v>
      </c>
      <c r="E1734" s="2">
        <v>100.0</v>
      </c>
      <c r="F1734" s="2">
        <v>998.22</v>
      </c>
      <c r="G1734" s="4">
        <f t="shared" si="3"/>
        <v>8610806.37</v>
      </c>
      <c r="H1734" s="4">
        <f t="shared" si="1"/>
        <v>0.9021824443</v>
      </c>
      <c r="I1734" s="4" t="str">
        <f t="shared" si="2"/>
        <v>B</v>
      </c>
    </row>
    <row r="1735">
      <c r="A1735" s="2">
        <v>1734.0</v>
      </c>
      <c r="B1735" s="2">
        <v>22521.0</v>
      </c>
      <c r="C1735" s="2" t="s">
        <v>1967</v>
      </c>
      <c r="D1735" s="2">
        <v>0.85</v>
      </c>
      <c r="E1735" s="2">
        <v>1149.0</v>
      </c>
      <c r="F1735" s="2">
        <v>998.21</v>
      </c>
      <c r="G1735" s="4">
        <f t="shared" si="3"/>
        <v>8611804.58</v>
      </c>
      <c r="H1735" s="4">
        <f t="shared" si="1"/>
        <v>0.9022870301</v>
      </c>
      <c r="I1735" s="4" t="str">
        <f t="shared" si="2"/>
        <v>B</v>
      </c>
    </row>
    <row r="1736">
      <c r="A1736" s="2">
        <v>1735.0</v>
      </c>
      <c r="B1736" s="2">
        <v>23357.0</v>
      </c>
      <c r="C1736" s="2" t="s">
        <v>1968</v>
      </c>
      <c r="D1736" s="2">
        <v>4.95</v>
      </c>
      <c r="E1736" s="2">
        <v>226.0</v>
      </c>
      <c r="F1736" s="2">
        <v>996.8</v>
      </c>
      <c r="G1736" s="4">
        <f t="shared" si="3"/>
        <v>8612801.38</v>
      </c>
      <c r="H1736" s="4">
        <f t="shared" si="1"/>
        <v>0.9023914681</v>
      </c>
      <c r="I1736" s="4" t="str">
        <f t="shared" si="2"/>
        <v>B</v>
      </c>
    </row>
    <row r="1737">
      <c r="A1737" s="2">
        <v>1736.0</v>
      </c>
      <c r="B1737" s="2">
        <v>35953.0</v>
      </c>
      <c r="C1737" s="2" t="s">
        <v>1969</v>
      </c>
      <c r="D1737" s="2">
        <v>0.61</v>
      </c>
      <c r="E1737" s="2">
        <v>1928.0</v>
      </c>
      <c r="F1737" s="2">
        <v>996.11</v>
      </c>
      <c r="G1737" s="4">
        <f t="shared" si="3"/>
        <v>8613797.49</v>
      </c>
      <c r="H1737" s="4">
        <f t="shared" si="1"/>
        <v>0.9024958338</v>
      </c>
      <c r="I1737" s="4" t="str">
        <f t="shared" si="2"/>
        <v>B</v>
      </c>
    </row>
    <row r="1738">
      <c r="A1738" s="2">
        <v>1737.0</v>
      </c>
      <c r="B1738" s="2" t="s">
        <v>1970</v>
      </c>
      <c r="C1738" s="2" t="s">
        <v>1971</v>
      </c>
      <c r="D1738" s="2">
        <v>6.75</v>
      </c>
      <c r="E1738" s="2">
        <v>159.0</v>
      </c>
      <c r="F1738" s="2">
        <v>995.31</v>
      </c>
      <c r="G1738" s="4">
        <f t="shared" si="3"/>
        <v>8614792.8</v>
      </c>
      <c r="H1738" s="4">
        <f t="shared" si="1"/>
        <v>0.9026001157</v>
      </c>
      <c r="I1738" s="4" t="str">
        <f t="shared" si="2"/>
        <v>B</v>
      </c>
    </row>
    <row r="1739">
      <c r="A1739" s="2">
        <v>1738.0</v>
      </c>
      <c r="B1739" s="2">
        <v>22832.0</v>
      </c>
      <c r="C1739" s="2" t="s">
        <v>1972</v>
      </c>
      <c r="D1739" s="2">
        <v>10.75</v>
      </c>
      <c r="E1739" s="2">
        <v>90.0</v>
      </c>
      <c r="F1739" s="2">
        <v>995.08</v>
      </c>
      <c r="G1739" s="4">
        <f t="shared" si="3"/>
        <v>8615787.88</v>
      </c>
      <c r="H1739" s="4">
        <f t="shared" si="1"/>
        <v>0.9027043735</v>
      </c>
      <c r="I1739" s="4" t="str">
        <f t="shared" si="2"/>
        <v>B</v>
      </c>
    </row>
    <row r="1740">
      <c r="A1740" s="2">
        <v>1739.0</v>
      </c>
      <c r="B1740" s="2">
        <v>22719.0</v>
      </c>
      <c r="C1740" s="2" t="s">
        <v>1973</v>
      </c>
      <c r="D1740" s="2">
        <v>2.46</v>
      </c>
      <c r="E1740" s="2">
        <v>732.0</v>
      </c>
      <c r="F1740" s="2">
        <v>992.66</v>
      </c>
      <c r="G1740" s="4">
        <f t="shared" si="3"/>
        <v>8616780.54</v>
      </c>
      <c r="H1740" s="4">
        <f t="shared" si="1"/>
        <v>0.9028083777</v>
      </c>
      <c r="I1740" s="4" t="str">
        <f t="shared" si="2"/>
        <v>B</v>
      </c>
    </row>
    <row r="1741">
      <c r="A1741" s="2">
        <v>1740.0</v>
      </c>
      <c r="B1741" s="2">
        <v>21695.0</v>
      </c>
      <c r="C1741" s="2" t="s">
        <v>1974</v>
      </c>
      <c r="D1741" s="2">
        <v>2.95</v>
      </c>
      <c r="E1741" s="2">
        <v>320.0</v>
      </c>
      <c r="F1741" s="2">
        <v>992.32</v>
      </c>
      <c r="G1741" s="4">
        <f t="shared" si="3"/>
        <v>8617772.86</v>
      </c>
      <c r="H1741" s="4">
        <f t="shared" si="1"/>
        <v>0.9029123464</v>
      </c>
      <c r="I1741" s="4" t="str">
        <f t="shared" si="2"/>
        <v>B</v>
      </c>
    </row>
    <row r="1742">
      <c r="A1742" s="2">
        <v>1741.0</v>
      </c>
      <c r="B1742" s="2" t="s">
        <v>1975</v>
      </c>
      <c r="C1742" s="2" t="s">
        <v>1976</v>
      </c>
      <c r="D1742" s="2">
        <v>0.21</v>
      </c>
      <c r="E1742" s="2">
        <v>5348.0</v>
      </c>
      <c r="F1742" s="2">
        <v>991.78</v>
      </c>
      <c r="G1742" s="4">
        <f t="shared" si="3"/>
        <v>8618764.64</v>
      </c>
      <c r="H1742" s="4">
        <f t="shared" si="1"/>
        <v>0.9030162584</v>
      </c>
      <c r="I1742" s="4" t="str">
        <f t="shared" si="2"/>
        <v>B</v>
      </c>
    </row>
    <row r="1743">
      <c r="A1743" s="2">
        <v>1742.0</v>
      </c>
      <c r="B1743" s="2" t="s">
        <v>1977</v>
      </c>
      <c r="C1743" s="2" t="s">
        <v>1978</v>
      </c>
      <c r="D1743" s="2">
        <v>11.02</v>
      </c>
      <c r="E1743" s="2">
        <v>88.0</v>
      </c>
      <c r="F1743" s="2">
        <v>991.77</v>
      </c>
      <c r="G1743" s="4">
        <f t="shared" si="3"/>
        <v>8619756.41</v>
      </c>
      <c r="H1743" s="4">
        <f t="shared" si="1"/>
        <v>0.9031201694</v>
      </c>
      <c r="I1743" s="4" t="str">
        <f t="shared" si="2"/>
        <v>B</v>
      </c>
    </row>
    <row r="1744">
      <c r="A1744" s="2">
        <v>1743.0</v>
      </c>
      <c r="B1744" s="2">
        <v>22068.0</v>
      </c>
      <c r="C1744" s="2" t="s">
        <v>1979</v>
      </c>
      <c r="D1744" s="2">
        <v>1.65</v>
      </c>
      <c r="E1744" s="2">
        <v>558.0</v>
      </c>
      <c r="F1744" s="2">
        <v>991.75</v>
      </c>
      <c r="G1744" s="4">
        <f t="shared" si="3"/>
        <v>8620748.16</v>
      </c>
      <c r="H1744" s="4">
        <f t="shared" si="1"/>
        <v>0.9032240783</v>
      </c>
      <c r="I1744" s="4" t="str">
        <f t="shared" si="2"/>
        <v>B</v>
      </c>
    </row>
    <row r="1745">
      <c r="A1745" s="2">
        <v>1744.0</v>
      </c>
      <c r="B1745" s="2">
        <v>20871.0</v>
      </c>
      <c r="C1745" s="2" t="s">
        <v>1980</v>
      </c>
      <c r="D1745" s="2">
        <v>2.1</v>
      </c>
      <c r="E1745" s="2">
        <v>638.0</v>
      </c>
      <c r="F1745" s="2">
        <v>991.12</v>
      </c>
      <c r="G1745" s="4">
        <f t="shared" si="3"/>
        <v>8621739.28</v>
      </c>
      <c r="H1745" s="4">
        <f t="shared" si="1"/>
        <v>0.9033279212</v>
      </c>
      <c r="I1745" s="4" t="str">
        <f t="shared" si="2"/>
        <v>B</v>
      </c>
    </row>
    <row r="1746">
      <c r="A1746" s="2">
        <v>1745.0</v>
      </c>
      <c r="B1746" s="2">
        <v>22559.0</v>
      </c>
      <c r="C1746" s="2" t="s">
        <v>1981</v>
      </c>
      <c r="D1746" s="2">
        <v>1.25</v>
      </c>
      <c r="E1746" s="2">
        <v>790.0</v>
      </c>
      <c r="F1746" s="2">
        <v>990.94</v>
      </c>
      <c r="G1746" s="4">
        <f t="shared" si="3"/>
        <v>8622730.22</v>
      </c>
      <c r="H1746" s="4">
        <f t="shared" si="1"/>
        <v>0.9034317452</v>
      </c>
      <c r="I1746" s="4" t="str">
        <f t="shared" si="2"/>
        <v>B</v>
      </c>
    </row>
    <row r="1747">
      <c r="A1747" s="2">
        <v>1746.0</v>
      </c>
      <c r="B1747" s="2">
        <v>22405.0</v>
      </c>
      <c r="C1747" s="2" t="s">
        <v>1982</v>
      </c>
      <c r="D1747" s="2">
        <v>1.25</v>
      </c>
      <c r="E1747" s="2">
        <v>816.0</v>
      </c>
      <c r="F1747" s="2">
        <v>990.44</v>
      </c>
      <c r="G1747" s="4">
        <f t="shared" si="3"/>
        <v>8623720.66</v>
      </c>
      <c r="H1747" s="4">
        <f t="shared" si="1"/>
        <v>0.9035355169</v>
      </c>
      <c r="I1747" s="4" t="str">
        <f t="shared" si="2"/>
        <v>B</v>
      </c>
    </row>
    <row r="1748">
      <c r="A1748" s="2">
        <v>1747.0</v>
      </c>
      <c r="B1748" s="2">
        <v>23145.0</v>
      </c>
      <c r="C1748" s="2" t="s">
        <v>1983</v>
      </c>
      <c r="D1748" s="2">
        <v>0.95</v>
      </c>
      <c r="E1748" s="2">
        <v>1042.0</v>
      </c>
      <c r="F1748" s="2">
        <v>989.74</v>
      </c>
      <c r="G1748" s="4">
        <f t="shared" si="3"/>
        <v>8624710.4</v>
      </c>
      <c r="H1748" s="4">
        <f t="shared" si="1"/>
        <v>0.9036392152</v>
      </c>
      <c r="I1748" s="4" t="str">
        <f t="shared" si="2"/>
        <v>B</v>
      </c>
    </row>
    <row r="1749">
      <c r="A1749" s="2">
        <v>1748.0</v>
      </c>
      <c r="B1749" s="2">
        <v>21629.0</v>
      </c>
      <c r="C1749" s="2" t="s">
        <v>1984</v>
      </c>
      <c r="D1749" s="2">
        <v>7.95</v>
      </c>
      <c r="E1749" s="2">
        <v>90.0</v>
      </c>
      <c r="F1749" s="2">
        <v>988.64</v>
      </c>
      <c r="G1749" s="4">
        <f t="shared" si="3"/>
        <v>8625699.04</v>
      </c>
      <c r="H1749" s="4">
        <f t="shared" si="1"/>
        <v>0.9037427982</v>
      </c>
      <c r="I1749" s="4" t="str">
        <f t="shared" si="2"/>
        <v>B</v>
      </c>
    </row>
    <row r="1750">
      <c r="A1750" s="2">
        <v>1749.0</v>
      </c>
      <c r="B1750" s="2">
        <v>23068.0</v>
      </c>
      <c r="C1750" s="2" t="s">
        <v>1985</v>
      </c>
      <c r="D1750" s="2">
        <v>2.49</v>
      </c>
      <c r="E1750" s="2">
        <v>406.0</v>
      </c>
      <c r="F1750" s="2">
        <v>988.44</v>
      </c>
      <c r="G1750" s="4">
        <f t="shared" si="3"/>
        <v>8626687.48</v>
      </c>
      <c r="H1750" s="4">
        <f t="shared" si="1"/>
        <v>0.9038463604</v>
      </c>
      <c r="I1750" s="4" t="str">
        <f t="shared" si="2"/>
        <v>B</v>
      </c>
    </row>
    <row r="1751">
      <c r="A1751" s="2">
        <v>1750.0</v>
      </c>
      <c r="B1751" s="2">
        <v>22343.0</v>
      </c>
      <c r="C1751" s="2" t="s">
        <v>1986</v>
      </c>
      <c r="D1751" s="2">
        <v>0.85</v>
      </c>
      <c r="E1751" s="2">
        <v>1641.0</v>
      </c>
      <c r="F1751" s="2">
        <v>985.5</v>
      </c>
      <c r="G1751" s="4">
        <f t="shared" si="3"/>
        <v>8627672.98</v>
      </c>
      <c r="H1751" s="4">
        <f t="shared" si="1"/>
        <v>0.9039496144</v>
      </c>
      <c r="I1751" s="4" t="str">
        <f t="shared" si="2"/>
        <v>B</v>
      </c>
    </row>
    <row r="1752">
      <c r="A1752" s="2">
        <v>1751.0</v>
      </c>
      <c r="B1752" s="2">
        <v>85217.0</v>
      </c>
      <c r="C1752" s="2" t="s">
        <v>1987</v>
      </c>
      <c r="D1752" s="2">
        <v>0.65</v>
      </c>
      <c r="E1752" s="2">
        <v>1426.0</v>
      </c>
      <c r="F1752" s="2">
        <v>985.08</v>
      </c>
      <c r="G1752" s="4">
        <f t="shared" si="3"/>
        <v>8628658.06</v>
      </c>
      <c r="H1752" s="4">
        <f t="shared" si="1"/>
        <v>0.9040528245</v>
      </c>
      <c r="I1752" s="4" t="str">
        <f t="shared" si="2"/>
        <v>B</v>
      </c>
    </row>
    <row r="1753">
      <c r="A1753" s="2">
        <v>1752.0</v>
      </c>
      <c r="B1753" s="2">
        <v>21803.0</v>
      </c>
      <c r="C1753" s="2" t="s">
        <v>1988</v>
      </c>
      <c r="D1753" s="2">
        <v>0.42</v>
      </c>
      <c r="E1753" s="2">
        <v>2268.0</v>
      </c>
      <c r="F1753" s="2">
        <v>984.81</v>
      </c>
      <c r="G1753" s="4">
        <f t="shared" si="3"/>
        <v>8629642.87</v>
      </c>
      <c r="H1753" s="4">
        <f t="shared" si="1"/>
        <v>0.9041560063</v>
      </c>
      <c r="I1753" s="4" t="str">
        <f t="shared" si="2"/>
        <v>B</v>
      </c>
    </row>
    <row r="1754">
      <c r="A1754" s="2">
        <v>1753.0</v>
      </c>
      <c r="B1754" s="2">
        <v>22931.0</v>
      </c>
      <c r="C1754" s="2" t="s">
        <v>1989</v>
      </c>
      <c r="D1754" s="2">
        <v>2.55</v>
      </c>
      <c r="E1754" s="2">
        <v>408.0</v>
      </c>
      <c r="F1754" s="2">
        <v>984.2</v>
      </c>
      <c r="G1754" s="4">
        <f t="shared" si="3"/>
        <v>8630627.07</v>
      </c>
      <c r="H1754" s="4">
        <f t="shared" si="1"/>
        <v>0.9042591241</v>
      </c>
      <c r="I1754" s="4" t="str">
        <f t="shared" si="2"/>
        <v>B</v>
      </c>
    </row>
    <row r="1755">
      <c r="A1755" s="2">
        <v>1754.0</v>
      </c>
      <c r="B1755" s="2">
        <v>22363.0</v>
      </c>
      <c r="C1755" s="2" t="s">
        <v>1990</v>
      </c>
      <c r="D1755" s="2">
        <v>2.95</v>
      </c>
      <c r="E1755" s="2">
        <v>324.0</v>
      </c>
      <c r="F1755" s="2">
        <v>981.0</v>
      </c>
      <c r="G1755" s="4">
        <f t="shared" si="3"/>
        <v>8631608.07</v>
      </c>
      <c r="H1755" s="4">
        <f t="shared" si="1"/>
        <v>0.9043619067</v>
      </c>
      <c r="I1755" s="4" t="str">
        <f t="shared" si="2"/>
        <v>B</v>
      </c>
    </row>
    <row r="1756">
      <c r="A1756" s="2">
        <v>1755.0</v>
      </c>
      <c r="B1756" s="2">
        <v>22438.0</v>
      </c>
      <c r="C1756" s="2" t="s">
        <v>1991</v>
      </c>
      <c r="D1756" s="2">
        <v>1.95</v>
      </c>
      <c r="E1756" s="2">
        <v>742.0</v>
      </c>
      <c r="F1756" s="2">
        <v>979.23</v>
      </c>
      <c r="G1756" s="4">
        <f t="shared" si="3"/>
        <v>8632587.3</v>
      </c>
      <c r="H1756" s="4">
        <f t="shared" si="1"/>
        <v>0.9044645039</v>
      </c>
      <c r="I1756" s="4" t="str">
        <f t="shared" si="2"/>
        <v>B</v>
      </c>
    </row>
    <row r="1757">
      <c r="A1757" s="2">
        <v>1756.0</v>
      </c>
      <c r="B1757" s="2">
        <v>20846.0</v>
      </c>
      <c r="C1757" s="2" t="s">
        <v>1992</v>
      </c>
      <c r="D1757" s="2">
        <v>1.25</v>
      </c>
      <c r="E1757" s="2">
        <v>727.0</v>
      </c>
      <c r="F1757" s="2">
        <v>979.03</v>
      </c>
      <c r="G1757" s="4">
        <f t="shared" si="3"/>
        <v>8633566.33</v>
      </c>
      <c r="H1757" s="4">
        <f t="shared" si="1"/>
        <v>0.90456708</v>
      </c>
      <c r="I1757" s="4" t="str">
        <f t="shared" si="2"/>
        <v>B</v>
      </c>
    </row>
    <row r="1758">
      <c r="A1758" s="2">
        <v>1757.0</v>
      </c>
      <c r="B1758" s="2">
        <v>22599.0</v>
      </c>
      <c r="C1758" s="2" t="s">
        <v>1993</v>
      </c>
      <c r="D1758" s="2">
        <v>0.83</v>
      </c>
      <c r="E1758" s="2">
        <v>1548.0</v>
      </c>
      <c r="F1758" s="2">
        <v>978.24</v>
      </c>
      <c r="G1758" s="4">
        <f t="shared" si="3"/>
        <v>8634544.57</v>
      </c>
      <c r="H1758" s="4">
        <f t="shared" si="1"/>
        <v>0.9046695735</v>
      </c>
      <c r="I1758" s="4" t="str">
        <f t="shared" si="2"/>
        <v>B</v>
      </c>
    </row>
    <row r="1759">
      <c r="A1759" s="2">
        <v>1758.0</v>
      </c>
      <c r="B1759" s="2">
        <v>79160.0</v>
      </c>
      <c r="C1759" s="2" t="s">
        <v>1994</v>
      </c>
      <c r="D1759" s="2">
        <v>2.1</v>
      </c>
      <c r="E1759" s="2">
        <v>468.0</v>
      </c>
      <c r="F1759" s="2">
        <v>978.14</v>
      </c>
      <c r="G1759" s="4">
        <f t="shared" si="3"/>
        <v>8635522.71</v>
      </c>
      <c r="H1759" s="4">
        <f t="shared" si="1"/>
        <v>0.9047720564</v>
      </c>
      <c r="I1759" s="4" t="str">
        <f t="shared" si="2"/>
        <v>B</v>
      </c>
    </row>
    <row r="1760">
      <c r="A1760" s="2">
        <v>1759.0</v>
      </c>
      <c r="B1760" s="2">
        <v>22211.0</v>
      </c>
      <c r="C1760" s="2" t="s">
        <v>1995</v>
      </c>
      <c r="D1760" s="2">
        <v>1.65</v>
      </c>
      <c r="E1760" s="2">
        <v>742.0</v>
      </c>
      <c r="F1760" s="2">
        <v>978.02</v>
      </c>
      <c r="G1760" s="4">
        <f t="shared" si="3"/>
        <v>8636500.73</v>
      </c>
      <c r="H1760" s="4">
        <f t="shared" si="1"/>
        <v>0.9048745268</v>
      </c>
      <c r="I1760" s="4" t="str">
        <f t="shared" si="2"/>
        <v>B</v>
      </c>
    </row>
    <row r="1761">
      <c r="A1761" s="2">
        <v>1760.0</v>
      </c>
      <c r="B1761" s="2">
        <v>21647.0</v>
      </c>
      <c r="C1761" s="2" t="s">
        <v>1996</v>
      </c>
      <c r="D1761" s="2">
        <v>2.1</v>
      </c>
      <c r="E1761" s="2">
        <v>438.0</v>
      </c>
      <c r="F1761" s="2">
        <v>977.99</v>
      </c>
      <c r="G1761" s="4">
        <f t="shared" si="3"/>
        <v>8637478.72</v>
      </c>
      <c r="H1761" s="4">
        <f t="shared" si="1"/>
        <v>0.904976994</v>
      </c>
      <c r="I1761" s="4" t="str">
        <f t="shared" si="2"/>
        <v>B</v>
      </c>
    </row>
    <row r="1762">
      <c r="A1762" s="2">
        <v>1761.0</v>
      </c>
      <c r="B1762" s="2">
        <v>21630.0</v>
      </c>
      <c r="C1762" s="2" t="s">
        <v>1997</v>
      </c>
      <c r="D1762" s="2">
        <v>18.29</v>
      </c>
      <c r="E1762" s="2">
        <v>80.0</v>
      </c>
      <c r="F1762" s="2">
        <v>977.74</v>
      </c>
      <c r="G1762" s="4">
        <f t="shared" si="3"/>
        <v>8638456.46</v>
      </c>
      <c r="H1762" s="4">
        <f t="shared" si="1"/>
        <v>0.905079435</v>
      </c>
      <c r="I1762" s="4" t="str">
        <f t="shared" si="2"/>
        <v>B</v>
      </c>
    </row>
    <row r="1763">
      <c r="A1763" s="2">
        <v>1762.0</v>
      </c>
      <c r="B1763" s="2">
        <v>23235.0</v>
      </c>
      <c r="C1763" s="2" t="s">
        <v>1998</v>
      </c>
      <c r="D1763" s="2">
        <v>2.89</v>
      </c>
      <c r="E1763" s="2">
        <v>369.0</v>
      </c>
      <c r="F1763" s="2">
        <v>977.4</v>
      </c>
      <c r="G1763" s="4">
        <f t="shared" si="3"/>
        <v>8639433.86</v>
      </c>
      <c r="H1763" s="4">
        <f t="shared" si="1"/>
        <v>0.9051818404</v>
      </c>
      <c r="I1763" s="4" t="str">
        <f t="shared" si="2"/>
        <v>B</v>
      </c>
    </row>
    <row r="1764">
      <c r="A1764" s="2">
        <v>1763.0</v>
      </c>
      <c r="B1764" s="2">
        <v>23374.0</v>
      </c>
      <c r="C1764" s="2" t="s">
        <v>1999</v>
      </c>
      <c r="D1764" s="2">
        <v>0.82</v>
      </c>
      <c r="E1764" s="2">
        <v>1223.0</v>
      </c>
      <c r="F1764" s="2">
        <v>977.32</v>
      </c>
      <c r="G1764" s="4">
        <f t="shared" si="3"/>
        <v>8640411.18</v>
      </c>
      <c r="H1764" s="4">
        <f t="shared" si="1"/>
        <v>0.9052842374</v>
      </c>
      <c r="I1764" s="4" t="str">
        <f t="shared" si="2"/>
        <v>B</v>
      </c>
    </row>
    <row r="1765">
      <c r="A1765" s="2">
        <v>1764.0</v>
      </c>
      <c r="B1765" s="2">
        <v>35971.0</v>
      </c>
      <c r="C1765" s="2" t="s">
        <v>2000</v>
      </c>
      <c r="D1765" s="2">
        <v>1.25</v>
      </c>
      <c r="E1765" s="2">
        <v>984.0</v>
      </c>
      <c r="F1765" s="2">
        <v>977.0</v>
      </c>
      <c r="G1765" s="4">
        <f t="shared" si="3"/>
        <v>8641388.18</v>
      </c>
      <c r="H1765" s="4">
        <f t="shared" si="1"/>
        <v>0.9053866009</v>
      </c>
      <c r="I1765" s="4" t="str">
        <f t="shared" si="2"/>
        <v>B</v>
      </c>
    </row>
    <row r="1766">
      <c r="A1766" s="2">
        <v>1765.0</v>
      </c>
      <c r="B1766" s="2">
        <v>22802.0</v>
      </c>
      <c r="C1766" s="2" t="s">
        <v>2001</v>
      </c>
      <c r="D1766" s="2">
        <v>19.95</v>
      </c>
      <c r="E1766" s="2">
        <v>56.0</v>
      </c>
      <c r="F1766" s="2">
        <v>976.77</v>
      </c>
      <c r="G1766" s="4">
        <f t="shared" si="3"/>
        <v>8642364.95</v>
      </c>
      <c r="H1766" s="4">
        <f t="shared" si="1"/>
        <v>0.9054889403</v>
      </c>
      <c r="I1766" s="4" t="str">
        <f t="shared" si="2"/>
        <v>B</v>
      </c>
    </row>
    <row r="1767">
      <c r="A1767" s="2">
        <v>1766.0</v>
      </c>
      <c r="B1767" s="2">
        <v>22262.0</v>
      </c>
      <c r="C1767" s="2" t="s">
        <v>2002</v>
      </c>
      <c r="D1767" s="2">
        <v>0.85</v>
      </c>
      <c r="E1767" s="2">
        <v>1014.0</v>
      </c>
      <c r="F1767" s="2">
        <v>974.33</v>
      </c>
      <c r="G1767" s="4">
        <f t="shared" si="3"/>
        <v>8643339.28</v>
      </c>
      <c r="H1767" s="4">
        <f t="shared" si="1"/>
        <v>0.9055910241</v>
      </c>
      <c r="I1767" s="4" t="str">
        <f t="shared" si="2"/>
        <v>B</v>
      </c>
    </row>
    <row r="1768">
      <c r="A1768" s="2">
        <v>1767.0</v>
      </c>
      <c r="B1768" s="2">
        <v>22204.0</v>
      </c>
      <c r="C1768" s="2" t="s">
        <v>2003</v>
      </c>
      <c r="D1768" s="2">
        <v>3.75</v>
      </c>
      <c r="E1768" s="2">
        <v>265.0</v>
      </c>
      <c r="F1768" s="2">
        <v>974.02</v>
      </c>
      <c r="G1768" s="4">
        <f t="shared" si="3"/>
        <v>8644313.3</v>
      </c>
      <c r="H1768" s="4">
        <f t="shared" si="1"/>
        <v>0.9056930754</v>
      </c>
      <c r="I1768" s="4" t="str">
        <f t="shared" si="2"/>
        <v>B</v>
      </c>
    </row>
    <row r="1769">
      <c r="A1769" s="2">
        <v>1768.0</v>
      </c>
      <c r="B1769" s="2">
        <v>23075.0</v>
      </c>
      <c r="C1769" s="2" t="s">
        <v>2004</v>
      </c>
      <c r="D1769" s="2">
        <v>4.15</v>
      </c>
      <c r="E1769" s="2">
        <v>234.0</v>
      </c>
      <c r="F1769" s="2">
        <v>973.92</v>
      </c>
      <c r="G1769" s="4">
        <f t="shared" si="3"/>
        <v>8645287.22</v>
      </c>
      <c r="H1769" s="4">
        <f t="shared" si="1"/>
        <v>0.9057951162</v>
      </c>
      <c r="I1769" s="4" t="str">
        <f t="shared" si="2"/>
        <v>B</v>
      </c>
    </row>
    <row r="1770">
      <c r="A1770" s="2">
        <v>1769.0</v>
      </c>
      <c r="B1770" s="2">
        <v>20703.0</v>
      </c>
      <c r="C1770" s="2" t="s">
        <v>2005</v>
      </c>
      <c r="D1770" s="2">
        <v>4.25</v>
      </c>
      <c r="E1770" s="2">
        <v>230.0</v>
      </c>
      <c r="F1770" s="2">
        <v>973.36</v>
      </c>
      <c r="G1770" s="4">
        <f t="shared" si="3"/>
        <v>8646260.58</v>
      </c>
      <c r="H1770" s="4">
        <f t="shared" si="1"/>
        <v>0.9058970983</v>
      </c>
      <c r="I1770" s="4" t="str">
        <f t="shared" si="2"/>
        <v>B</v>
      </c>
    </row>
    <row r="1771">
      <c r="A1771" s="2">
        <v>1770.0</v>
      </c>
      <c r="B1771" s="2">
        <v>21657.0</v>
      </c>
      <c r="C1771" s="2" t="s">
        <v>2006</v>
      </c>
      <c r="D1771" s="2">
        <v>6.95</v>
      </c>
      <c r="E1771" s="2">
        <v>127.0</v>
      </c>
      <c r="F1771" s="2">
        <v>973.26</v>
      </c>
      <c r="G1771" s="4">
        <f t="shared" si="3"/>
        <v>8647233.84</v>
      </c>
      <c r="H1771" s="4">
        <f t="shared" si="1"/>
        <v>0.9059990699</v>
      </c>
      <c r="I1771" s="4" t="str">
        <f t="shared" si="2"/>
        <v>B</v>
      </c>
    </row>
    <row r="1772">
      <c r="A1772" s="2">
        <v>1771.0</v>
      </c>
      <c r="B1772" s="2">
        <v>20984.0</v>
      </c>
      <c r="C1772" s="2" t="s">
        <v>2007</v>
      </c>
      <c r="D1772" s="2">
        <v>0.29</v>
      </c>
      <c r="E1772" s="2">
        <v>2938.0</v>
      </c>
      <c r="F1772" s="2">
        <v>973.04</v>
      </c>
      <c r="G1772" s="4">
        <f t="shared" si="3"/>
        <v>8648206.88</v>
      </c>
      <c r="H1772" s="4">
        <f t="shared" si="1"/>
        <v>0.9061010185</v>
      </c>
      <c r="I1772" s="4" t="str">
        <f t="shared" si="2"/>
        <v>B</v>
      </c>
    </row>
    <row r="1773">
      <c r="A1773" s="2">
        <v>1772.0</v>
      </c>
      <c r="B1773" s="2">
        <v>21692.0</v>
      </c>
      <c r="C1773" s="2" t="s">
        <v>2008</v>
      </c>
      <c r="D1773" s="2">
        <v>3.75</v>
      </c>
      <c r="E1773" s="2">
        <v>256.0</v>
      </c>
      <c r="F1773" s="2">
        <v>970.18</v>
      </c>
      <c r="G1773" s="4">
        <f t="shared" si="3"/>
        <v>8649177.06</v>
      </c>
      <c r="H1773" s="4">
        <f t="shared" si="1"/>
        <v>0.9062026675</v>
      </c>
      <c r="I1773" s="4" t="str">
        <f t="shared" si="2"/>
        <v>B</v>
      </c>
    </row>
    <row r="1774">
      <c r="A1774" s="2">
        <v>1773.0</v>
      </c>
      <c r="B1774" s="2" t="s">
        <v>2009</v>
      </c>
      <c r="C1774" s="2" t="s">
        <v>2010</v>
      </c>
      <c r="D1774" s="2">
        <v>1.49</v>
      </c>
      <c r="E1774" s="2">
        <v>597.0</v>
      </c>
      <c r="F1774" s="2">
        <v>969.44</v>
      </c>
      <c r="G1774" s="4">
        <f t="shared" si="3"/>
        <v>8650146.5</v>
      </c>
      <c r="H1774" s="4">
        <f t="shared" si="1"/>
        <v>0.9063042389</v>
      </c>
      <c r="I1774" s="4" t="str">
        <f t="shared" si="2"/>
        <v>B</v>
      </c>
    </row>
    <row r="1775">
      <c r="A1775" s="2">
        <v>1774.0</v>
      </c>
      <c r="B1775" s="2" t="s">
        <v>2011</v>
      </c>
      <c r="C1775" s="2" t="s">
        <v>2012</v>
      </c>
      <c r="D1775" s="2">
        <v>6.75</v>
      </c>
      <c r="E1775" s="2">
        <v>151.0</v>
      </c>
      <c r="F1775" s="2">
        <v>968.64</v>
      </c>
      <c r="G1775" s="4">
        <f t="shared" si="3"/>
        <v>8651115.14</v>
      </c>
      <c r="H1775" s="4">
        <f t="shared" si="1"/>
        <v>0.9064057265</v>
      </c>
      <c r="I1775" s="4" t="str">
        <f t="shared" si="2"/>
        <v>B</v>
      </c>
    </row>
    <row r="1776">
      <c r="A1776" s="2">
        <v>1775.0</v>
      </c>
      <c r="B1776" s="2">
        <v>85103.0</v>
      </c>
      <c r="C1776" s="2" t="s">
        <v>2013</v>
      </c>
      <c r="D1776" s="2">
        <v>6.75</v>
      </c>
      <c r="E1776" s="2">
        <v>140.0</v>
      </c>
      <c r="F1776" s="2">
        <v>966.64</v>
      </c>
      <c r="G1776" s="4">
        <f t="shared" si="3"/>
        <v>8652081.78</v>
      </c>
      <c r="H1776" s="4">
        <f t="shared" si="1"/>
        <v>0.9065070045</v>
      </c>
      <c r="I1776" s="4" t="str">
        <f t="shared" si="2"/>
        <v>B</v>
      </c>
    </row>
    <row r="1777">
      <c r="A1777" s="2">
        <v>1776.0</v>
      </c>
      <c r="B1777" s="2">
        <v>22098.0</v>
      </c>
      <c r="C1777" s="2" t="s">
        <v>2014</v>
      </c>
      <c r="D1777" s="2">
        <v>1.25</v>
      </c>
      <c r="E1777" s="2">
        <v>1412.0</v>
      </c>
      <c r="F1777" s="2">
        <v>964.82</v>
      </c>
      <c r="G1777" s="4">
        <f t="shared" si="3"/>
        <v>8653046.6</v>
      </c>
      <c r="H1777" s="4">
        <f t="shared" si="1"/>
        <v>0.9066080919</v>
      </c>
      <c r="I1777" s="4" t="str">
        <f t="shared" si="2"/>
        <v>B</v>
      </c>
    </row>
    <row r="1778">
      <c r="A1778" s="2">
        <v>1777.0</v>
      </c>
      <c r="B1778" s="2">
        <v>21538.0</v>
      </c>
      <c r="C1778" s="2" t="s">
        <v>2015</v>
      </c>
      <c r="D1778" s="2">
        <v>3.75</v>
      </c>
      <c r="E1778" s="2">
        <v>654.0</v>
      </c>
      <c r="F1778" s="2">
        <v>964.13</v>
      </c>
      <c r="G1778" s="4">
        <f t="shared" si="3"/>
        <v>8654010.73</v>
      </c>
      <c r="H1778" s="4">
        <f t="shared" si="1"/>
        <v>0.9067091069</v>
      </c>
      <c r="I1778" s="4" t="str">
        <f t="shared" si="2"/>
        <v>B</v>
      </c>
    </row>
    <row r="1779">
      <c r="A1779" s="2">
        <v>1778.0</v>
      </c>
      <c r="B1779" s="2">
        <v>84581.0</v>
      </c>
      <c r="C1779" s="2" t="s">
        <v>2016</v>
      </c>
      <c r="D1779" s="2">
        <v>3.75</v>
      </c>
      <c r="E1779" s="2">
        <v>254.0</v>
      </c>
      <c r="F1779" s="2">
        <v>963.76</v>
      </c>
      <c r="G1779" s="4">
        <f t="shared" si="3"/>
        <v>8654974.49</v>
      </c>
      <c r="H1779" s="4">
        <f t="shared" si="1"/>
        <v>0.9068100832</v>
      </c>
      <c r="I1779" s="4" t="str">
        <f t="shared" si="2"/>
        <v>B</v>
      </c>
    </row>
    <row r="1780">
      <c r="A1780" s="2">
        <v>1779.0</v>
      </c>
      <c r="B1780" s="2">
        <v>22614.0</v>
      </c>
      <c r="C1780" s="2" t="s">
        <v>2017</v>
      </c>
      <c r="D1780" s="2">
        <v>0.29</v>
      </c>
      <c r="E1780" s="2">
        <v>2812.0</v>
      </c>
      <c r="F1780" s="2">
        <v>961.66</v>
      </c>
      <c r="G1780" s="4">
        <f t="shared" si="3"/>
        <v>8655936.15</v>
      </c>
      <c r="H1780" s="4">
        <f t="shared" si="1"/>
        <v>0.9069108395</v>
      </c>
      <c r="I1780" s="4" t="str">
        <f t="shared" si="2"/>
        <v>B</v>
      </c>
    </row>
    <row r="1781">
      <c r="A1781" s="2">
        <v>1780.0</v>
      </c>
      <c r="B1781" s="2" t="s">
        <v>2018</v>
      </c>
      <c r="C1781" s="2" t="s">
        <v>2019</v>
      </c>
      <c r="D1781" s="2">
        <v>11.02</v>
      </c>
      <c r="E1781" s="2">
        <v>76.0</v>
      </c>
      <c r="F1781" s="2">
        <v>960.62</v>
      </c>
      <c r="G1781" s="4">
        <f t="shared" si="3"/>
        <v>8656896.77</v>
      </c>
      <c r="H1781" s="4">
        <f t="shared" si="1"/>
        <v>0.9070114868</v>
      </c>
      <c r="I1781" s="4" t="str">
        <f t="shared" si="2"/>
        <v>B</v>
      </c>
    </row>
    <row r="1782">
      <c r="A1782" s="2">
        <v>1781.0</v>
      </c>
      <c r="B1782" s="2">
        <v>22753.0</v>
      </c>
      <c r="C1782" s="2" t="s">
        <v>2020</v>
      </c>
      <c r="D1782" s="2">
        <v>0.85</v>
      </c>
      <c r="E1782" s="2">
        <v>1168.0</v>
      </c>
      <c r="F1782" s="2">
        <v>959.73</v>
      </c>
      <c r="G1782" s="4">
        <f t="shared" si="3"/>
        <v>8657856.5</v>
      </c>
      <c r="H1782" s="4">
        <f t="shared" si="1"/>
        <v>0.9071120409</v>
      </c>
      <c r="I1782" s="4" t="str">
        <f t="shared" si="2"/>
        <v>B</v>
      </c>
    </row>
    <row r="1783">
      <c r="A1783" s="2">
        <v>1782.0</v>
      </c>
      <c r="B1783" s="2">
        <v>21802.0</v>
      </c>
      <c r="C1783" s="2" t="s">
        <v>2021</v>
      </c>
      <c r="D1783" s="2">
        <v>0.42</v>
      </c>
      <c r="E1783" s="2">
        <v>2190.0</v>
      </c>
      <c r="F1783" s="2">
        <v>959.44</v>
      </c>
      <c r="G1783" s="4">
        <f t="shared" si="3"/>
        <v>8658815.94</v>
      </c>
      <c r="H1783" s="4">
        <f t="shared" si="1"/>
        <v>0.9072125646</v>
      </c>
      <c r="I1783" s="4" t="str">
        <f t="shared" si="2"/>
        <v>B</v>
      </c>
    </row>
    <row r="1784">
      <c r="A1784" s="2">
        <v>1783.0</v>
      </c>
      <c r="B1784" s="2">
        <v>20716.0</v>
      </c>
      <c r="C1784" s="2" t="s">
        <v>2022</v>
      </c>
      <c r="D1784" s="2">
        <v>1.25</v>
      </c>
      <c r="E1784" s="2">
        <v>762.0</v>
      </c>
      <c r="F1784" s="2">
        <v>956.9</v>
      </c>
      <c r="G1784" s="4">
        <f t="shared" si="3"/>
        <v>8659772.84</v>
      </c>
      <c r="H1784" s="4">
        <f t="shared" si="1"/>
        <v>0.9073128221</v>
      </c>
      <c r="I1784" s="4" t="str">
        <f t="shared" si="2"/>
        <v>B</v>
      </c>
    </row>
    <row r="1785">
      <c r="A1785" s="2">
        <v>1784.0</v>
      </c>
      <c r="B1785" s="2">
        <v>20684.0</v>
      </c>
      <c r="C1785" s="2" t="s">
        <v>2023</v>
      </c>
      <c r="D1785" s="2">
        <v>3.25</v>
      </c>
      <c r="E1785" s="2">
        <v>290.0</v>
      </c>
      <c r="F1785" s="2">
        <v>956.66</v>
      </c>
      <c r="G1785" s="4">
        <f t="shared" si="3"/>
        <v>8660729.5</v>
      </c>
      <c r="H1785" s="4">
        <f t="shared" si="1"/>
        <v>0.9074130545</v>
      </c>
      <c r="I1785" s="4" t="str">
        <f t="shared" si="2"/>
        <v>B</v>
      </c>
    </row>
    <row r="1786">
      <c r="A1786" s="2">
        <v>1785.0</v>
      </c>
      <c r="B1786" s="2">
        <v>21991.0</v>
      </c>
      <c r="C1786" s="2" t="s">
        <v>2024</v>
      </c>
      <c r="D1786" s="2">
        <v>2.46</v>
      </c>
      <c r="E1786" s="2">
        <v>546.0</v>
      </c>
      <c r="F1786" s="2">
        <v>956.27</v>
      </c>
      <c r="G1786" s="4">
        <f t="shared" si="3"/>
        <v>8661685.77</v>
      </c>
      <c r="H1786" s="4">
        <f t="shared" si="1"/>
        <v>0.9075132461</v>
      </c>
      <c r="I1786" s="4" t="str">
        <f t="shared" si="2"/>
        <v>B</v>
      </c>
    </row>
    <row r="1787">
      <c r="A1787" s="2">
        <v>1786.0</v>
      </c>
      <c r="B1787" s="2">
        <v>23094.0</v>
      </c>
      <c r="C1787" s="2" t="s">
        <v>2025</v>
      </c>
      <c r="D1787" s="2">
        <v>12.5</v>
      </c>
      <c r="E1787" s="2">
        <v>76.0</v>
      </c>
      <c r="F1787" s="2">
        <v>956.21</v>
      </c>
      <c r="G1787" s="4">
        <f t="shared" si="3"/>
        <v>8662641.98</v>
      </c>
      <c r="H1787" s="4">
        <f t="shared" si="1"/>
        <v>0.9076134313</v>
      </c>
      <c r="I1787" s="4" t="str">
        <f t="shared" si="2"/>
        <v>B</v>
      </c>
    </row>
    <row r="1788">
      <c r="A1788" s="2">
        <v>1787.0</v>
      </c>
      <c r="B1788" s="2">
        <v>40001.0</v>
      </c>
      <c r="C1788" s="2" t="s">
        <v>2026</v>
      </c>
      <c r="D1788" s="2">
        <v>0.85</v>
      </c>
      <c r="E1788" s="2">
        <v>1242.0</v>
      </c>
      <c r="F1788" s="2">
        <v>955.4</v>
      </c>
      <c r="G1788" s="4">
        <f t="shared" si="3"/>
        <v>8663597.38</v>
      </c>
      <c r="H1788" s="4">
        <f t="shared" si="1"/>
        <v>0.9077135317</v>
      </c>
      <c r="I1788" s="4" t="str">
        <f t="shared" si="2"/>
        <v>B</v>
      </c>
    </row>
    <row r="1789">
      <c r="A1789" s="2">
        <v>1788.0</v>
      </c>
      <c r="B1789" s="2">
        <v>21043.0</v>
      </c>
      <c r="C1789" s="2" t="s">
        <v>2027</v>
      </c>
      <c r="D1789" s="2">
        <v>4.13</v>
      </c>
      <c r="E1789" s="2">
        <v>338.0</v>
      </c>
      <c r="F1789" s="2">
        <v>953.54</v>
      </c>
      <c r="G1789" s="4">
        <f t="shared" si="3"/>
        <v>8664550.92</v>
      </c>
      <c r="H1789" s="4">
        <f t="shared" si="1"/>
        <v>0.9078134372</v>
      </c>
      <c r="I1789" s="4" t="str">
        <f t="shared" si="2"/>
        <v>B</v>
      </c>
    </row>
    <row r="1790">
      <c r="A1790" s="2">
        <v>1789.0</v>
      </c>
      <c r="B1790" s="2">
        <v>22513.0</v>
      </c>
      <c r="C1790" s="2" t="s">
        <v>2028</v>
      </c>
      <c r="D1790" s="2">
        <v>3.75</v>
      </c>
      <c r="E1790" s="2">
        <v>294.0</v>
      </c>
      <c r="F1790" s="2">
        <v>952.98</v>
      </c>
      <c r="G1790" s="4">
        <f t="shared" si="3"/>
        <v>8665503.9</v>
      </c>
      <c r="H1790" s="4">
        <f t="shared" si="1"/>
        <v>0.9079132841</v>
      </c>
      <c r="I1790" s="4" t="str">
        <f t="shared" si="2"/>
        <v>B</v>
      </c>
    </row>
    <row r="1791">
      <c r="A1791" s="2">
        <v>1790.0</v>
      </c>
      <c r="B1791" s="2">
        <v>22565.0</v>
      </c>
      <c r="C1791" s="2" t="s">
        <v>2029</v>
      </c>
      <c r="D1791" s="2">
        <v>0.85</v>
      </c>
      <c r="E1791" s="2">
        <v>1045.0</v>
      </c>
      <c r="F1791" s="2">
        <v>952.8</v>
      </c>
      <c r="G1791" s="4">
        <f t="shared" si="3"/>
        <v>8666456.7</v>
      </c>
      <c r="H1791" s="4">
        <f t="shared" si="1"/>
        <v>0.9080131121</v>
      </c>
      <c r="I1791" s="4" t="str">
        <f t="shared" si="2"/>
        <v>B</v>
      </c>
    </row>
    <row r="1792">
      <c r="A1792" s="2">
        <v>1791.0</v>
      </c>
      <c r="B1792" s="2" t="s">
        <v>2030</v>
      </c>
      <c r="C1792" s="2" t="s">
        <v>2031</v>
      </c>
      <c r="D1792" s="2">
        <v>1.95</v>
      </c>
      <c r="E1792" s="2">
        <v>488.0</v>
      </c>
      <c r="F1792" s="2">
        <v>952.58</v>
      </c>
      <c r="G1792" s="4">
        <f t="shared" si="3"/>
        <v>8667409.28</v>
      </c>
      <c r="H1792" s="4">
        <f t="shared" si="1"/>
        <v>0.908112917</v>
      </c>
      <c r="I1792" s="4" t="str">
        <f t="shared" si="2"/>
        <v>B</v>
      </c>
    </row>
    <row r="1793">
      <c r="A1793" s="2">
        <v>1792.0</v>
      </c>
      <c r="B1793" s="2">
        <v>84763.0</v>
      </c>
      <c r="C1793" s="2" t="s">
        <v>2032</v>
      </c>
      <c r="D1793" s="2">
        <v>1.25</v>
      </c>
      <c r="E1793" s="2">
        <v>758.0</v>
      </c>
      <c r="F1793" s="2">
        <v>951.5</v>
      </c>
      <c r="G1793" s="4">
        <f t="shared" si="3"/>
        <v>8668360.78</v>
      </c>
      <c r="H1793" s="4">
        <f t="shared" si="1"/>
        <v>0.9082126088</v>
      </c>
      <c r="I1793" s="4" t="str">
        <f t="shared" si="2"/>
        <v>B</v>
      </c>
    </row>
    <row r="1794">
      <c r="A1794" s="2">
        <v>1793.0</v>
      </c>
      <c r="B1794" s="2" t="s">
        <v>2033</v>
      </c>
      <c r="C1794" s="2" t="s">
        <v>2034</v>
      </c>
      <c r="D1794" s="2">
        <v>2.95</v>
      </c>
      <c r="E1794" s="2">
        <v>434.0</v>
      </c>
      <c r="F1794" s="2">
        <v>949.79</v>
      </c>
      <c r="G1794" s="4">
        <f t="shared" si="3"/>
        <v>8669310.57</v>
      </c>
      <c r="H1794" s="4">
        <f t="shared" si="1"/>
        <v>0.9083121214</v>
      </c>
      <c r="I1794" s="4" t="str">
        <f t="shared" si="2"/>
        <v>B</v>
      </c>
    </row>
    <row r="1795">
      <c r="A1795" s="2">
        <v>1794.0</v>
      </c>
      <c r="B1795" s="2">
        <v>22522.0</v>
      </c>
      <c r="C1795" s="2" t="s">
        <v>2035</v>
      </c>
      <c r="D1795" s="2">
        <v>0.85</v>
      </c>
      <c r="E1795" s="2">
        <v>1116.0</v>
      </c>
      <c r="F1795" s="2">
        <v>949.5</v>
      </c>
      <c r="G1795" s="4">
        <f t="shared" si="3"/>
        <v>8670260.07</v>
      </c>
      <c r="H1795" s="4">
        <f t="shared" si="1"/>
        <v>0.9084116036</v>
      </c>
      <c r="I1795" s="4" t="str">
        <f t="shared" si="2"/>
        <v>B</v>
      </c>
    </row>
    <row r="1796">
      <c r="A1796" s="2">
        <v>1795.0</v>
      </c>
      <c r="B1796" s="2">
        <v>23491.0</v>
      </c>
      <c r="C1796" s="2" t="s">
        <v>2036</v>
      </c>
      <c r="D1796" s="2">
        <v>8.25</v>
      </c>
      <c r="E1796" s="2">
        <v>114.0</v>
      </c>
      <c r="F1796" s="2">
        <v>948.88</v>
      </c>
      <c r="G1796" s="4">
        <f t="shared" si="3"/>
        <v>8671208.95</v>
      </c>
      <c r="H1796" s="4">
        <f t="shared" si="1"/>
        <v>0.9085110209</v>
      </c>
      <c r="I1796" s="4" t="str">
        <f t="shared" si="2"/>
        <v>B</v>
      </c>
    </row>
    <row r="1797">
      <c r="A1797" s="2">
        <v>1796.0</v>
      </c>
      <c r="B1797" s="2">
        <v>22985.0</v>
      </c>
      <c r="C1797" s="2" t="s">
        <v>2037</v>
      </c>
      <c r="D1797" s="2">
        <v>0.42</v>
      </c>
      <c r="E1797" s="2">
        <v>2361.0</v>
      </c>
      <c r="F1797" s="2">
        <v>947.62</v>
      </c>
      <c r="G1797" s="4">
        <f t="shared" si="3"/>
        <v>8672156.57</v>
      </c>
      <c r="H1797" s="4">
        <f t="shared" si="1"/>
        <v>0.9086103061</v>
      </c>
      <c r="I1797" s="4" t="str">
        <f t="shared" si="2"/>
        <v>B</v>
      </c>
    </row>
    <row r="1798">
      <c r="A1798" s="2">
        <v>1797.0</v>
      </c>
      <c r="B1798" s="2">
        <v>21581.0</v>
      </c>
      <c r="C1798" s="2" t="s">
        <v>2038</v>
      </c>
      <c r="D1798" s="2">
        <v>2.25</v>
      </c>
      <c r="E1798" s="2">
        <v>586.0</v>
      </c>
      <c r="F1798" s="2">
        <v>945.37</v>
      </c>
      <c r="G1798" s="4">
        <f t="shared" si="3"/>
        <v>8673101.94</v>
      </c>
      <c r="H1798" s="4">
        <f t="shared" si="1"/>
        <v>0.9087093557</v>
      </c>
      <c r="I1798" s="4" t="str">
        <f t="shared" si="2"/>
        <v>B</v>
      </c>
    </row>
    <row r="1799">
      <c r="A1799" s="2">
        <v>1798.0</v>
      </c>
      <c r="B1799" s="2">
        <v>23394.0</v>
      </c>
      <c r="C1799" s="2" t="s">
        <v>2039</v>
      </c>
      <c r="D1799" s="2">
        <v>3.75</v>
      </c>
      <c r="E1799" s="2">
        <v>219.0</v>
      </c>
      <c r="F1799" s="2">
        <v>944.45</v>
      </c>
      <c r="G1799" s="4">
        <f t="shared" si="3"/>
        <v>8674046.39</v>
      </c>
      <c r="H1799" s="4">
        <f t="shared" si="1"/>
        <v>0.9088083088</v>
      </c>
      <c r="I1799" s="4" t="str">
        <f t="shared" si="2"/>
        <v>B</v>
      </c>
    </row>
    <row r="1800">
      <c r="A1800" s="2">
        <v>1799.0</v>
      </c>
      <c r="B1800" s="2" t="s">
        <v>2040</v>
      </c>
      <c r="C1800" s="2" t="s">
        <v>2041</v>
      </c>
      <c r="D1800" s="2">
        <v>2.95</v>
      </c>
      <c r="E1800" s="2">
        <v>304.0</v>
      </c>
      <c r="F1800" s="2">
        <v>943.86</v>
      </c>
      <c r="G1800" s="4">
        <f t="shared" si="3"/>
        <v>8674990.25</v>
      </c>
      <c r="H1800" s="4">
        <f t="shared" si="1"/>
        <v>0.9089072001</v>
      </c>
      <c r="I1800" s="4" t="str">
        <f t="shared" si="2"/>
        <v>B</v>
      </c>
    </row>
    <row r="1801">
      <c r="A1801" s="2">
        <v>1800.0</v>
      </c>
      <c r="B1801" s="2">
        <v>21445.0</v>
      </c>
      <c r="C1801" s="2" t="s">
        <v>2042</v>
      </c>
      <c r="D1801" s="2">
        <v>1.25</v>
      </c>
      <c r="E1801" s="2">
        <v>760.0</v>
      </c>
      <c r="F1801" s="2">
        <v>943.62</v>
      </c>
      <c r="G1801" s="4">
        <f t="shared" si="3"/>
        <v>8675933.87</v>
      </c>
      <c r="H1801" s="4">
        <f t="shared" si="1"/>
        <v>0.9090060663</v>
      </c>
      <c r="I1801" s="4" t="str">
        <f t="shared" si="2"/>
        <v>B</v>
      </c>
    </row>
    <row r="1802">
      <c r="A1802" s="2">
        <v>1801.0</v>
      </c>
      <c r="B1802" s="2">
        <v>21773.0</v>
      </c>
      <c r="C1802" s="2" t="s">
        <v>2043</v>
      </c>
      <c r="D1802" s="2">
        <v>2.46</v>
      </c>
      <c r="E1802" s="2">
        <v>816.0</v>
      </c>
      <c r="F1802" s="2">
        <v>943.45</v>
      </c>
      <c r="G1802" s="4">
        <f t="shared" si="3"/>
        <v>8676877.32</v>
      </c>
      <c r="H1802" s="4">
        <f t="shared" si="1"/>
        <v>0.9091049146</v>
      </c>
      <c r="I1802" s="4" t="str">
        <f t="shared" si="2"/>
        <v>B</v>
      </c>
    </row>
    <row r="1803">
      <c r="A1803" s="2">
        <v>1802.0</v>
      </c>
      <c r="B1803" s="2">
        <v>23434.0</v>
      </c>
      <c r="C1803" s="2" t="s">
        <v>2044</v>
      </c>
      <c r="D1803" s="2">
        <v>0.79</v>
      </c>
      <c r="E1803" s="2">
        <v>1048.0</v>
      </c>
      <c r="F1803" s="2">
        <v>942.08</v>
      </c>
      <c r="G1803" s="4">
        <f t="shared" si="3"/>
        <v>8677819.4</v>
      </c>
      <c r="H1803" s="4">
        <f t="shared" si="1"/>
        <v>0.9092036194</v>
      </c>
      <c r="I1803" s="4" t="str">
        <f t="shared" si="2"/>
        <v>B</v>
      </c>
    </row>
    <row r="1804">
      <c r="A1804" s="2">
        <v>1803.0</v>
      </c>
      <c r="B1804" s="2">
        <v>21687.0</v>
      </c>
      <c r="C1804" s="2" t="s">
        <v>2045</v>
      </c>
      <c r="D1804" s="2">
        <v>3.75</v>
      </c>
      <c r="E1804" s="2">
        <v>240.0</v>
      </c>
      <c r="F1804" s="2">
        <v>941.24</v>
      </c>
      <c r="G1804" s="4">
        <f t="shared" si="3"/>
        <v>8678760.64</v>
      </c>
      <c r="H1804" s="4">
        <f t="shared" si="1"/>
        <v>0.9093022362</v>
      </c>
      <c r="I1804" s="4" t="str">
        <f t="shared" si="2"/>
        <v>B</v>
      </c>
    </row>
    <row r="1805">
      <c r="A1805" s="2">
        <v>1804.0</v>
      </c>
      <c r="B1805" s="2">
        <v>22210.0</v>
      </c>
      <c r="C1805" s="2" t="s">
        <v>2046</v>
      </c>
      <c r="D1805" s="2">
        <v>1.45</v>
      </c>
      <c r="E1805" s="2">
        <v>788.0</v>
      </c>
      <c r="F1805" s="2">
        <v>940.96</v>
      </c>
      <c r="G1805" s="4">
        <f t="shared" si="3"/>
        <v>8679701.6</v>
      </c>
      <c r="H1805" s="4">
        <f t="shared" si="1"/>
        <v>0.9094008237</v>
      </c>
      <c r="I1805" s="4" t="str">
        <f t="shared" si="2"/>
        <v>B</v>
      </c>
    </row>
    <row r="1806">
      <c r="A1806" s="2">
        <v>1805.0</v>
      </c>
      <c r="B1806" s="2" t="s">
        <v>2047</v>
      </c>
      <c r="C1806" s="2" t="s">
        <v>2048</v>
      </c>
      <c r="D1806" s="2">
        <v>0.85</v>
      </c>
      <c r="E1806" s="2">
        <v>1028.0</v>
      </c>
      <c r="F1806" s="2">
        <v>940.2</v>
      </c>
      <c r="G1806" s="4">
        <f t="shared" si="3"/>
        <v>8680641.8</v>
      </c>
      <c r="H1806" s="4">
        <f t="shared" si="1"/>
        <v>0.9094993315</v>
      </c>
      <c r="I1806" s="4" t="str">
        <f t="shared" si="2"/>
        <v>B</v>
      </c>
    </row>
    <row r="1807">
      <c r="A1807" s="2">
        <v>1806.0</v>
      </c>
      <c r="B1807" s="2">
        <v>22523.0</v>
      </c>
      <c r="C1807" s="2" t="s">
        <v>2049</v>
      </c>
      <c r="D1807" s="2">
        <v>0.85</v>
      </c>
      <c r="E1807" s="2">
        <v>1090.0</v>
      </c>
      <c r="F1807" s="2">
        <v>939.44</v>
      </c>
      <c r="G1807" s="4">
        <f t="shared" si="3"/>
        <v>8681581.24</v>
      </c>
      <c r="H1807" s="4">
        <f t="shared" si="1"/>
        <v>0.9095977597</v>
      </c>
      <c r="I1807" s="4" t="str">
        <f t="shared" si="2"/>
        <v>B</v>
      </c>
    </row>
    <row r="1808">
      <c r="A1808" s="2">
        <v>1807.0</v>
      </c>
      <c r="B1808" s="2">
        <v>22858.0</v>
      </c>
      <c r="C1808" s="2" t="s">
        <v>2050</v>
      </c>
      <c r="D1808" s="2">
        <v>1.65</v>
      </c>
      <c r="E1808" s="2">
        <v>568.0</v>
      </c>
      <c r="F1808" s="2">
        <v>938.67</v>
      </c>
      <c r="G1808" s="4">
        <f t="shared" si="3"/>
        <v>8682519.91</v>
      </c>
      <c r="H1808" s="4">
        <f t="shared" si="1"/>
        <v>0.9096961073</v>
      </c>
      <c r="I1808" s="4" t="str">
        <f t="shared" si="2"/>
        <v>B</v>
      </c>
    </row>
    <row r="1809">
      <c r="A1809" s="2">
        <v>1808.0</v>
      </c>
      <c r="B1809" s="2" t="s">
        <v>2051</v>
      </c>
      <c r="C1809" s="2" t="s">
        <v>2052</v>
      </c>
      <c r="D1809" s="2">
        <v>4.65</v>
      </c>
      <c r="E1809" s="2">
        <v>234.0</v>
      </c>
      <c r="F1809" s="2">
        <v>938.6</v>
      </c>
      <c r="G1809" s="4">
        <f t="shared" si="3"/>
        <v>8683458.51</v>
      </c>
      <c r="H1809" s="4">
        <f t="shared" si="1"/>
        <v>0.9097944475</v>
      </c>
      <c r="I1809" s="4" t="str">
        <f t="shared" si="2"/>
        <v>B</v>
      </c>
    </row>
    <row r="1810">
      <c r="A1810" s="2">
        <v>1809.0</v>
      </c>
      <c r="B1810" s="2">
        <v>21085.0</v>
      </c>
      <c r="C1810" s="2" t="s">
        <v>2053</v>
      </c>
      <c r="D1810" s="2">
        <v>0.65</v>
      </c>
      <c r="E1810" s="2">
        <v>6866.0</v>
      </c>
      <c r="F1810" s="2">
        <v>936.67</v>
      </c>
      <c r="G1810" s="4">
        <f t="shared" si="3"/>
        <v>8684395.18</v>
      </c>
      <c r="H1810" s="4">
        <f t="shared" si="1"/>
        <v>0.9098925855</v>
      </c>
      <c r="I1810" s="4" t="str">
        <f t="shared" si="2"/>
        <v>B</v>
      </c>
    </row>
    <row r="1811">
      <c r="A1811" s="2">
        <v>1810.0</v>
      </c>
      <c r="B1811" s="2">
        <v>23359.0</v>
      </c>
      <c r="C1811" s="2" t="s">
        <v>2054</v>
      </c>
      <c r="D1811" s="2">
        <v>1.95</v>
      </c>
      <c r="E1811" s="2">
        <v>496.0</v>
      </c>
      <c r="F1811" s="2">
        <v>936.16</v>
      </c>
      <c r="G1811" s="4">
        <f t="shared" si="3"/>
        <v>8685331.34</v>
      </c>
      <c r="H1811" s="4">
        <f t="shared" si="1"/>
        <v>0.90999067</v>
      </c>
      <c r="I1811" s="4" t="str">
        <f t="shared" si="2"/>
        <v>B</v>
      </c>
    </row>
    <row r="1812">
      <c r="A1812" s="2">
        <v>1811.0</v>
      </c>
      <c r="B1812" s="2">
        <v>21241.0</v>
      </c>
      <c r="C1812" s="2" t="s">
        <v>2055</v>
      </c>
      <c r="D1812" s="2">
        <v>0.85</v>
      </c>
      <c r="E1812" s="2">
        <v>1108.0</v>
      </c>
      <c r="F1812" s="2">
        <v>935.81</v>
      </c>
      <c r="G1812" s="4">
        <f t="shared" si="3"/>
        <v>8686267.15</v>
      </c>
      <c r="H1812" s="4">
        <f t="shared" si="1"/>
        <v>0.9100887179</v>
      </c>
      <c r="I1812" s="4" t="str">
        <f t="shared" si="2"/>
        <v>B</v>
      </c>
    </row>
    <row r="1813">
      <c r="A1813" s="2">
        <v>1812.0</v>
      </c>
      <c r="B1813" s="2">
        <v>23090.0</v>
      </c>
      <c r="C1813" s="2" t="s">
        <v>2056</v>
      </c>
      <c r="D1813" s="2">
        <v>0.83</v>
      </c>
      <c r="E1813" s="2">
        <v>1119.0</v>
      </c>
      <c r="F1813" s="2">
        <v>935.43</v>
      </c>
      <c r="G1813" s="4">
        <f t="shared" si="3"/>
        <v>8687202.58</v>
      </c>
      <c r="H1813" s="4">
        <f t="shared" si="1"/>
        <v>0.910186726</v>
      </c>
      <c r="I1813" s="4" t="str">
        <f t="shared" si="2"/>
        <v>B</v>
      </c>
    </row>
    <row r="1814">
      <c r="A1814" s="2">
        <v>1813.0</v>
      </c>
      <c r="B1814" s="2">
        <v>16016.0</v>
      </c>
      <c r="C1814" s="2" t="s">
        <v>2057</v>
      </c>
      <c r="D1814" s="2">
        <v>0.85</v>
      </c>
      <c r="E1814" s="2">
        <v>1157.0</v>
      </c>
      <c r="F1814" s="2">
        <v>935.35</v>
      </c>
      <c r="G1814" s="4">
        <f t="shared" si="3"/>
        <v>8688137.93</v>
      </c>
      <c r="H1814" s="4">
        <f t="shared" si="1"/>
        <v>0.9102847257</v>
      </c>
      <c r="I1814" s="4" t="str">
        <f t="shared" si="2"/>
        <v>B</v>
      </c>
    </row>
    <row r="1815">
      <c r="A1815" s="2">
        <v>1814.0</v>
      </c>
      <c r="B1815" s="2">
        <v>22935.0</v>
      </c>
      <c r="C1815" s="2" t="s">
        <v>2058</v>
      </c>
      <c r="D1815" s="2">
        <v>3.25</v>
      </c>
      <c r="E1815" s="2">
        <v>309.0</v>
      </c>
      <c r="F1815" s="2">
        <v>934.41</v>
      </c>
      <c r="G1815" s="4">
        <f t="shared" si="3"/>
        <v>8689072.34</v>
      </c>
      <c r="H1815" s="4">
        <f t="shared" si="1"/>
        <v>0.9103826269</v>
      </c>
      <c r="I1815" s="4" t="str">
        <f t="shared" si="2"/>
        <v>B</v>
      </c>
    </row>
    <row r="1816">
      <c r="A1816" s="2">
        <v>1815.0</v>
      </c>
      <c r="B1816" s="2">
        <v>21091.0</v>
      </c>
      <c r="C1816" s="2" t="s">
        <v>2059</v>
      </c>
      <c r="D1816" s="2">
        <v>0.85</v>
      </c>
      <c r="E1816" s="2">
        <v>6850.0</v>
      </c>
      <c r="F1816" s="2">
        <v>934.35</v>
      </c>
      <c r="G1816" s="4">
        <f t="shared" si="3"/>
        <v>8690006.69</v>
      </c>
      <c r="H1816" s="4">
        <f t="shared" si="1"/>
        <v>0.9104805218</v>
      </c>
      <c r="I1816" s="4" t="str">
        <f t="shared" si="2"/>
        <v>B</v>
      </c>
    </row>
    <row r="1817">
      <c r="A1817" s="2">
        <v>1816.0</v>
      </c>
      <c r="B1817" s="2">
        <v>22678.0</v>
      </c>
      <c r="C1817" s="2" t="s">
        <v>2060</v>
      </c>
      <c r="D1817" s="2">
        <v>1.25</v>
      </c>
      <c r="E1817" s="2">
        <v>696.0</v>
      </c>
      <c r="F1817" s="2">
        <v>932.14</v>
      </c>
      <c r="G1817" s="4">
        <f t="shared" si="3"/>
        <v>8690938.83</v>
      </c>
      <c r="H1817" s="4">
        <f t="shared" si="1"/>
        <v>0.9105781852</v>
      </c>
      <c r="I1817" s="4" t="str">
        <f t="shared" si="2"/>
        <v>B</v>
      </c>
    </row>
    <row r="1818">
      <c r="A1818" s="2">
        <v>1817.0</v>
      </c>
      <c r="B1818" s="2">
        <v>21983.0</v>
      </c>
      <c r="C1818" s="2" t="s">
        <v>2061</v>
      </c>
      <c r="D1818" s="2">
        <v>0.29</v>
      </c>
      <c r="E1818" s="2">
        <v>3036.0</v>
      </c>
      <c r="F1818" s="2">
        <v>930.98</v>
      </c>
      <c r="G1818" s="4">
        <f t="shared" si="3"/>
        <v>8691869.81</v>
      </c>
      <c r="H1818" s="4">
        <f t="shared" si="1"/>
        <v>0.910675727</v>
      </c>
      <c r="I1818" s="4" t="str">
        <f t="shared" si="2"/>
        <v>B</v>
      </c>
    </row>
    <row r="1819">
      <c r="A1819" s="2">
        <v>1818.0</v>
      </c>
      <c r="B1819" s="2">
        <v>21659.0</v>
      </c>
      <c r="C1819" s="2" t="s">
        <v>2062</v>
      </c>
      <c r="D1819" s="2">
        <v>14.95</v>
      </c>
      <c r="E1819" s="2">
        <v>59.0</v>
      </c>
      <c r="F1819" s="2">
        <v>930.9</v>
      </c>
      <c r="G1819" s="4">
        <f t="shared" si="3"/>
        <v>8692800.71</v>
      </c>
      <c r="H1819" s="4">
        <f t="shared" si="1"/>
        <v>0.9107732604</v>
      </c>
      <c r="I1819" s="4" t="str">
        <f t="shared" si="2"/>
        <v>B</v>
      </c>
    </row>
    <row r="1820">
      <c r="A1820" s="2">
        <v>1819.0</v>
      </c>
      <c r="B1820" s="2">
        <v>21841.0</v>
      </c>
      <c r="C1820" s="2" t="s">
        <v>2063</v>
      </c>
      <c r="D1820" s="2">
        <v>4.25</v>
      </c>
      <c r="E1820" s="2">
        <v>219.0</v>
      </c>
      <c r="F1820" s="2">
        <v>930.86</v>
      </c>
      <c r="G1820" s="4">
        <f t="shared" si="3"/>
        <v>8693731.57</v>
      </c>
      <c r="H1820" s="4">
        <f t="shared" si="1"/>
        <v>0.9108707897</v>
      </c>
      <c r="I1820" s="4" t="str">
        <f t="shared" si="2"/>
        <v>B</v>
      </c>
    </row>
    <row r="1821">
      <c r="A1821" s="2">
        <v>1820.0</v>
      </c>
      <c r="B1821" s="2">
        <v>21613.0</v>
      </c>
      <c r="C1821" s="2" t="s">
        <v>2064</v>
      </c>
      <c r="D1821" s="2">
        <v>2.95</v>
      </c>
      <c r="E1821" s="2">
        <v>316.0</v>
      </c>
      <c r="F1821" s="2">
        <v>930.73</v>
      </c>
      <c r="G1821" s="4">
        <f t="shared" si="3"/>
        <v>8694662.3</v>
      </c>
      <c r="H1821" s="4">
        <f t="shared" si="1"/>
        <v>0.9109683053</v>
      </c>
      <c r="I1821" s="4" t="str">
        <f t="shared" si="2"/>
        <v>B</v>
      </c>
    </row>
    <row r="1822">
      <c r="A1822" s="2">
        <v>1821.0</v>
      </c>
      <c r="B1822" s="2">
        <v>21287.0</v>
      </c>
      <c r="C1822" s="2" t="s">
        <v>2065</v>
      </c>
      <c r="D1822" s="2">
        <v>0.38</v>
      </c>
      <c r="E1822" s="2">
        <v>2054.0</v>
      </c>
      <c r="F1822" s="2">
        <v>930.0</v>
      </c>
      <c r="G1822" s="4">
        <f t="shared" si="3"/>
        <v>8695592.3</v>
      </c>
      <c r="H1822" s="4">
        <f t="shared" si="1"/>
        <v>0.9110657445</v>
      </c>
      <c r="I1822" s="4" t="str">
        <f t="shared" si="2"/>
        <v>B</v>
      </c>
    </row>
    <row r="1823">
      <c r="A1823" s="2">
        <v>1822.0</v>
      </c>
      <c r="B1823" s="2">
        <v>21394.0</v>
      </c>
      <c r="C1823" s="2" t="s">
        <v>2066</v>
      </c>
      <c r="D1823" s="2">
        <v>0.39</v>
      </c>
      <c r="E1823" s="2">
        <v>1994.0</v>
      </c>
      <c r="F1823" s="2">
        <v>928.8</v>
      </c>
      <c r="G1823" s="4">
        <f t="shared" si="3"/>
        <v>8696521.1</v>
      </c>
      <c r="H1823" s="4">
        <f t="shared" si="1"/>
        <v>0.9111630579</v>
      </c>
      <c r="I1823" s="4" t="str">
        <f t="shared" si="2"/>
        <v>B</v>
      </c>
    </row>
    <row r="1824">
      <c r="A1824" s="2">
        <v>1823.0</v>
      </c>
      <c r="B1824" s="2">
        <v>22587.0</v>
      </c>
      <c r="C1824" s="2" t="s">
        <v>2067</v>
      </c>
      <c r="D1824" s="2">
        <v>0.85</v>
      </c>
      <c r="E1824" s="2">
        <v>1062.0</v>
      </c>
      <c r="F1824" s="2">
        <v>925.27</v>
      </c>
      <c r="G1824" s="4">
        <f t="shared" si="3"/>
        <v>8697446.37</v>
      </c>
      <c r="H1824" s="4">
        <f t="shared" si="1"/>
        <v>0.9112600015</v>
      </c>
      <c r="I1824" s="4" t="str">
        <f t="shared" si="2"/>
        <v>B</v>
      </c>
    </row>
    <row r="1825">
      <c r="A1825" s="2">
        <v>1824.0</v>
      </c>
      <c r="B1825" s="2">
        <v>21547.0</v>
      </c>
      <c r="C1825" s="2" t="s">
        <v>2068</v>
      </c>
      <c r="D1825" s="2">
        <v>2.95</v>
      </c>
      <c r="E1825" s="2">
        <v>360.0</v>
      </c>
      <c r="F1825" s="2">
        <v>924.24</v>
      </c>
      <c r="G1825" s="4">
        <f t="shared" si="3"/>
        <v>8698370.61</v>
      </c>
      <c r="H1825" s="4">
        <f t="shared" si="1"/>
        <v>0.9113568371</v>
      </c>
      <c r="I1825" s="4" t="str">
        <f t="shared" si="2"/>
        <v>B</v>
      </c>
    </row>
    <row r="1826">
      <c r="A1826" s="2">
        <v>1825.0</v>
      </c>
      <c r="B1826" s="2" t="s">
        <v>2069</v>
      </c>
      <c r="C1826" s="2" t="s">
        <v>2070</v>
      </c>
      <c r="D1826" s="2">
        <v>4.95</v>
      </c>
      <c r="E1826" s="2">
        <v>183.0</v>
      </c>
      <c r="F1826" s="2">
        <v>922.67</v>
      </c>
      <c r="G1826" s="4">
        <f t="shared" si="3"/>
        <v>8699293.28</v>
      </c>
      <c r="H1826" s="4">
        <f t="shared" si="1"/>
        <v>0.9114535083</v>
      </c>
      <c r="I1826" s="4" t="str">
        <f t="shared" si="2"/>
        <v>B</v>
      </c>
    </row>
    <row r="1827">
      <c r="A1827" s="2">
        <v>1826.0</v>
      </c>
      <c r="B1827" s="2">
        <v>23525.0</v>
      </c>
      <c r="C1827" s="2" t="s">
        <v>2071</v>
      </c>
      <c r="D1827" s="2">
        <v>3.75</v>
      </c>
      <c r="E1827" s="2">
        <v>288.0</v>
      </c>
      <c r="F1827" s="2">
        <v>922.54</v>
      </c>
      <c r="G1827" s="4">
        <f t="shared" si="3"/>
        <v>8700215.82</v>
      </c>
      <c r="H1827" s="4">
        <f t="shared" si="1"/>
        <v>0.9115501659</v>
      </c>
      <c r="I1827" s="4" t="str">
        <f t="shared" si="2"/>
        <v>B</v>
      </c>
    </row>
    <row r="1828">
      <c r="A1828" s="2">
        <v>1827.0</v>
      </c>
      <c r="B1828" s="2">
        <v>21894.0</v>
      </c>
      <c r="C1828" s="2" t="s">
        <v>2072</v>
      </c>
      <c r="D1828" s="2">
        <v>1.25</v>
      </c>
      <c r="E1828" s="2">
        <v>664.0</v>
      </c>
      <c r="F1828" s="2">
        <v>922.44</v>
      </c>
      <c r="G1828" s="4">
        <f t="shared" si="3"/>
        <v>8701138.26</v>
      </c>
      <c r="H1828" s="4">
        <f t="shared" si="1"/>
        <v>0.9116468129</v>
      </c>
      <c r="I1828" s="4" t="str">
        <f t="shared" si="2"/>
        <v>B</v>
      </c>
    </row>
    <row r="1829">
      <c r="A1829" s="2">
        <v>1828.0</v>
      </c>
      <c r="B1829" s="2">
        <v>23378.0</v>
      </c>
      <c r="C1829" s="2" t="s">
        <v>2073</v>
      </c>
      <c r="D1829" s="2">
        <v>0.39</v>
      </c>
      <c r="E1829" s="2">
        <v>2002.0</v>
      </c>
      <c r="F1829" s="2">
        <v>921.21</v>
      </c>
      <c r="G1829" s="4">
        <f t="shared" si="3"/>
        <v>8702059.47</v>
      </c>
      <c r="H1829" s="4">
        <f t="shared" si="1"/>
        <v>0.9117433311</v>
      </c>
      <c r="I1829" s="4" t="str">
        <f t="shared" si="2"/>
        <v>B</v>
      </c>
    </row>
    <row r="1830">
      <c r="A1830" s="2">
        <v>1829.0</v>
      </c>
      <c r="B1830" s="2" t="s">
        <v>2074</v>
      </c>
      <c r="C1830" s="2" t="s">
        <v>2075</v>
      </c>
      <c r="D1830" s="2">
        <v>1.95</v>
      </c>
      <c r="E1830" s="2">
        <v>452.0</v>
      </c>
      <c r="F1830" s="2">
        <v>920.85</v>
      </c>
      <c r="G1830" s="4">
        <f t="shared" si="3"/>
        <v>8702980.32</v>
      </c>
      <c r="H1830" s="4">
        <f t="shared" si="1"/>
        <v>0.9118398116</v>
      </c>
      <c r="I1830" s="4" t="str">
        <f t="shared" si="2"/>
        <v>B</v>
      </c>
    </row>
    <row r="1831">
      <c r="A1831" s="2">
        <v>1830.0</v>
      </c>
      <c r="B1831" s="2" t="s">
        <v>2076</v>
      </c>
      <c r="C1831" s="2" t="s">
        <v>2077</v>
      </c>
      <c r="D1831" s="2">
        <v>0.42</v>
      </c>
      <c r="E1831" s="2">
        <v>2219.0</v>
      </c>
      <c r="F1831" s="2">
        <v>919.98</v>
      </c>
      <c r="G1831" s="4">
        <f t="shared" si="3"/>
        <v>8703900.3</v>
      </c>
      <c r="H1831" s="4">
        <f t="shared" si="1"/>
        <v>0.9119362009</v>
      </c>
      <c r="I1831" s="4" t="str">
        <f t="shared" si="2"/>
        <v>B</v>
      </c>
    </row>
    <row r="1832">
      <c r="A1832" s="2">
        <v>1831.0</v>
      </c>
      <c r="B1832" s="2">
        <v>22317.0</v>
      </c>
      <c r="C1832" s="2" t="s">
        <v>2078</v>
      </c>
      <c r="D1832" s="2">
        <v>2.95</v>
      </c>
      <c r="E1832" s="2">
        <v>295.0</v>
      </c>
      <c r="F1832" s="2">
        <v>918.25</v>
      </c>
      <c r="G1832" s="4">
        <f t="shared" si="3"/>
        <v>8704818.55</v>
      </c>
      <c r="H1832" s="4">
        <f t="shared" si="1"/>
        <v>0.912032409</v>
      </c>
      <c r="I1832" s="4" t="str">
        <f t="shared" si="2"/>
        <v>B</v>
      </c>
    </row>
    <row r="1833">
      <c r="A1833" s="2">
        <v>1832.0</v>
      </c>
      <c r="B1833" s="2">
        <v>20772.0</v>
      </c>
      <c r="C1833" s="2" t="s">
        <v>2079</v>
      </c>
      <c r="D1833" s="2">
        <v>2.55</v>
      </c>
      <c r="E1833" s="2">
        <v>482.0</v>
      </c>
      <c r="F1833" s="2">
        <v>916.71</v>
      </c>
      <c r="G1833" s="4">
        <f t="shared" si="3"/>
        <v>8705735.26</v>
      </c>
      <c r="H1833" s="4">
        <f t="shared" si="1"/>
        <v>0.9121284557</v>
      </c>
      <c r="I1833" s="4" t="str">
        <f t="shared" si="2"/>
        <v>B</v>
      </c>
    </row>
    <row r="1834">
      <c r="A1834" s="2">
        <v>1833.0</v>
      </c>
      <c r="B1834" s="2">
        <v>21391.0</v>
      </c>
      <c r="C1834" s="2" t="s">
        <v>2080</v>
      </c>
      <c r="D1834" s="2">
        <v>2.1</v>
      </c>
      <c r="E1834" s="2">
        <v>716.0</v>
      </c>
      <c r="F1834" s="2">
        <v>916.67</v>
      </c>
      <c r="G1834" s="4">
        <f t="shared" si="3"/>
        <v>8706651.93</v>
      </c>
      <c r="H1834" s="4">
        <f t="shared" si="1"/>
        <v>0.9122244982</v>
      </c>
      <c r="I1834" s="4" t="str">
        <f t="shared" si="2"/>
        <v>B</v>
      </c>
    </row>
    <row r="1835">
      <c r="A1835" s="2">
        <v>1834.0</v>
      </c>
      <c r="B1835" s="2">
        <v>21677.0</v>
      </c>
      <c r="C1835" s="2" t="s">
        <v>2081</v>
      </c>
      <c r="D1835" s="2">
        <v>0.85</v>
      </c>
      <c r="E1835" s="2">
        <v>1044.0</v>
      </c>
      <c r="F1835" s="2">
        <v>914.39</v>
      </c>
      <c r="G1835" s="4">
        <f t="shared" si="3"/>
        <v>8707566.32</v>
      </c>
      <c r="H1835" s="4">
        <f t="shared" si="1"/>
        <v>0.9123203019</v>
      </c>
      <c r="I1835" s="4" t="str">
        <f t="shared" si="2"/>
        <v>B</v>
      </c>
    </row>
    <row r="1836">
      <c r="A1836" s="2">
        <v>1835.0</v>
      </c>
      <c r="B1836" s="2">
        <v>22686.0</v>
      </c>
      <c r="C1836" s="2" t="s">
        <v>2082</v>
      </c>
      <c r="D1836" s="2">
        <v>1.25</v>
      </c>
      <c r="E1836" s="2">
        <v>691.0</v>
      </c>
      <c r="F1836" s="2">
        <v>913.7</v>
      </c>
      <c r="G1836" s="4">
        <f t="shared" si="3"/>
        <v>8708480.02</v>
      </c>
      <c r="H1836" s="4">
        <f t="shared" si="1"/>
        <v>0.9124160332</v>
      </c>
      <c r="I1836" s="4" t="str">
        <f t="shared" si="2"/>
        <v>B</v>
      </c>
    </row>
    <row r="1837">
      <c r="A1837" s="2">
        <v>1836.0</v>
      </c>
      <c r="B1837" s="2">
        <v>21618.0</v>
      </c>
      <c r="C1837" s="2" t="s">
        <v>2083</v>
      </c>
      <c r="D1837" s="2">
        <v>3.29</v>
      </c>
      <c r="E1837" s="2">
        <v>350.0</v>
      </c>
      <c r="F1837" s="2">
        <v>913.12</v>
      </c>
      <c r="G1837" s="4">
        <f t="shared" si="3"/>
        <v>8709393.14</v>
      </c>
      <c r="H1837" s="4">
        <f t="shared" si="1"/>
        <v>0.9125117038</v>
      </c>
      <c r="I1837" s="4" t="str">
        <f t="shared" si="2"/>
        <v>B</v>
      </c>
    </row>
    <row r="1838">
      <c r="A1838" s="2">
        <v>1837.0</v>
      </c>
      <c r="B1838" s="2">
        <v>85173.0</v>
      </c>
      <c r="C1838" s="2" t="s">
        <v>2084</v>
      </c>
      <c r="D1838" s="2">
        <v>2.55</v>
      </c>
      <c r="E1838" s="2">
        <v>509.0</v>
      </c>
      <c r="F1838" s="2">
        <v>913.04</v>
      </c>
      <c r="G1838" s="4">
        <f t="shared" si="3"/>
        <v>8710306.18</v>
      </c>
      <c r="H1838" s="4">
        <f t="shared" si="1"/>
        <v>0.912607366</v>
      </c>
      <c r="I1838" s="4" t="str">
        <f t="shared" si="2"/>
        <v>B</v>
      </c>
    </row>
    <row r="1839">
      <c r="A1839" s="2">
        <v>1838.0</v>
      </c>
      <c r="B1839" s="2" t="s">
        <v>2085</v>
      </c>
      <c r="C1839" s="2" t="s">
        <v>2086</v>
      </c>
      <c r="D1839" s="2">
        <v>2.1</v>
      </c>
      <c r="E1839" s="2">
        <v>480.0</v>
      </c>
      <c r="F1839" s="2">
        <v>912.24</v>
      </c>
      <c r="G1839" s="4">
        <f t="shared" si="3"/>
        <v>8711218.42</v>
      </c>
      <c r="H1839" s="4">
        <f t="shared" si="1"/>
        <v>0.9127029444</v>
      </c>
      <c r="I1839" s="4" t="str">
        <f t="shared" si="2"/>
        <v>B</v>
      </c>
    </row>
    <row r="1840">
      <c r="A1840" s="2">
        <v>1839.0</v>
      </c>
      <c r="B1840" s="2">
        <v>22586.0</v>
      </c>
      <c r="C1840" s="2" t="s">
        <v>2087</v>
      </c>
      <c r="D1840" s="2">
        <v>0.85</v>
      </c>
      <c r="E1840" s="2">
        <v>1045.0</v>
      </c>
      <c r="F1840" s="2">
        <v>908.84</v>
      </c>
      <c r="G1840" s="4">
        <f t="shared" si="3"/>
        <v>8712127.26</v>
      </c>
      <c r="H1840" s="4">
        <f t="shared" si="1"/>
        <v>0.9127981665</v>
      </c>
      <c r="I1840" s="4" t="str">
        <f t="shared" si="2"/>
        <v>B</v>
      </c>
    </row>
    <row r="1841">
      <c r="A1841" s="2">
        <v>1840.0</v>
      </c>
      <c r="B1841" s="2">
        <v>23155.0</v>
      </c>
      <c r="C1841" s="2" t="s">
        <v>2088</v>
      </c>
      <c r="D1841" s="2">
        <v>0.83</v>
      </c>
      <c r="E1841" s="2">
        <v>1050.0</v>
      </c>
      <c r="F1841" s="2">
        <v>907.86</v>
      </c>
      <c r="G1841" s="4">
        <f t="shared" si="3"/>
        <v>8713035.12</v>
      </c>
      <c r="H1841" s="4">
        <f t="shared" si="1"/>
        <v>0.912893286</v>
      </c>
      <c r="I1841" s="4" t="str">
        <f t="shared" si="2"/>
        <v>B</v>
      </c>
    </row>
    <row r="1842">
      <c r="A1842" s="2">
        <v>1841.0</v>
      </c>
      <c r="B1842" s="2">
        <v>22535.0</v>
      </c>
      <c r="C1842" s="2" t="s">
        <v>2089</v>
      </c>
      <c r="D1842" s="2">
        <v>0.42</v>
      </c>
      <c r="E1842" s="2">
        <v>2171.0</v>
      </c>
      <c r="F1842" s="2">
        <v>907.72</v>
      </c>
      <c r="G1842" s="4">
        <f t="shared" si="3"/>
        <v>8713942.84</v>
      </c>
      <c r="H1842" s="4">
        <f t="shared" si="1"/>
        <v>0.9129883908</v>
      </c>
      <c r="I1842" s="4" t="str">
        <f t="shared" si="2"/>
        <v>B</v>
      </c>
    </row>
    <row r="1843">
      <c r="A1843" s="2">
        <v>1842.0</v>
      </c>
      <c r="B1843" s="2">
        <v>21384.0</v>
      </c>
      <c r="C1843" s="2" t="s">
        <v>2090</v>
      </c>
      <c r="D1843" s="2">
        <v>0.85</v>
      </c>
      <c r="E1843" s="2">
        <v>962.0</v>
      </c>
      <c r="F1843" s="2">
        <v>907.64</v>
      </c>
      <c r="G1843" s="4">
        <f t="shared" si="3"/>
        <v>8714850.48</v>
      </c>
      <c r="H1843" s="4">
        <f t="shared" si="1"/>
        <v>0.9130834872</v>
      </c>
      <c r="I1843" s="4" t="str">
        <f t="shared" si="2"/>
        <v>B</v>
      </c>
    </row>
    <row r="1844">
      <c r="A1844" s="2">
        <v>1843.0</v>
      </c>
      <c r="B1844" s="2">
        <v>21529.0</v>
      </c>
      <c r="C1844" s="2" t="s">
        <v>2091</v>
      </c>
      <c r="D1844" s="2">
        <v>3.45</v>
      </c>
      <c r="E1844" s="2">
        <v>255.0</v>
      </c>
      <c r="F1844" s="2">
        <v>907.3</v>
      </c>
      <c r="G1844" s="4">
        <f t="shared" si="3"/>
        <v>8715757.78</v>
      </c>
      <c r="H1844" s="4">
        <f t="shared" si="1"/>
        <v>0.913178548</v>
      </c>
      <c r="I1844" s="4" t="str">
        <f t="shared" si="2"/>
        <v>B</v>
      </c>
    </row>
    <row r="1845">
      <c r="A1845" s="2">
        <v>1844.0</v>
      </c>
      <c r="B1845" s="2">
        <v>23148.0</v>
      </c>
      <c r="C1845" s="2" t="s">
        <v>2092</v>
      </c>
      <c r="D1845" s="2">
        <v>0.83</v>
      </c>
      <c r="E1845" s="2">
        <v>1068.0</v>
      </c>
      <c r="F1845" s="2">
        <v>906.91</v>
      </c>
      <c r="G1845" s="4">
        <f t="shared" si="3"/>
        <v>8716664.69</v>
      </c>
      <c r="H1845" s="4">
        <f t="shared" si="1"/>
        <v>0.913273568</v>
      </c>
      <c r="I1845" s="4" t="str">
        <f t="shared" si="2"/>
        <v>B</v>
      </c>
    </row>
    <row r="1846">
      <c r="A1846" s="2">
        <v>1845.0</v>
      </c>
      <c r="B1846" s="2" t="s">
        <v>2093</v>
      </c>
      <c r="C1846" s="2" t="s">
        <v>2094</v>
      </c>
      <c r="D1846" s="2">
        <v>12.75</v>
      </c>
      <c r="E1846" s="2">
        <v>70.0</v>
      </c>
      <c r="F1846" s="2">
        <v>906.21</v>
      </c>
      <c r="G1846" s="4">
        <f t="shared" si="3"/>
        <v>8717570.9</v>
      </c>
      <c r="H1846" s="4">
        <f t="shared" si="1"/>
        <v>0.9133685145</v>
      </c>
      <c r="I1846" s="4" t="str">
        <f t="shared" si="2"/>
        <v>B</v>
      </c>
    </row>
    <row r="1847">
      <c r="A1847" s="2">
        <v>1846.0</v>
      </c>
      <c r="B1847" s="2" t="s">
        <v>2095</v>
      </c>
      <c r="C1847" s="2" t="s">
        <v>2096</v>
      </c>
      <c r="D1847" s="2">
        <v>4.95</v>
      </c>
      <c r="E1847" s="2">
        <v>160.0</v>
      </c>
      <c r="F1847" s="2">
        <v>905.65</v>
      </c>
      <c r="G1847" s="4">
        <f t="shared" si="3"/>
        <v>8718476.55</v>
      </c>
      <c r="H1847" s="4">
        <f t="shared" si="1"/>
        <v>0.9134634025</v>
      </c>
      <c r="I1847" s="4" t="str">
        <f t="shared" si="2"/>
        <v>B</v>
      </c>
    </row>
    <row r="1848">
      <c r="A1848" s="2">
        <v>1847.0</v>
      </c>
      <c r="B1848" s="2">
        <v>23228.0</v>
      </c>
      <c r="C1848" s="2" t="s">
        <v>2097</v>
      </c>
      <c r="D1848" s="2">
        <v>1.25</v>
      </c>
      <c r="E1848" s="2">
        <v>674.0</v>
      </c>
      <c r="F1848" s="2">
        <v>905.12</v>
      </c>
      <c r="G1848" s="4">
        <f t="shared" si="3"/>
        <v>8719381.67</v>
      </c>
      <c r="H1848" s="4">
        <f t="shared" si="1"/>
        <v>0.9135582349</v>
      </c>
      <c r="I1848" s="4" t="str">
        <f t="shared" si="2"/>
        <v>B</v>
      </c>
    </row>
    <row r="1849">
      <c r="A1849" s="2">
        <v>1848.0</v>
      </c>
      <c r="B1849" s="2">
        <v>23160.0</v>
      </c>
      <c r="C1849" s="2" t="s">
        <v>2098</v>
      </c>
      <c r="D1849" s="2">
        <v>1.25</v>
      </c>
      <c r="E1849" s="2">
        <v>731.0</v>
      </c>
      <c r="F1849" s="2">
        <v>904.74</v>
      </c>
      <c r="G1849" s="4">
        <f t="shared" si="3"/>
        <v>8720286.41</v>
      </c>
      <c r="H1849" s="4">
        <f t="shared" si="1"/>
        <v>0.9136530274</v>
      </c>
      <c r="I1849" s="4" t="str">
        <f t="shared" si="2"/>
        <v>B</v>
      </c>
    </row>
    <row r="1850">
      <c r="A1850" s="2">
        <v>1849.0</v>
      </c>
      <c r="B1850" s="2">
        <v>21096.0</v>
      </c>
      <c r="C1850" s="2" t="s">
        <v>2099</v>
      </c>
      <c r="D1850" s="2">
        <v>0.83</v>
      </c>
      <c r="E1850" s="2">
        <v>4458.0</v>
      </c>
      <c r="F1850" s="2">
        <v>902.46</v>
      </c>
      <c r="G1850" s="4">
        <f t="shared" si="3"/>
        <v>8721188.87</v>
      </c>
      <c r="H1850" s="4">
        <f t="shared" si="1"/>
        <v>0.9137475811</v>
      </c>
      <c r="I1850" s="4" t="str">
        <f t="shared" si="2"/>
        <v>B</v>
      </c>
    </row>
    <row r="1851">
      <c r="A1851" s="2">
        <v>1850.0</v>
      </c>
      <c r="B1851" s="2">
        <v>21548.0</v>
      </c>
      <c r="C1851" s="2" t="s">
        <v>2100</v>
      </c>
      <c r="D1851" s="2">
        <v>2.95</v>
      </c>
      <c r="E1851" s="2">
        <v>346.0</v>
      </c>
      <c r="F1851" s="2">
        <v>901.34</v>
      </c>
      <c r="G1851" s="4">
        <f t="shared" si="3"/>
        <v>8722090.21</v>
      </c>
      <c r="H1851" s="4">
        <f t="shared" si="1"/>
        <v>0.9138420175</v>
      </c>
      <c r="I1851" s="4" t="str">
        <f t="shared" si="2"/>
        <v>B</v>
      </c>
    </row>
    <row r="1852">
      <c r="A1852" s="2">
        <v>1851.0</v>
      </c>
      <c r="B1852" s="2">
        <v>22932.0</v>
      </c>
      <c r="C1852" s="2" t="s">
        <v>2101</v>
      </c>
      <c r="D1852" s="2">
        <v>2.55</v>
      </c>
      <c r="E1852" s="2">
        <v>394.0</v>
      </c>
      <c r="F1852" s="2">
        <v>899.64</v>
      </c>
      <c r="G1852" s="4">
        <f t="shared" si="3"/>
        <v>8722989.85</v>
      </c>
      <c r="H1852" s="4">
        <f t="shared" si="1"/>
        <v>0.9139362757</v>
      </c>
      <c r="I1852" s="4" t="str">
        <f t="shared" si="2"/>
        <v>B</v>
      </c>
    </row>
    <row r="1853">
      <c r="A1853" s="2">
        <v>1852.0</v>
      </c>
      <c r="B1853" s="2">
        <v>22324.0</v>
      </c>
      <c r="C1853" s="2" t="s">
        <v>2102</v>
      </c>
      <c r="D1853" s="2">
        <v>4.13</v>
      </c>
      <c r="E1853" s="2">
        <v>332.0</v>
      </c>
      <c r="F1853" s="2">
        <v>898.53</v>
      </c>
      <c r="G1853" s="4">
        <f t="shared" si="3"/>
        <v>8723888.38</v>
      </c>
      <c r="H1853" s="4">
        <f t="shared" si="1"/>
        <v>0.9140304177</v>
      </c>
      <c r="I1853" s="4" t="str">
        <f t="shared" si="2"/>
        <v>B</v>
      </c>
    </row>
    <row r="1854">
      <c r="A1854" s="2">
        <v>1853.0</v>
      </c>
      <c r="B1854" s="2">
        <v>84748.0</v>
      </c>
      <c r="C1854" s="2" t="s">
        <v>2103</v>
      </c>
      <c r="D1854" s="2">
        <v>2.51</v>
      </c>
      <c r="E1854" s="2">
        <v>587.0</v>
      </c>
      <c r="F1854" s="2">
        <v>898.06</v>
      </c>
      <c r="G1854" s="4">
        <f t="shared" si="3"/>
        <v>8724786.44</v>
      </c>
      <c r="H1854" s="4">
        <f t="shared" si="1"/>
        <v>0.9141245104</v>
      </c>
      <c r="I1854" s="4" t="str">
        <f t="shared" si="2"/>
        <v>B</v>
      </c>
    </row>
    <row r="1855">
      <c r="A1855" s="2">
        <v>1854.0</v>
      </c>
      <c r="B1855" s="2">
        <v>23317.0</v>
      </c>
      <c r="C1855" s="2" t="s">
        <v>2104</v>
      </c>
      <c r="D1855" s="2">
        <v>9.95</v>
      </c>
      <c r="E1855" s="2">
        <v>87.0</v>
      </c>
      <c r="F1855" s="2">
        <v>893.7</v>
      </c>
      <c r="G1855" s="4">
        <f t="shared" si="3"/>
        <v>8725680.14</v>
      </c>
      <c r="H1855" s="4">
        <f t="shared" si="1"/>
        <v>0.9142181462</v>
      </c>
      <c r="I1855" s="4" t="str">
        <f t="shared" si="2"/>
        <v>B</v>
      </c>
    </row>
    <row r="1856">
      <c r="A1856" s="2">
        <v>1855.0</v>
      </c>
      <c r="B1856" s="2">
        <v>22680.0</v>
      </c>
      <c r="C1856" s="2" t="s">
        <v>2105</v>
      </c>
      <c r="D1856" s="2">
        <v>1.25</v>
      </c>
      <c r="E1856" s="2">
        <v>664.0</v>
      </c>
      <c r="F1856" s="2">
        <v>893.35</v>
      </c>
      <c r="G1856" s="4">
        <f t="shared" si="3"/>
        <v>8726573.49</v>
      </c>
      <c r="H1856" s="4">
        <f t="shared" si="1"/>
        <v>0.9143117454</v>
      </c>
      <c r="I1856" s="4" t="str">
        <f t="shared" si="2"/>
        <v>B</v>
      </c>
    </row>
    <row r="1857">
      <c r="A1857" s="2">
        <v>1856.0</v>
      </c>
      <c r="B1857" s="2">
        <v>21761.0</v>
      </c>
      <c r="C1857" s="2" t="s">
        <v>2106</v>
      </c>
      <c r="D1857" s="2">
        <v>29.95</v>
      </c>
      <c r="E1857" s="2">
        <v>32.0</v>
      </c>
      <c r="F1857" s="2">
        <v>892.4</v>
      </c>
      <c r="G1857" s="4">
        <f t="shared" si="3"/>
        <v>8727465.89</v>
      </c>
      <c r="H1857" s="4">
        <f t="shared" si="1"/>
        <v>0.9144052451</v>
      </c>
      <c r="I1857" s="4" t="str">
        <f t="shared" si="2"/>
        <v>B</v>
      </c>
    </row>
    <row r="1858">
      <c r="A1858" s="2">
        <v>1857.0</v>
      </c>
      <c r="B1858" s="2">
        <v>22307.0</v>
      </c>
      <c r="C1858" s="2" t="s">
        <v>2107</v>
      </c>
      <c r="D1858" s="2">
        <v>1.8</v>
      </c>
      <c r="E1858" s="2">
        <v>588.0</v>
      </c>
      <c r="F1858" s="2">
        <v>889.72</v>
      </c>
      <c r="G1858" s="4">
        <f t="shared" si="3"/>
        <v>8728355.61</v>
      </c>
      <c r="H1858" s="4">
        <f t="shared" si="1"/>
        <v>0.914498464</v>
      </c>
      <c r="I1858" s="4" t="str">
        <f t="shared" si="2"/>
        <v>B</v>
      </c>
    </row>
    <row r="1859">
      <c r="A1859" s="2">
        <v>1858.0</v>
      </c>
      <c r="B1859" s="2">
        <v>21357.0</v>
      </c>
      <c r="C1859" s="2" t="s">
        <v>2108</v>
      </c>
      <c r="D1859" s="2">
        <v>1.25</v>
      </c>
      <c r="E1859" s="2">
        <v>674.0</v>
      </c>
      <c r="F1859" s="2">
        <v>888.26</v>
      </c>
      <c r="G1859" s="4">
        <f t="shared" si="3"/>
        <v>8729243.87</v>
      </c>
      <c r="H1859" s="4">
        <f t="shared" si="1"/>
        <v>0.9145915299</v>
      </c>
      <c r="I1859" s="4" t="str">
        <f t="shared" si="2"/>
        <v>B</v>
      </c>
    </row>
    <row r="1860">
      <c r="A1860" s="2">
        <v>1859.0</v>
      </c>
      <c r="B1860" s="2" t="s">
        <v>2109</v>
      </c>
      <c r="C1860" s="2" t="s">
        <v>2110</v>
      </c>
      <c r="D1860" s="2">
        <v>2.95</v>
      </c>
      <c r="E1860" s="2">
        <v>312.0</v>
      </c>
      <c r="F1860" s="2">
        <v>885.62</v>
      </c>
      <c r="G1860" s="4">
        <f t="shared" si="3"/>
        <v>8730129.49</v>
      </c>
      <c r="H1860" s="4">
        <f t="shared" si="1"/>
        <v>0.9146843192</v>
      </c>
      <c r="I1860" s="4" t="str">
        <f t="shared" si="2"/>
        <v>B</v>
      </c>
    </row>
    <row r="1861">
      <c r="A1861" s="2">
        <v>1860.0</v>
      </c>
      <c r="B1861" s="2">
        <v>37343.0</v>
      </c>
      <c r="C1861" s="2" t="s">
        <v>2111</v>
      </c>
      <c r="D1861" s="2">
        <v>1.65</v>
      </c>
      <c r="E1861" s="2">
        <v>558.0</v>
      </c>
      <c r="F1861" s="2">
        <v>884.47</v>
      </c>
      <c r="G1861" s="4">
        <f t="shared" si="3"/>
        <v>8731013.96</v>
      </c>
      <c r="H1861" s="4">
        <f t="shared" si="1"/>
        <v>0.9147769881</v>
      </c>
      <c r="I1861" s="4" t="str">
        <f t="shared" si="2"/>
        <v>B</v>
      </c>
    </row>
    <row r="1862">
      <c r="A1862" s="2">
        <v>1861.0</v>
      </c>
      <c r="B1862" s="2">
        <v>21161.0</v>
      </c>
      <c r="C1862" s="2" t="s">
        <v>2112</v>
      </c>
      <c r="D1862" s="2">
        <v>1.45</v>
      </c>
      <c r="E1862" s="2">
        <v>1138.0</v>
      </c>
      <c r="F1862" s="2">
        <v>881.37</v>
      </c>
      <c r="G1862" s="4">
        <f t="shared" si="3"/>
        <v>8731895.33</v>
      </c>
      <c r="H1862" s="4">
        <f t="shared" si="1"/>
        <v>0.9148693321</v>
      </c>
      <c r="I1862" s="4" t="str">
        <f t="shared" si="2"/>
        <v>B</v>
      </c>
    </row>
    <row r="1863">
      <c r="A1863" s="2">
        <v>1862.0</v>
      </c>
      <c r="B1863" s="2">
        <v>22546.0</v>
      </c>
      <c r="C1863" s="2" t="s">
        <v>2113</v>
      </c>
      <c r="D1863" s="2">
        <v>0.42</v>
      </c>
      <c r="E1863" s="2">
        <v>2188.0</v>
      </c>
      <c r="F1863" s="2">
        <v>880.82</v>
      </c>
      <c r="G1863" s="4">
        <f t="shared" si="3"/>
        <v>8732776.15</v>
      </c>
      <c r="H1863" s="4">
        <f t="shared" si="1"/>
        <v>0.9149616185</v>
      </c>
      <c r="I1863" s="4" t="str">
        <f t="shared" si="2"/>
        <v>B</v>
      </c>
    </row>
    <row r="1864">
      <c r="A1864" s="2">
        <v>1863.0</v>
      </c>
      <c r="B1864" s="2" t="s">
        <v>2114</v>
      </c>
      <c r="C1864" s="2" t="s">
        <v>217</v>
      </c>
      <c r="D1864" s="2">
        <v>8.29</v>
      </c>
      <c r="E1864" s="2">
        <v>106.0</v>
      </c>
      <c r="F1864" s="2">
        <v>880.63</v>
      </c>
      <c r="G1864" s="4">
        <f t="shared" si="3"/>
        <v>8733656.78</v>
      </c>
      <c r="H1864" s="4">
        <f t="shared" si="1"/>
        <v>0.915053885</v>
      </c>
      <c r="I1864" s="4" t="str">
        <f t="shared" si="2"/>
        <v>B</v>
      </c>
    </row>
    <row r="1865">
      <c r="A1865" s="2">
        <v>1864.0</v>
      </c>
      <c r="B1865" s="2">
        <v>21158.0</v>
      </c>
      <c r="C1865" s="2" t="s">
        <v>2115</v>
      </c>
      <c r="D1865" s="2">
        <v>1.45</v>
      </c>
      <c r="E1865" s="2">
        <v>1249.0</v>
      </c>
      <c r="F1865" s="2">
        <v>880.4</v>
      </c>
      <c r="G1865" s="4">
        <f t="shared" si="3"/>
        <v>8734537.18</v>
      </c>
      <c r="H1865" s="4">
        <f t="shared" si="1"/>
        <v>0.9151461274</v>
      </c>
      <c r="I1865" s="4" t="str">
        <f t="shared" si="2"/>
        <v>B</v>
      </c>
    </row>
    <row r="1866">
      <c r="A1866" s="2">
        <v>1865.0</v>
      </c>
      <c r="B1866" s="2">
        <v>23096.0</v>
      </c>
      <c r="C1866" s="2" t="s">
        <v>2116</v>
      </c>
      <c r="D1866" s="2">
        <v>1.65</v>
      </c>
      <c r="E1866" s="2">
        <v>524.0</v>
      </c>
      <c r="F1866" s="2">
        <v>879.89</v>
      </c>
      <c r="G1866" s="4">
        <f t="shared" si="3"/>
        <v>8735417.07</v>
      </c>
      <c r="H1866" s="4">
        <f t="shared" si="1"/>
        <v>0.9152383163</v>
      </c>
      <c r="I1866" s="4" t="str">
        <f t="shared" si="2"/>
        <v>B</v>
      </c>
    </row>
    <row r="1867">
      <c r="A1867" s="2">
        <v>1866.0</v>
      </c>
      <c r="B1867" s="2" t="s">
        <v>2117</v>
      </c>
      <c r="C1867" s="2" t="s">
        <v>2118</v>
      </c>
      <c r="D1867" s="2">
        <v>2.55</v>
      </c>
      <c r="E1867" s="2">
        <v>674.0</v>
      </c>
      <c r="F1867" s="2">
        <v>879.46</v>
      </c>
      <c r="G1867" s="4">
        <f t="shared" si="3"/>
        <v>8736296.53</v>
      </c>
      <c r="H1867" s="4">
        <f t="shared" si="1"/>
        <v>0.9153304603</v>
      </c>
      <c r="I1867" s="4" t="str">
        <f t="shared" si="2"/>
        <v>B</v>
      </c>
    </row>
    <row r="1868">
      <c r="A1868" s="2">
        <v>1867.0</v>
      </c>
      <c r="B1868" s="2">
        <v>22533.0</v>
      </c>
      <c r="C1868" s="2" t="s">
        <v>2119</v>
      </c>
      <c r="D1868" s="2">
        <v>0.42</v>
      </c>
      <c r="E1868" s="2">
        <v>2228.0</v>
      </c>
      <c r="F1868" s="2">
        <v>878.66</v>
      </c>
      <c r="G1868" s="4">
        <f t="shared" si="3"/>
        <v>8737175.19</v>
      </c>
      <c r="H1868" s="4">
        <f t="shared" si="1"/>
        <v>0.9154225204</v>
      </c>
      <c r="I1868" s="4" t="str">
        <f t="shared" si="2"/>
        <v>B</v>
      </c>
    </row>
    <row r="1869">
      <c r="A1869" s="2">
        <v>1868.0</v>
      </c>
      <c r="B1869" s="2">
        <v>22770.0</v>
      </c>
      <c r="C1869" s="2" t="s">
        <v>2120</v>
      </c>
      <c r="D1869" s="2">
        <v>14.95</v>
      </c>
      <c r="E1869" s="2">
        <v>54.0</v>
      </c>
      <c r="F1869" s="2">
        <v>877.38</v>
      </c>
      <c r="G1869" s="4">
        <f t="shared" si="3"/>
        <v>8738052.57</v>
      </c>
      <c r="H1869" s="4">
        <f t="shared" si="1"/>
        <v>0.9155144463</v>
      </c>
      <c r="I1869" s="4" t="str">
        <f t="shared" si="2"/>
        <v>B</v>
      </c>
    </row>
    <row r="1870">
      <c r="A1870" s="2">
        <v>1869.0</v>
      </c>
      <c r="B1870" s="2">
        <v>23399.0</v>
      </c>
      <c r="C1870" s="2" t="s">
        <v>2121</v>
      </c>
      <c r="D1870" s="2">
        <v>0.85</v>
      </c>
      <c r="E1870" s="2">
        <v>961.0</v>
      </c>
      <c r="F1870" s="2">
        <v>876.18</v>
      </c>
      <c r="G1870" s="4">
        <f t="shared" si="3"/>
        <v>8738928.75</v>
      </c>
      <c r="H1870" s="4">
        <f t="shared" si="1"/>
        <v>0.9156062466</v>
      </c>
      <c r="I1870" s="4" t="str">
        <f t="shared" si="2"/>
        <v>B</v>
      </c>
    </row>
    <row r="1871">
      <c r="A1871" s="2">
        <v>1870.0</v>
      </c>
      <c r="B1871" s="2">
        <v>20729.0</v>
      </c>
      <c r="C1871" s="2" t="s">
        <v>2122</v>
      </c>
      <c r="D1871" s="2">
        <v>1.25</v>
      </c>
      <c r="E1871" s="2">
        <v>2620.0</v>
      </c>
      <c r="F1871" s="2">
        <v>875.31</v>
      </c>
      <c r="G1871" s="4">
        <f t="shared" si="3"/>
        <v>8739804.06</v>
      </c>
      <c r="H1871" s="4">
        <f t="shared" si="1"/>
        <v>0.9156979557</v>
      </c>
      <c r="I1871" s="4" t="str">
        <f t="shared" si="2"/>
        <v>B</v>
      </c>
    </row>
    <row r="1872">
      <c r="A1872" s="2">
        <v>1871.0</v>
      </c>
      <c r="B1872" s="2">
        <v>21000.0</v>
      </c>
      <c r="C1872" s="2" t="s">
        <v>2123</v>
      </c>
      <c r="D1872" s="2">
        <v>3.36</v>
      </c>
      <c r="E1872" s="2">
        <v>346.0</v>
      </c>
      <c r="F1872" s="2">
        <v>874.62</v>
      </c>
      <c r="G1872" s="4">
        <f t="shared" si="3"/>
        <v>8740678.68</v>
      </c>
      <c r="H1872" s="4">
        <f t="shared" si="1"/>
        <v>0.9157895925</v>
      </c>
      <c r="I1872" s="4" t="str">
        <f t="shared" si="2"/>
        <v>B</v>
      </c>
    </row>
    <row r="1873">
      <c r="A1873" s="2">
        <v>1872.0</v>
      </c>
      <c r="B1873" s="2" t="s">
        <v>2124</v>
      </c>
      <c r="C1873" s="2" t="s">
        <v>2125</v>
      </c>
      <c r="D1873" s="2">
        <v>0.65</v>
      </c>
      <c r="E1873" s="2">
        <v>1344.0</v>
      </c>
      <c r="F1873" s="2">
        <v>874.2</v>
      </c>
      <c r="G1873" s="4">
        <f t="shared" si="3"/>
        <v>8741552.88</v>
      </c>
      <c r="H1873" s="4">
        <f t="shared" si="1"/>
        <v>0.9158811853</v>
      </c>
      <c r="I1873" s="4" t="str">
        <f t="shared" si="2"/>
        <v>B</v>
      </c>
    </row>
    <row r="1874">
      <c r="A1874" s="2">
        <v>1873.0</v>
      </c>
      <c r="B1874" s="2">
        <v>22422.0</v>
      </c>
      <c r="C1874" s="2" t="s">
        <v>2126</v>
      </c>
      <c r="D1874" s="2">
        <v>1.25</v>
      </c>
      <c r="E1874" s="2">
        <v>1360.0</v>
      </c>
      <c r="F1874" s="2">
        <v>873.32</v>
      </c>
      <c r="G1874" s="4">
        <f t="shared" si="3"/>
        <v>8742426.2</v>
      </c>
      <c r="H1874" s="4">
        <f t="shared" si="1"/>
        <v>0.9159726859</v>
      </c>
      <c r="I1874" s="4" t="str">
        <f t="shared" si="2"/>
        <v>B</v>
      </c>
    </row>
    <row r="1875">
      <c r="A1875" s="2">
        <v>1874.0</v>
      </c>
      <c r="B1875" s="2">
        <v>21780.0</v>
      </c>
      <c r="C1875" s="2" t="s">
        <v>2127</v>
      </c>
      <c r="D1875" s="2">
        <v>11.14</v>
      </c>
      <c r="E1875" s="2">
        <v>102.0</v>
      </c>
      <c r="F1875" s="2">
        <v>872.92</v>
      </c>
      <c r="G1875" s="4">
        <f t="shared" si="3"/>
        <v>8743299.12</v>
      </c>
      <c r="H1875" s="4">
        <f t="shared" si="1"/>
        <v>0.9160641446</v>
      </c>
      <c r="I1875" s="4" t="str">
        <f t="shared" si="2"/>
        <v>B</v>
      </c>
    </row>
    <row r="1876">
      <c r="A1876" s="2">
        <v>1875.0</v>
      </c>
      <c r="B1876" s="2">
        <v>23101.0</v>
      </c>
      <c r="C1876" s="2" t="s">
        <v>2128</v>
      </c>
      <c r="D1876" s="2">
        <v>0.83</v>
      </c>
      <c r="E1876" s="2">
        <v>1018.0</v>
      </c>
      <c r="F1876" s="2">
        <v>872.3</v>
      </c>
      <c r="G1876" s="4">
        <f t="shared" si="3"/>
        <v>8744171.42</v>
      </c>
      <c r="H1876" s="4">
        <f t="shared" si="1"/>
        <v>0.9161555383</v>
      </c>
      <c r="I1876" s="4" t="str">
        <f t="shared" si="2"/>
        <v>B</v>
      </c>
    </row>
    <row r="1877">
      <c r="A1877" s="2">
        <v>1876.0</v>
      </c>
      <c r="B1877" s="2">
        <v>21662.0</v>
      </c>
      <c r="C1877" s="2" t="s">
        <v>2129</v>
      </c>
      <c r="D1877" s="2">
        <v>5.95</v>
      </c>
      <c r="E1877" s="2">
        <v>135.0</v>
      </c>
      <c r="F1877" s="2">
        <v>870.5</v>
      </c>
      <c r="G1877" s="4">
        <f t="shared" si="3"/>
        <v>8745041.92</v>
      </c>
      <c r="H1877" s="4">
        <f t="shared" si="1"/>
        <v>0.9162467435</v>
      </c>
      <c r="I1877" s="4" t="str">
        <f t="shared" si="2"/>
        <v>B</v>
      </c>
    </row>
    <row r="1878">
      <c r="A1878" s="2">
        <v>1877.0</v>
      </c>
      <c r="B1878" s="2">
        <v>84006.0</v>
      </c>
      <c r="C1878" s="2" t="s">
        <v>2130</v>
      </c>
      <c r="D1878" s="2">
        <v>0.85</v>
      </c>
      <c r="E1878" s="2">
        <v>929.0</v>
      </c>
      <c r="F1878" s="2">
        <v>869.88</v>
      </c>
      <c r="G1878" s="4">
        <f t="shared" si="3"/>
        <v>8745911.8</v>
      </c>
      <c r="H1878" s="4">
        <f t="shared" si="1"/>
        <v>0.9163378837</v>
      </c>
      <c r="I1878" s="4" t="str">
        <f t="shared" si="2"/>
        <v>B</v>
      </c>
    </row>
    <row r="1879">
      <c r="A1879" s="2">
        <v>1878.0</v>
      </c>
      <c r="B1879" s="2">
        <v>20767.0</v>
      </c>
      <c r="C1879" s="2" t="s">
        <v>2131</v>
      </c>
      <c r="D1879" s="2">
        <v>2.55</v>
      </c>
      <c r="E1879" s="2">
        <v>406.0</v>
      </c>
      <c r="F1879" s="2">
        <v>869.53</v>
      </c>
      <c r="G1879" s="4">
        <f t="shared" si="3"/>
        <v>8746781.33</v>
      </c>
      <c r="H1879" s="4">
        <f t="shared" si="1"/>
        <v>0.9164289872</v>
      </c>
      <c r="I1879" s="4" t="str">
        <f t="shared" si="2"/>
        <v>B</v>
      </c>
    </row>
    <row r="1880">
      <c r="A1880" s="2">
        <v>1879.0</v>
      </c>
      <c r="B1880" s="2">
        <v>21652.0</v>
      </c>
      <c r="C1880" s="2" t="s">
        <v>2132</v>
      </c>
      <c r="D1880" s="2">
        <v>1.95</v>
      </c>
      <c r="E1880" s="2">
        <v>446.0</v>
      </c>
      <c r="F1880" s="2">
        <v>869.09</v>
      </c>
      <c r="G1880" s="4">
        <f t="shared" si="3"/>
        <v>8747650.42</v>
      </c>
      <c r="H1880" s="4">
        <f t="shared" si="1"/>
        <v>0.9165200446</v>
      </c>
      <c r="I1880" s="4" t="str">
        <f t="shared" si="2"/>
        <v>B</v>
      </c>
    </row>
    <row r="1881">
      <c r="A1881" s="2">
        <v>1880.0</v>
      </c>
      <c r="B1881" s="2">
        <v>22446.0</v>
      </c>
      <c r="C1881" s="2" t="s">
        <v>2133</v>
      </c>
      <c r="D1881" s="2">
        <v>2.51</v>
      </c>
      <c r="E1881" s="2">
        <v>306.0</v>
      </c>
      <c r="F1881" s="2">
        <v>867.59</v>
      </c>
      <c r="G1881" s="4">
        <f t="shared" si="3"/>
        <v>8748518.01</v>
      </c>
      <c r="H1881" s="4">
        <f t="shared" si="1"/>
        <v>0.9166109448</v>
      </c>
      <c r="I1881" s="4" t="str">
        <f t="shared" si="2"/>
        <v>B</v>
      </c>
    </row>
    <row r="1882">
      <c r="A1882" s="2">
        <v>1881.0</v>
      </c>
      <c r="B1882" s="2">
        <v>23181.0</v>
      </c>
      <c r="C1882" s="2" t="s">
        <v>2134</v>
      </c>
      <c r="D1882" s="2">
        <v>8.25</v>
      </c>
      <c r="E1882" s="2">
        <v>100.0</v>
      </c>
      <c r="F1882" s="2">
        <v>866.78</v>
      </c>
      <c r="G1882" s="4">
        <f t="shared" si="3"/>
        <v>8749384.79</v>
      </c>
      <c r="H1882" s="4">
        <f t="shared" si="1"/>
        <v>0.9167017602</v>
      </c>
      <c r="I1882" s="4" t="str">
        <f t="shared" si="2"/>
        <v>B</v>
      </c>
    </row>
    <row r="1883">
      <c r="A1883" s="2">
        <v>1882.0</v>
      </c>
      <c r="B1883" s="2">
        <v>23372.0</v>
      </c>
      <c r="C1883" s="2" t="s">
        <v>2135</v>
      </c>
      <c r="D1883" s="2">
        <v>1.25</v>
      </c>
      <c r="E1883" s="2">
        <v>688.0</v>
      </c>
      <c r="F1883" s="2">
        <v>866.4</v>
      </c>
      <c r="G1883" s="4">
        <f t="shared" si="3"/>
        <v>8750251.19</v>
      </c>
      <c r="H1883" s="4">
        <f t="shared" si="1"/>
        <v>0.9167925358</v>
      </c>
      <c r="I1883" s="4" t="str">
        <f t="shared" si="2"/>
        <v>B</v>
      </c>
    </row>
    <row r="1884">
      <c r="A1884" s="2">
        <v>1883.0</v>
      </c>
      <c r="B1884" s="2">
        <v>23244.0</v>
      </c>
      <c r="C1884" s="2" t="s">
        <v>2136</v>
      </c>
      <c r="D1884" s="2">
        <v>1.95</v>
      </c>
      <c r="E1884" s="2">
        <v>468.0</v>
      </c>
      <c r="F1884" s="2">
        <v>866.01</v>
      </c>
      <c r="G1884" s="4">
        <f t="shared" si="3"/>
        <v>8751117.2</v>
      </c>
      <c r="H1884" s="4">
        <f t="shared" si="1"/>
        <v>0.9168832705</v>
      </c>
      <c r="I1884" s="4" t="str">
        <f t="shared" si="2"/>
        <v>B</v>
      </c>
    </row>
    <row r="1885">
      <c r="A1885" s="2">
        <v>1884.0</v>
      </c>
      <c r="B1885" s="2">
        <v>84843.0</v>
      </c>
      <c r="C1885" s="2" t="s">
        <v>2137</v>
      </c>
      <c r="D1885" s="2">
        <v>5.95</v>
      </c>
      <c r="E1885" s="2">
        <v>140.0</v>
      </c>
      <c r="F1885" s="2">
        <v>865.53</v>
      </c>
      <c r="G1885" s="4">
        <f t="shared" si="3"/>
        <v>8751982.73</v>
      </c>
      <c r="H1885" s="4">
        <f t="shared" si="1"/>
        <v>0.9169739549</v>
      </c>
      <c r="I1885" s="4" t="str">
        <f t="shared" si="2"/>
        <v>B</v>
      </c>
    </row>
    <row r="1886">
      <c r="A1886" s="2">
        <v>1885.0</v>
      </c>
      <c r="B1886" s="2">
        <v>23122.0</v>
      </c>
      <c r="C1886" s="2" t="s">
        <v>2138</v>
      </c>
      <c r="D1886" s="2">
        <v>0.83</v>
      </c>
      <c r="E1886" s="2">
        <v>1126.0</v>
      </c>
      <c r="F1886" s="2">
        <v>863.88</v>
      </c>
      <c r="G1886" s="4">
        <f t="shared" si="3"/>
        <v>8752846.61</v>
      </c>
      <c r="H1886" s="4">
        <f t="shared" si="1"/>
        <v>0.9170644665</v>
      </c>
      <c r="I1886" s="4" t="str">
        <f t="shared" si="2"/>
        <v>B</v>
      </c>
    </row>
    <row r="1887">
      <c r="A1887" s="2">
        <v>1886.0</v>
      </c>
      <c r="B1887" s="2">
        <v>21205.0</v>
      </c>
      <c r="C1887" s="2" t="s">
        <v>2139</v>
      </c>
      <c r="D1887" s="2">
        <v>2.55</v>
      </c>
      <c r="E1887" s="2">
        <v>330.0</v>
      </c>
      <c r="F1887" s="2">
        <v>863.28</v>
      </c>
      <c r="G1887" s="4">
        <f t="shared" si="3"/>
        <v>8753709.89</v>
      </c>
      <c r="H1887" s="4">
        <f t="shared" si="1"/>
        <v>0.9171549151</v>
      </c>
      <c r="I1887" s="4" t="str">
        <f t="shared" si="2"/>
        <v>B</v>
      </c>
    </row>
    <row r="1888">
      <c r="A1888" s="2">
        <v>1887.0</v>
      </c>
      <c r="B1888" s="2">
        <v>22516.0</v>
      </c>
      <c r="C1888" s="2" t="s">
        <v>2140</v>
      </c>
      <c r="D1888" s="2">
        <v>2.1</v>
      </c>
      <c r="E1888" s="2">
        <v>426.0</v>
      </c>
      <c r="F1888" s="2">
        <v>862.9</v>
      </c>
      <c r="G1888" s="4">
        <f t="shared" si="3"/>
        <v>8754572.79</v>
      </c>
      <c r="H1888" s="4">
        <f t="shared" si="1"/>
        <v>0.917245324</v>
      </c>
      <c r="I1888" s="4" t="str">
        <f t="shared" si="2"/>
        <v>B</v>
      </c>
    </row>
    <row r="1889">
      <c r="A1889" s="2">
        <v>1888.0</v>
      </c>
      <c r="B1889" s="2">
        <v>21163.0</v>
      </c>
      <c r="C1889" s="2" t="s">
        <v>2141</v>
      </c>
      <c r="D1889" s="2">
        <v>1.45</v>
      </c>
      <c r="E1889" s="2">
        <v>1363.0</v>
      </c>
      <c r="F1889" s="2">
        <v>862.24</v>
      </c>
      <c r="G1889" s="4">
        <f t="shared" si="3"/>
        <v>8755435.03</v>
      </c>
      <c r="H1889" s="4">
        <f t="shared" si="1"/>
        <v>0.9173356637</v>
      </c>
      <c r="I1889" s="4" t="str">
        <f t="shared" si="2"/>
        <v>B</v>
      </c>
    </row>
    <row r="1890">
      <c r="A1890" s="2">
        <v>1889.0</v>
      </c>
      <c r="B1890" s="2">
        <v>22209.0</v>
      </c>
      <c r="C1890" s="2" t="s">
        <v>2142</v>
      </c>
      <c r="D1890" s="2">
        <v>1.63</v>
      </c>
      <c r="E1890" s="2">
        <v>696.0</v>
      </c>
      <c r="F1890" s="2">
        <v>861.69</v>
      </c>
      <c r="G1890" s="4">
        <f t="shared" si="3"/>
        <v>8756296.72</v>
      </c>
      <c r="H1890" s="4">
        <f t="shared" si="1"/>
        <v>0.9174259458</v>
      </c>
      <c r="I1890" s="4" t="str">
        <f t="shared" si="2"/>
        <v>B</v>
      </c>
    </row>
    <row r="1891">
      <c r="A1891" s="2">
        <v>1890.0</v>
      </c>
      <c r="B1891" s="2">
        <v>21637.0</v>
      </c>
      <c r="C1891" s="2" t="s">
        <v>2143</v>
      </c>
      <c r="D1891" s="2">
        <v>1.25</v>
      </c>
      <c r="E1891" s="2">
        <v>670.0</v>
      </c>
      <c r="F1891" s="2">
        <v>859.61</v>
      </c>
      <c r="G1891" s="4">
        <f t="shared" si="3"/>
        <v>8757156.33</v>
      </c>
      <c r="H1891" s="4">
        <f t="shared" si="1"/>
        <v>0.91751601</v>
      </c>
      <c r="I1891" s="4" t="str">
        <f t="shared" si="2"/>
        <v>B</v>
      </c>
    </row>
    <row r="1892">
      <c r="A1892" s="2">
        <v>1891.0</v>
      </c>
      <c r="B1892" s="2">
        <v>21090.0</v>
      </c>
      <c r="C1892" s="2" t="s">
        <v>2144</v>
      </c>
      <c r="D1892" s="2">
        <v>0.83</v>
      </c>
      <c r="E1892" s="2">
        <v>1540.0</v>
      </c>
      <c r="F1892" s="2">
        <v>859.54</v>
      </c>
      <c r="G1892" s="4">
        <f t="shared" si="3"/>
        <v>8758015.87</v>
      </c>
      <c r="H1892" s="4">
        <f t="shared" si="1"/>
        <v>0.9176060668</v>
      </c>
      <c r="I1892" s="4" t="str">
        <f t="shared" si="2"/>
        <v>B</v>
      </c>
    </row>
    <row r="1893">
      <c r="A1893" s="2">
        <v>1892.0</v>
      </c>
      <c r="B1893" s="2">
        <v>21895.0</v>
      </c>
      <c r="C1893" s="2" t="s">
        <v>2145</v>
      </c>
      <c r="D1893" s="2">
        <v>4.25</v>
      </c>
      <c r="E1893" s="2">
        <v>278.0</v>
      </c>
      <c r="F1893" s="2">
        <v>859.32</v>
      </c>
      <c r="G1893" s="4">
        <f t="shared" si="3"/>
        <v>8758875.19</v>
      </c>
      <c r="H1893" s="4">
        <f t="shared" si="1"/>
        <v>0.9176961006</v>
      </c>
      <c r="I1893" s="4" t="str">
        <f t="shared" si="2"/>
        <v>B</v>
      </c>
    </row>
    <row r="1894">
      <c r="A1894" s="2">
        <v>1893.0</v>
      </c>
      <c r="B1894" s="2">
        <v>22254.0</v>
      </c>
      <c r="C1894" s="2" t="s">
        <v>2146</v>
      </c>
      <c r="D1894" s="2">
        <v>1.25</v>
      </c>
      <c r="E1894" s="2">
        <v>670.0</v>
      </c>
      <c r="F1894" s="2">
        <v>859.23</v>
      </c>
      <c r="G1894" s="4">
        <f t="shared" si="3"/>
        <v>8759734.42</v>
      </c>
      <c r="H1894" s="4">
        <f t="shared" si="1"/>
        <v>0.9177861249</v>
      </c>
      <c r="I1894" s="4" t="str">
        <f t="shared" si="2"/>
        <v>B</v>
      </c>
    </row>
    <row r="1895">
      <c r="A1895" s="2">
        <v>1894.0</v>
      </c>
      <c r="B1895" s="2">
        <v>10125.0</v>
      </c>
      <c r="C1895" s="2" t="s">
        <v>2147</v>
      </c>
      <c r="D1895" s="2">
        <v>0.85</v>
      </c>
      <c r="E1895" s="2">
        <v>1053.0</v>
      </c>
      <c r="F1895" s="2">
        <v>859.16</v>
      </c>
      <c r="G1895" s="4">
        <f t="shared" si="3"/>
        <v>8760593.58</v>
      </c>
      <c r="H1895" s="4">
        <f t="shared" si="1"/>
        <v>0.9178761419</v>
      </c>
      <c r="I1895" s="4" t="str">
        <f t="shared" si="2"/>
        <v>B</v>
      </c>
    </row>
    <row r="1896">
      <c r="A1896" s="2">
        <v>1895.0</v>
      </c>
      <c r="B1896" s="2">
        <v>22026.0</v>
      </c>
      <c r="C1896" s="2" t="s">
        <v>2148</v>
      </c>
      <c r="D1896" s="2">
        <v>0.42</v>
      </c>
      <c r="E1896" s="2">
        <v>2014.0</v>
      </c>
      <c r="F1896" s="2">
        <v>858.74</v>
      </c>
      <c r="G1896" s="4">
        <f t="shared" si="3"/>
        <v>8761452.32</v>
      </c>
      <c r="H1896" s="4">
        <f t="shared" si="1"/>
        <v>0.9179661149</v>
      </c>
      <c r="I1896" s="4" t="str">
        <f t="shared" si="2"/>
        <v>B</v>
      </c>
    </row>
    <row r="1897">
      <c r="A1897" s="2">
        <v>1896.0</v>
      </c>
      <c r="B1897" s="2">
        <v>22035.0</v>
      </c>
      <c r="C1897" s="2" t="s">
        <v>2149</v>
      </c>
      <c r="D1897" s="2">
        <v>0.42</v>
      </c>
      <c r="E1897" s="2">
        <v>2024.0</v>
      </c>
      <c r="F1897" s="2">
        <v>858.06</v>
      </c>
      <c r="G1897" s="4">
        <f t="shared" si="3"/>
        <v>8762310.38</v>
      </c>
      <c r="H1897" s="4">
        <f t="shared" si="1"/>
        <v>0.9180560167</v>
      </c>
      <c r="I1897" s="4" t="str">
        <f t="shared" si="2"/>
        <v>B</v>
      </c>
    </row>
    <row r="1898">
      <c r="A1898" s="2">
        <v>1897.0</v>
      </c>
      <c r="B1898" s="2">
        <v>85060.0</v>
      </c>
      <c r="C1898" s="2" t="s">
        <v>2150</v>
      </c>
      <c r="D1898" s="2">
        <v>1.25</v>
      </c>
      <c r="E1898" s="2">
        <v>712.0</v>
      </c>
      <c r="F1898" s="2">
        <v>857.81</v>
      </c>
      <c r="G1898" s="4">
        <f t="shared" si="3"/>
        <v>8763168.19</v>
      </c>
      <c r="H1898" s="4">
        <f t="shared" si="1"/>
        <v>0.9181458923</v>
      </c>
      <c r="I1898" s="4" t="str">
        <f t="shared" si="2"/>
        <v>B</v>
      </c>
    </row>
    <row r="1899">
      <c r="A1899" s="2">
        <v>1898.0</v>
      </c>
      <c r="B1899" s="2">
        <v>37342.0</v>
      </c>
      <c r="C1899" s="2" t="s">
        <v>2151</v>
      </c>
      <c r="D1899" s="2">
        <v>2.46</v>
      </c>
      <c r="E1899" s="2">
        <v>802.0</v>
      </c>
      <c r="F1899" s="2">
        <v>855.5</v>
      </c>
      <c r="G1899" s="4">
        <f t="shared" si="3"/>
        <v>8764023.69</v>
      </c>
      <c r="H1899" s="4">
        <f t="shared" si="1"/>
        <v>0.9182355258</v>
      </c>
      <c r="I1899" s="4" t="str">
        <f t="shared" si="2"/>
        <v>B</v>
      </c>
    </row>
    <row r="1900">
      <c r="A1900" s="2">
        <v>1899.0</v>
      </c>
      <c r="B1900" s="2">
        <v>22934.0</v>
      </c>
      <c r="C1900" s="2" t="s">
        <v>2152</v>
      </c>
      <c r="D1900" s="2">
        <v>2.95</v>
      </c>
      <c r="E1900" s="2">
        <v>294.0</v>
      </c>
      <c r="F1900" s="2">
        <v>853.74</v>
      </c>
      <c r="G1900" s="4">
        <f t="shared" si="3"/>
        <v>8764877.43</v>
      </c>
      <c r="H1900" s="4">
        <f t="shared" si="1"/>
        <v>0.918324975</v>
      </c>
      <c r="I1900" s="4" t="str">
        <f t="shared" si="2"/>
        <v>B</v>
      </c>
    </row>
    <row r="1901">
      <c r="A1901" s="2">
        <v>1900.0</v>
      </c>
      <c r="B1901" s="2">
        <v>23073.0</v>
      </c>
      <c r="C1901" s="2" t="s">
        <v>2153</v>
      </c>
      <c r="D1901" s="2">
        <v>12.5</v>
      </c>
      <c r="E1901" s="2">
        <v>72.0</v>
      </c>
      <c r="F1901" s="2">
        <v>853.25</v>
      </c>
      <c r="G1901" s="4">
        <f t="shared" si="3"/>
        <v>8765730.68</v>
      </c>
      <c r="H1901" s="4">
        <f t="shared" si="1"/>
        <v>0.9184143728</v>
      </c>
      <c r="I1901" s="4" t="str">
        <f t="shared" si="2"/>
        <v>B</v>
      </c>
    </row>
    <row r="1902">
      <c r="A1902" s="2">
        <v>1901.0</v>
      </c>
      <c r="B1902" s="2">
        <v>23214.0</v>
      </c>
      <c r="C1902" s="2" t="s">
        <v>2154</v>
      </c>
      <c r="D1902" s="2">
        <v>2.08</v>
      </c>
      <c r="E1902" s="2">
        <v>397.0</v>
      </c>
      <c r="F1902" s="2">
        <v>852.72</v>
      </c>
      <c r="G1902" s="4">
        <f t="shared" si="3"/>
        <v>8766583.4</v>
      </c>
      <c r="H1902" s="4">
        <f t="shared" si="1"/>
        <v>0.918503715</v>
      </c>
      <c r="I1902" s="4" t="str">
        <f t="shared" si="2"/>
        <v>B</v>
      </c>
    </row>
    <row r="1903">
      <c r="A1903" s="2">
        <v>1902.0</v>
      </c>
      <c r="B1903" s="2" t="s">
        <v>2155</v>
      </c>
      <c r="C1903" s="2" t="s">
        <v>2156</v>
      </c>
      <c r="D1903" s="2">
        <v>1.65</v>
      </c>
      <c r="E1903" s="2">
        <v>530.0</v>
      </c>
      <c r="F1903" s="2">
        <v>852.15</v>
      </c>
      <c r="G1903" s="4">
        <f t="shared" si="3"/>
        <v>8767435.55</v>
      </c>
      <c r="H1903" s="4">
        <f t="shared" si="1"/>
        <v>0.9185929976</v>
      </c>
      <c r="I1903" s="4" t="str">
        <f t="shared" si="2"/>
        <v>B</v>
      </c>
    </row>
    <row r="1904">
      <c r="A1904" s="2">
        <v>1903.0</v>
      </c>
      <c r="B1904" s="2">
        <v>20990.0</v>
      </c>
      <c r="C1904" s="2" t="s">
        <v>2157</v>
      </c>
      <c r="D1904" s="2">
        <v>1.95</v>
      </c>
      <c r="E1904" s="2">
        <v>447.0</v>
      </c>
      <c r="F1904" s="2">
        <v>852.1</v>
      </c>
      <c r="G1904" s="4">
        <f t="shared" si="3"/>
        <v>8768287.65</v>
      </c>
      <c r="H1904" s="4">
        <f t="shared" si="1"/>
        <v>0.9186822749</v>
      </c>
      <c r="I1904" s="4" t="str">
        <f t="shared" si="2"/>
        <v>B</v>
      </c>
    </row>
    <row r="1905">
      <c r="A1905" s="2">
        <v>1904.0</v>
      </c>
      <c r="B1905" s="2" t="s">
        <v>2158</v>
      </c>
      <c r="C1905" s="2" t="s">
        <v>2159</v>
      </c>
      <c r="D1905" s="2">
        <v>7.95</v>
      </c>
      <c r="E1905" s="2">
        <v>104.0</v>
      </c>
      <c r="F1905" s="2">
        <v>851.98</v>
      </c>
      <c r="G1905" s="4">
        <f t="shared" si="3"/>
        <v>8769139.63</v>
      </c>
      <c r="H1905" s="4">
        <f t="shared" si="1"/>
        <v>0.9187715396</v>
      </c>
      <c r="I1905" s="4" t="str">
        <f t="shared" si="2"/>
        <v>B</v>
      </c>
    </row>
    <row r="1906">
      <c r="A1906" s="2">
        <v>1905.0</v>
      </c>
      <c r="B1906" s="2">
        <v>22123.0</v>
      </c>
      <c r="C1906" s="2" t="s">
        <v>2160</v>
      </c>
      <c r="D1906" s="2">
        <v>4.13</v>
      </c>
      <c r="E1906" s="2">
        <v>328.0</v>
      </c>
      <c r="F1906" s="2">
        <v>850.46</v>
      </c>
      <c r="G1906" s="4">
        <f t="shared" si="3"/>
        <v>8769990.09</v>
      </c>
      <c r="H1906" s="4">
        <f t="shared" si="1"/>
        <v>0.9188606451</v>
      </c>
      <c r="I1906" s="4" t="str">
        <f t="shared" si="2"/>
        <v>B</v>
      </c>
    </row>
    <row r="1907">
      <c r="A1907" s="2">
        <v>1906.0</v>
      </c>
      <c r="B1907" s="2">
        <v>85127.0</v>
      </c>
      <c r="C1907" s="2" t="s">
        <v>2161</v>
      </c>
      <c r="D1907" s="2">
        <v>4.95</v>
      </c>
      <c r="E1907" s="2">
        <v>137.0</v>
      </c>
      <c r="F1907" s="2">
        <v>850.38</v>
      </c>
      <c r="G1907" s="4">
        <f t="shared" si="3"/>
        <v>8770840.47</v>
      </c>
      <c r="H1907" s="4">
        <f t="shared" si="1"/>
        <v>0.9189497422</v>
      </c>
      <c r="I1907" s="4" t="str">
        <f t="shared" si="2"/>
        <v>B</v>
      </c>
    </row>
    <row r="1908">
      <c r="A1908" s="2">
        <v>1907.0</v>
      </c>
      <c r="B1908" s="2">
        <v>21189.0</v>
      </c>
      <c r="C1908" s="2" t="s">
        <v>2162</v>
      </c>
      <c r="D1908" s="2">
        <v>1.65</v>
      </c>
      <c r="E1908" s="2">
        <v>399.0</v>
      </c>
      <c r="F1908" s="2">
        <v>850.26</v>
      </c>
      <c r="G1908" s="4">
        <f t="shared" si="3"/>
        <v>8771690.73</v>
      </c>
      <c r="H1908" s="4">
        <f t="shared" si="1"/>
        <v>0.9190388268</v>
      </c>
      <c r="I1908" s="4" t="str">
        <f t="shared" si="2"/>
        <v>B</v>
      </c>
    </row>
    <row r="1909">
      <c r="A1909" s="2">
        <v>1908.0</v>
      </c>
      <c r="B1909" s="2" t="s">
        <v>2163</v>
      </c>
      <c r="C1909" s="2" t="s">
        <v>2164</v>
      </c>
      <c r="D1909" s="2">
        <v>5.95</v>
      </c>
      <c r="E1909" s="2">
        <v>178.0</v>
      </c>
      <c r="F1909" s="2">
        <v>847.36</v>
      </c>
      <c r="G1909" s="4">
        <f t="shared" si="3"/>
        <v>8772538.09</v>
      </c>
      <c r="H1909" s="4">
        <f t="shared" si="1"/>
        <v>0.9191276074</v>
      </c>
      <c r="I1909" s="4" t="str">
        <f t="shared" si="2"/>
        <v>B</v>
      </c>
    </row>
    <row r="1910">
      <c r="A1910" s="2">
        <v>1909.0</v>
      </c>
      <c r="B1910" s="2">
        <v>22679.0</v>
      </c>
      <c r="C1910" s="2" t="s">
        <v>2165</v>
      </c>
      <c r="D1910" s="2">
        <v>1.25</v>
      </c>
      <c r="E1910" s="2">
        <v>630.0</v>
      </c>
      <c r="F1910" s="2">
        <v>845.96</v>
      </c>
      <c r="G1910" s="4">
        <f t="shared" si="3"/>
        <v>8773384.05</v>
      </c>
      <c r="H1910" s="4">
        <f t="shared" si="1"/>
        <v>0.9192162415</v>
      </c>
      <c r="I1910" s="4" t="str">
        <f t="shared" si="2"/>
        <v>B</v>
      </c>
    </row>
    <row r="1911">
      <c r="A1911" s="2">
        <v>1910.0</v>
      </c>
      <c r="B1911" s="2">
        <v>21576.0</v>
      </c>
      <c r="C1911" s="2" t="s">
        <v>2166</v>
      </c>
      <c r="D1911" s="2">
        <v>2.25</v>
      </c>
      <c r="E1911" s="2">
        <v>366.0</v>
      </c>
      <c r="F1911" s="2">
        <v>844.22</v>
      </c>
      <c r="G1911" s="4">
        <f t="shared" si="3"/>
        <v>8774228.27</v>
      </c>
      <c r="H1911" s="4">
        <f t="shared" si="1"/>
        <v>0.9193046932</v>
      </c>
      <c r="I1911" s="4" t="str">
        <f t="shared" si="2"/>
        <v>B</v>
      </c>
    </row>
    <row r="1912">
      <c r="A1912" s="2">
        <v>1911.0</v>
      </c>
      <c r="B1912" s="2">
        <v>22922.0</v>
      </c>
      <c r="C1912" s="2" t="s">
        <v>2167</v>
      </c>
      <c r="D1912" s="2">
        <v>0.85</v>
      </c>
      <c r="E1912" s="2">
        <v>968.0</v>
      </c>
      <c r="F1912" s="2">
        <v>843.75</v>
      </c>
      <c r="G1912" s="4">
        <f t="shared" si="3"/>
        <v>8775072.02</v>
      </c>
      <c r="H1912" s="4">
        <f t="shared" si="1"/>
        <v>0.9193930956</v>
      </c>
      <c r="I1912" s="4" t="str">
        <f t="shared" si="2"/>
        <v>B</v>
      </c>
    </row>
    <row r="1913">
      <c r="A1913" s="2">
        <v>1912.0</v>
      </c>
      <c r="B1913" s="2">
        <v>22323.0</v>
      </c>
      <c r="C1913" s="2" t="s">
        <v>2168</v>
      </c>
      <c r="D1913" s="2">
        <v>1.95</v>
      </c>
      <c r="E1913" s="2">
        <v>318.0</v>
      </c>
      <c r="F1913" s="2">
        <v>843.6</v>
      </c>
      <c r="G1913" s="4">
        <f t="shared" si="3"/>
        <v>8775915.62</v>
      </c>
      <c r="H1913" s="4">
        <f t="shared" si="1"/>
        <v>0.9194814823</v>
      </c>
      <c r="I1913" s="4" t="str">
        <f t="shared" si="2"/>
        <v>B</v>
      </c>
    </row>
    <row r="1914">
      <c r="A1914" s="2">
        <v>1913.0</v>
      </c>
      <c r="B1914" s="2">
        <v>21251.0</v>
      </c>
      <c r="C1914" s="2" t="s">
        <v>2169</v>
      </c>
      <c r="D1914" s="2">
        <v>2.95</v>
      </c>
      <c r="E1914" s="2">
        <v>298.0</v>
      </c>
      <c r="F1914" s="2">
        <v>843.44</v>
      </c>
      <c r="G1914" s="4">
        <f t="shared" si="3"/>
        <v>8776759.06</v>
      </c>
      <c r="H1914" s="4">
        <f t="shared" si="1"/>
        <v>0.9195698523</v>
      </c>
      <c r="I1914" s="4" t="str">
        <f t="shared" si="2"/>
        <v>B</v>
      </c>
    </row>
    <row r="1915">
      <c r="A1915" s="2">
        <v>1914.0</v>
      </c>
      <c r="B1915" s="2" t="s">
        <v>2170</v>
      </c>
      <c r="C1915" s="2" t="s">
        <v>2171</v>
      </c>
      <c r="D1915" s="2">
        <v>1.63</v>
      </c>
      <c r="E1915" s="2">
        <v>790.0</v>
      </c>
      <c r="F1915" s="2">
        <v>842.29</v>
      </c>
      <c r="G1915" s="4">
        <f t="shared" si="3"/>
        <v>8777601.35</v>
      </c>
      <c r="H1915" s="4">
        <f t="shared" si="1"/>
        <v>0.9196581018</v>
      </c>
      <c r="I1915" s="4" t="str">
        <f t="shared" si="2"/>
        <v>B</v>
      </c>
    </row>
    <row r="1916">
      <c r="A1916" s="2">
        <v>1915.0</v>
      </c>
      <c r="B1916" s="2">
        <v>21446.0</v>
      </c>
      <c r="C1916" s="2" t="s">
        <v>2172</v>
      </c>
      <c r="D1916" s="2">
        <v>1.25</v>
      </c>
      <c r="E1916" s="2">
        <v>634.0</v>
      </c>
      <c r="F1916" s="2">
        <v>841.79</v>
      </c>
      <c r="G1916" s="4">
        <f t="shared" si="3"/>
        <v>8778443.14</v>
      </c>
      <c r="H1916" s="4">
        <f t="shared" si="1"/>
        <v>0.9197462989</v>
      </c>
      <c r="I1916" s="4" t="str">
        <f t="shared" si="2"/>
        <v>B</v>
      </c>
    </row>
    <row r="1917">
      <c r="A1917" s="2">
        <v>1916.0</v>
      </c>
      <c r="B1917" s="2">
        <v>22706.0</v>
      </c>
      <c r="C1917" s="2" t="s">
        <v>2173</v>
      </c>
      <c r="D1917" s="2">
        <v>0.42</v>
      </c>
      <c r="E1917" s="2">
        <v>2098.0</v>
      </c>
      <c r="F1917" s="2">
        <v>841.37</v>
      </c>
      <c r="G1917" s="4">
        <f t="shared" si="3"/>
        <v>8779284.51</v>
      </c>
      <c r="H1917" s="4">
        <f t="shared" si="1"/>
        <v>0.919834452</v>
      </c>
      <c r="I1917" s="4" t="str">
        <f t="shared" si="2"/>
        <v>B</v>
      </c>
    </row>
    <row r="1918">
      <c r="A1918" s="2">
        <v>1917.0</v>
      </c>
      <c r="B1918" s="2">
        <v>20996.0</v>
      </c>
      <c r="C1918" s="2" t="s">
        <v>2174</v>
      </c>
      <c r="D1918" s="2">
        <v>0.42</v>
      </c>
      <c r="E1918" s="2">
        <v>3152.0</v>
      </c>
      <c r="F1918" s="2">
        <v>841.37</v>
      </c>
      <c r="G1918" s="4">
        <f t="shared" si="3"/>
        <v>8780125.88</v>
      </c>
      <c r="H1918" s="4">
        <f t="shared" si="1"/>
        <v>0.9199226051</v>
      </c>
      <c r="I1918" s="4" t="str">
        <f t="shared" si="2"/>
        <v>B</v>
      </c>
    </row>
    <row r="1919">
      <c r="A1919" s="2">
        <v>1918.0</v>
      </c>
      <c r="B1919" s="2">
        <v>22319.0</v>
      </c>
      <c r="C1919" s="2" t="s">
        <v>2175</v>
      </c>
      <c r="D1919" s="2">
        <v>0.65</v>
      </c>
      <c r="E1919" s="2">
        <v>1482.0</v>
      </c>
      <c r="F1919" s="2">
        <v>841.22</v>
      </c>
      <c r="G1919" s="4">
        <f t="shared" si="3"/>
        <v>8780967.1</v>
      </c>
      <c r="H1919" s="4">
        <f t="shared" si="1"/>
        <v>0.9200107425</v>
      </c>
      <c r="I1919" s="4" t="str">
        <f t="shared" si="2"/>
        <v>B</v>
      </c>
    </row>
    <row r="1920">
      <c r="A1920" s="2">
        <v>1919.0</v>
      </c>
      <c r="B1920" s="2">
        <v>23368.0</v>
      </c>
      <c r="C1920" s="2" t="s">
        <v>2176</v>
      </c>
      <c r="D1920" s="2">
        <v>0.65</v>
      </c>
      <c r="E1920" s="2">
        <v>1191.0</v>
      </c>
      <c r="F1920" s="2">
        <v>840.75</v>
      </c>
      <c r="G1920" s="4">
        <f t="shared" si="3"/>
        <v>8781807.85</v>
      </c>
      <c r="H1920" s="4">
        <f t="shared" si="1"/>
        <v>0.9200988306</v>
      </c>
      <c r="I1920" s="4" t="str">
        <f t="shared" si="2"/>
        <v>B</v>
      </c>
    </row>
    <row r="1921">
      <c r="A1921" s="2">
        <v>1920.0</v>
      </c>
      <c r="B1921" s="2">
        <v>21382.0</v>
      </c>
      <c r="C1921" s="2" t="s">
        <v>2177</v>
      </c>
      <c r="D1921" s="2">
        <v>1.63</v>
      </c>
      <c r="E1921" s="2">
        <v>622.0</v>
      </c>
      <c r="F1921" s="2">
        <v>840.58</v>
      </c>
      <c r="G1921" s="4">
        <f t="shared" si="3"/>
        <v>8782648.43</v>
      </c>
      <c r="H1921" s="4">
        <f t="shared" si="1"/>
        <v>0.920186901</v>
      </c>
      <c r="I1921" s="4" t="str">
        <f t="shared" si="2"/>
        <v>B</v>
      </c>
    </row>
    <row r="1922">
      <c r="A1922" s="2">
        <v>1921.0</v>
      </c>
      <c r="B1922" s="2">
        <v>22975.0</v>
      </c>
      <c r="C1922" s="2" t="s">
        <v>2178</v>
      </c>
      <c r="D1922" s="2">
        <v>1.25</v>
      </c>
      <c r="E1922" s="2">
        <v>622.0</v>
      </c>
      <c r="F1922" s="2">
        <v>839.83</v>
      </c>
      <c r="G1922" s="4">
        <f t="shared" si="3"/>
        <v>8783488.26</v>
      </c>
      <c r="H1922" s="4">
        <f t="shared" si="1"/>
        <v>0.9202748927</v>
      </c>
      <c r="I1922" s="4" t="str">
        <f t="shared" si="2"/>
        <v>B</v>
      </c>
    </row>
    <row r="1923">
      <c r="A1923" s="2">
        <v>1922.0</v>
      </c>
      <c r="B1923" s="2" t="s">
        <v>2179</v>
      </c>
      <c r="C1923" s="2" t="s">
        <v>2180</v>
      </c>
      <c r="D1923" s="2">
        <v>4.13</v>
      </c>
      <c r="E1923" s="2">
        <v>244.0</v>
      </c>
      <c r="F1923" s="2">
        <v>837.86</v>
      </c>
      <c r="G1923" s="4">
        <f t="shared" si="3"/>
        <v>8784326.12</v>
      </c>
      <c r="H1923" s="4">
        <f t="shared" si="1"/>
        <v>0.920362678</v>
      </c>
      <c r="I1923" s="4" t="str">
        <f t="shared" si="2"/>
        <v>B</v>
      </c>
    </row>
    <row r="1924">
      <c r="A1924" s="2">
        <v>1923.0</v>
      </c>
      <c r="B1924" s="2">
        <v>21283.0</v>
      </c>
      <c r="C1924" s="2" t="s">
        <v>2181</v>
      </c>
      <c r="D1924" s="2">
        <v>3.25</v>
      </c>
      <c r="E1924" s="2">
        <v>262.0</v>
      </c>
      <c r="F1924" s="2">
        <v>835.72</v>
      </c>
      <c r="G1924" s="4">
        <f t="shared" si="3"/>
        <v>8785161.84</v>
      </c>
      <c r="H1924" s="4">
        <f t="shared" si="1"/>
        <v>0.9204502392</v>
      </c>
      <c r="I1924" s="4" t="str">
        <f t="shared" si="2"/>
        <v>B</v>
      </c>
    </row>
    <row r="1925">
      <c r="A1925" s="2">
        <v>1924.0</v>
      </c>
      <c r="B1925" s="2">
        <v>70007.0</v>
      </c>
      <c r="C1925" s="2" t="s">
        <v>2182</v>
      </c>
      <c r="D1925" s="2">
        <v>1.65</v>
      </c>
      <c r="E1925" s="2">
        <v>649.0</v>
      </c>
      <c r="F1925" s="2">
        <v>835.69</v>
      </c>
      <c r="G1925" s="4">
        <f t="shared" si="3"/>
        <v>8785997.53</v>
      </c>
      <c r="H1925" s="4">
        <f t="shared" si="1"/>
        <v>0.9205377971</v>
      </c>
      <c r="I1925" s="4" t="str">
        <f t="shared" si="2"/>
        <v>B</v>
      </c>
    </row>
    <row r="1926">
      <c r="A1926" s="2">
        <v>1925.0</v>
      </c>
      <c r="B1926" s="2">
        <v>23366.0</v>
      </c>
      <c r="C1926" s="2" t="s">
        <v>2183</v>
      </c>
      <c r="D1926" s="2">
        <v>0.65</v>
      </c>
      <c r="E1926" s="2">
        <v>1126.0</v>
      </c>
      <c r="F1926" s="2">
        <v>835.28</v>
      </c>
      <c r="G1926" s="4">
        <f t="shared" si="3"/>
        <v>8786832.81</v>
      </c>
      <c r="H1926" s="4">
        <f t="shared" si="1"/>
        <v>0.9206253122</v>
      </c>
      <c r="I1926" s="4" t="str">
        <f t="shared" si="2"/>
        <v>B</v>
      </c>
    </row>
    <row r="1927">
      <c r="A1927" s="2">
        <v>1926.0</v>
      </c>
      <c r="B1927" s="2" t="s">
        <v>2184</v>
      </c>
      <c r="C1927" s="2" t="s">
        <v>2185</v>
      </c>
      <c r="D1927" s="2">
        <v>2.1</v>
      </c>
      <c r="E1927" s="2">
        <v>569.0</v>
      </c>
      <c r="F1927" s="2">
        <v>833.8</v>
      </c>
      <c r="G1927" s="4">
        <f t="shared" si="3"/>
        <v>8787666.61</v>
      </c>
      <c r="H1927" s="4">
        <f t="shared" si="1"/>
        <v>0.9207126721</v>
      </c>
      <c r="I1927" s="4" t="str">
        <f t="shared" si="2"/>
        <v>B</v>
      </c>
    </row>
    <row r="1928">
      <c r="A1928" s="2">
        <v>1927.0</v>
      </c>
      <c r="B1928" s="2">
        <v>21633.0</v>
      </c>
      <c r="C1928" s="2" t="s">
        <v>2186</v>
      </c>
      <c r="D1928" s="2">
        <v>12.75</v>
      </c>
      <c r="E1928" s="2">
        <v>88.0</v>
      </c>
      <c r="F1928" s="2">
        <v>831.56</v>
      </c>
      <c r="G1928" s="4">
        <f t="shared" si="3"/>
        <v>8788498.17</v>
      </c>
      <c r="H1928" s="4">
        <f t="shared" si="1"/>
        <v>0.9207997974</v>
      </c>
      <c r="I1928" s="4" t="str">
        <f t="shared" si="2"/>
        <v>B</v>
      </c>
    </row>
    <row r="1929">
      <c r="A1929" s="2">
        <v>1928.0</v>
      </c>
      <c r="B1929" s="2" t="s">
        <v>2187</v>
      </c>
      <c r="C1929" s="2" t="s">
        <v>2188</v>
      </c>
      <c r="D1929" s="2">
        <v>1.63</v>
      </c>
      <c r="E1929" s="2">
        <v>724.0</v>
      </c>
      <c r="F1929" s="2">
        <v>830.68</v>
      </c>
      <c r="G1929" s="4">
        <f t="shared" si="3"/>
        <v>8789328.85</v>
      </c>
      <c r="H1929" s="4">
        <f t="shared" si="1"/>
        <v>0.9208868305</v>
      </c>
      <c r="I1929" s="4" t="str">
        <f t="shared" si="2"/>
        <v>B</v>
      </c>
    </row>
    <row r="1930">
      <c r="A1930" s="2">
        <v>1929.0</v>
      </c>
      <c r="B1930" s="2">
        <v>23505.0</v>
      </c>
      <c r="C1930" s="2" t="s">
        <v>2189</v>
      </c>
      <c r="D1930" s="2">
        <v>1.25</v>
      </c>
      <c r="E1930" s="2">
        <v>604.0</v>
      </c>
      <c r="F1930" s="2">
        <v>830.02</v>
      </c>
      <c r="G1930" s="4">
        <f t="shared" si="3"/>
        <v>8790158.87</v>
      </c>
      <c r="H1930" s="4">
        <f t="shared" si="1"/>
        <v>0.9209737944</v>
      </c>
      <c r="I1930" s="4" t="str">
        <f t="shared" si="2"/>
        <v>B</v>
      </c>
    </row>
    <row r="1931">
      <c r="A1931" s="2">
        <v>1930.0</v>
      </c>
      <c r="B1931" s="2">
        <v>23270.0</v>
      </c>
      <c r="C1931" s="2" t="s">
        <v>2190</v>
      </c>
      <c r="D1931" s="2">
        <v>1.45</v>
      </c>
      <c r="E1931" s="2">
        <v>592.0</v>
      </c>
      <c r="F1931" s="2">
        <v>829.68</v>
      </c>
      <c r="G1931" s="4">
        <f t="shared" si="3"/>
        <v>8790988.55</v>
      </c>
      <c r="H1931" s="4">
        <f t="shared" si="1"/>
        <v>0.9210607227</v>
      </c>
      <c r="I1931" s="4" t="str">
        <f t="shared" si="2"/>
        <v>B</v>
      </c>
    </row>
    <row r="1932">
      <c r="A1932" s="2">
        <v>1931.0</v>
      </c>
      <c r="B1932" s="2">
        <v>21294.0</v>
      </c>
      <c r="C1932" s="2" t="s">
        <v>2191</v>
      </c>
      <c r="D1932" s="2">
        <v>1.25</v>
      </c>
      <c r="E1932" s="2">
        <v>1125.0</v>
      </c>
      <c r="F1932" s="2">
        <v>829.38</v>
      </c>
      <c r="G1932" s="4">
        <f t="shared" si="3"/>
        <v>8791817.93</v>
      </c>
      <c r="H1932" s="4">
        <f t="shared" si="1"/>
        <v>0.9211476196</v>
      </c>
      <c r="I1932" s="4" t="str">
        <f t="shared" si="2"/>
        <v>B</v>
      </c>
    </row>
    <row r="1933">
      <c r="A1933" s="2">
        <v>1932.0</v>
      </c>
      <c r="B1933" s="2">
        <v>22410.0</v>
      </c>
      <c r="C1933" s="2" t="s">
        <v>2192</v>
      </c>
      <c r="D1933" s="2">
        <v>1.25</v>
      </c>
      <c r="E1933" s="2">
        <v>677.0</v>
      </c>
      <c r="F1933" s="2">
        <v>828.1</v>
      </c>
      <c r="G1933" s="4">
        <f t="shared" si="3"/>
        <v>8792646.03</v>
      </c>
      <c r="H1933" s="4">
        <f t="shared" si="1"/>
        <v>0.9212343823</v>
      </c>
      <c r="I1933" s="4" t="str">
        <f t="shared" si="2"/>
        <v>B</v>
      </c>
    </row>
    <row r="1934">
      <c r="A1934" s="2">
        <v>1933.0</v>
      </c>
      <c r="B1934" s="2">
        <v>21927.0</v>
      </c>
      <c r="C1934" s="2" t="s">
        <v>2193</v>
      </c>
      <c r="D1934" s="2">
        <v>1.25</v>
      </c>
      <c r="E1934" s="2">
        <v>600.0</v>
      </c>
      <c r="F1934" s="2">
        <v>826.62</v>
      </c>
      <c r="G1934" s="4">
        <f t="shared" si="3"/>
        <v>8793472.65</v>
      </c>
      <c r="H1934" s="4">
        <f t="shared" si="1"/>
        <v>0.92132099</v>
      </c>
      <c r="I1934" s="4" t="str">
        <f t="shared" si="2"/>
        <v>B</v>
      </c>
    </row>
    <row r="1935">
      <c r="A1935" s="2">
        <v>1934.0</v>
      </c>
      <c r="B1935" s="2">
        <v>21645.0</v>
      </c>
      <c r="C1935" s="2" t="s">
        <v>2194</v>
      </c>
      <c r="D1935" s="2">
        <v>1.65</v>
      </c>
      <c r="E1935" s="2">
        <v>488.0</v>
      </c>
      <c r="F1935" s="2">
        <v>826.27</v>
      </c>
      <c r="G1935" s="4">
        <f t="shared" si="3"/>
        <v>8794298.92</v>
      </c>
      <c r="H1935" s="4">
        <f t="shared" si="1"/>
        <v>0.921407561</v>
      </c>
      <c r="I1935" s="4" t="str">
        <f t="shared" si="2"/>
        <v>B</v>
      </c>
    </row>
    <row r="1936">
      <c r="A1936" s="2">
        <v>1935.0</v>
      </c>
      <c r="B1936" s="2">
        <v>37441.0</v>
      </c>
      <c r="C1936" s="2" t="s">
        <v>2195</v>
      </c>
      <c r="D1936" s="2">
        <v>2.1</v>
      </c>
      <c r="E1936" s="2">
        <v>353.0</v>
      </c>
      <c r="F1936" s="2">
        <v>826.2</v>
      </c>
      <c r="G1936" s="4">
        <f t="shared" si="3"/>
        <v>8795125.12</v>
      </c>
      <c r="H1936" s="4">
        <f t="shared" si="1"/>
        <v>0.9214941247</v>
      </c>
      <c r="I1936" s="4" t="str">
        <f t="shared" si="2"/>
        <v>B</v>
      </c>
    </row>
    <row r="1937">
      <c r="A1937" s="2">
        <v>1936.0</v>
      </c>
      <c r="B1937" s="2">
        <v>23483.0</v>
      </c>
      <c r="C1937" s="2" t="s">
        <v>2196</v>
      </c>
      <c r="D1937" s="2">
        <v>1.25</v>
      </c>
      <c r="E1937" s="2">
        <v>670.0</v>
      </c>
      <c r="F1937" s="2">
        <v>825.68</v>
      </c>
      <c r="G1937" s="4">
        <f t="shared" si="3"/>
        <v>8795950.8</v>
      </c>
      <c r="H1937" s="4">
        <f t="shared" si="1"/>
        <v>0.9215806339</v>
      </c>
      <c r="I1937" s="4" t="str">
        <f t="shared" si="2"/>
        <v>B</v>
      </c>
    </row>
    <row r="1938">
      <c r="A1938" s="2">
        <v>1937.0</v>
      </c>
      <c r="B1938" s="2">
        <v>21448.0</v>
      </c>
      <c r="C1938" s="2" t="s">
        <v>2197</v>
      </c>
      <c r="D1938" s="2">
        <v>1.65</v>
      </c>
      <c r="E1938" s="2">
        <v>480.0</v>
      </c>
      <c r="F1938" s="2">
        <v>825.03</v>
      </c>
      <c r="G1938" s="4">
        <f t="shared" si="3"/>
        <v>8796775.83</v>
      </c>
      <c r="H1938" s="4">
        <f t="shared" si="1"/>
        <v>0.921667075</v>
      </c>
      <c r="I1938" s="4" t="str">
        <f t="shared" si="2"/>
        <v>B</v>
      </c>
    </row>
    <row r="1939">
      <c r="A1939" s="2">
        <v>1938.0</v>
      </c>
      <c r="B1939" s="2">
        <v>23273.0</v>
      </c>
      <c r="C1939" s="2" t="s">
        <v>2198</v>
      </c>
      <c r="D1939" s="2">
        <v>1.65</v>
      </c>
      <c r="E1939" s="2">
        <v>484.0</v>
      </c>
      <c r="F1939" s="2">
        <v>824.52</v>
      </c>
      <c r="G1939" s="4">
        <f t="shared" si="3"/>
        <v>8797600.35</v>
      </c>
      <c r="H1939" s="4">
        <f t="shared" si="1"/>
        <v>0.9217534627</v>
      </c>
      <c r="I1939" s="4" t="str">
        <f t="shared" si="2"/>
        <v>B</v>
      </c>
    </row>
    <row r="1940">
      <c r="A1940" s="2">
        <v>1939.0</v>
      </c>
      <c r="B1940" s="2">
        <v>22025.0</v>
      </c>
      <c r="C1940" s="2" t="s">
        <v>2199</v>
      </c>
      <c r="D1940" s="2">
        <v>0.42</v>
      </c>
      <c r="E1940" s="2">
        <v>1991.0</v>
      </c>
      <c r="F1940" s="2">
        <v>823.34</v>
      </c>
      <c r="G1940" s="4">
        <f t="shared" si="3"/>
        <v>8798423.69</v>
      </c>
      <c r="H1940" s="4">
        <f t="shared" si="1"/>
        <v>0.9218397267</v>
      </c>
      <c r="I1940" s="4" t="str">
        <f t="shared" si="2"/>
        <v>B</v>
      </c>
    </row>
    <row r="1941">
      <c r="A1941" s="2">
        <v>1940.0</v>
      </c>
      <c r="B1941" s="2">
        <v>72816.0</v>
      </c>
      <c r="C1941" s="2" t="s">
        <v>2200</v>
      </c>
      <c r="D1941" s="2">
        <v>1.25</v>
      </c>
      <c r="E1941" s="2">
        <v>661.0</v>
      </c>
      <c r="F1941" s="2">
        <v>821.86</v>
      </c>
      <c r="G1941" s="4">
        <f t="shared" si="3"/>
        <v>8799245.55</v>
      </c>
      <c r="H1941" s="4">
        <f t="shared" si="1"/>
        <v>0.9219258357</v>
      </c>
      <c r="I1941" s="4" t="str">
        <f t="shared" si="2"/>
        <v>B</v>
      </c>
    </row>
    <row r="1942">
      <c r="A1942" s="2">
        <v>1941.0</v>
      </c>
      <c r="B1942" s="2">
        <v>21545.0</v>
      </c>
      <c r="C1942" s="2" t="s">
        <v>2201</v>
      </c>
      <c r="D1942" s="2">
        <v>2.95</v>
      </c>
      <c r="E1942" s="2">
        <v>349.0</v>
      </c>
      <c r="F1942" s="2">
        <v>821.54</v>
      </c>
      <c r="G1942" s="4">
        <f t="shared" si="3"/>
        <v>8800067.09</v>
      </c>
      <c r="H1942" s="4">
        <f t="shared" si="1"/>
        <v>0.9220119111</v>
      </c>
      <c r="I1942" s="4" t="str">
        <f t="shared" si="2"/>
        <v>B</v>
      </c>
    </row>
    <row r="1943">
      <c r="A1943" s="2">
        <v>1942.0</v>
      </c>
      <c r="B1943" s="2">
        <v>72817.0</v>
      </c>
      <c r="C1943" s="2" t="s">
        <v>2202</v>
      </c>
      <c r="D1943" s="2">
        <v>1.25</v>
      </c>
      <c r="E1943" s="2">
        <v>764.0</v>
      </c>
      <c r="F1943" s="2">
        <v>820.64</v>
      </c>
      <c r="G1943" s="4">
        <f t="shared" si="3"/>
        <v>8800887.73</v>
      </c>
      <c r="H1943" s="4">
        <f t="shared" si="1"/>
        <v>0.9220978923</v>
      </c>
      <c r="I1943" s="4" t="str">
        <f t="shared" si="2"/>
        <v>B</v>
      </c>
    </row>
    <row r="1944">
      <c r="A1944" s="2">
        <v>1943.0</v>
      </c>
      <c r="B1944" s="2">
        <v>21284.0</v>
      </c>
      <c r="C1944" s="2" t="s">
        <v>2203</v>
      </c>
      <c r="D1944" s="2">
        <v>1.69</v>
      </c>
      <c r="E1944" s="2">
        <v>756.0</v>
      </c>
      <c r="F1944" s="2">
        <v>820.02</v>
      </c>
      <c r="G1944" s="4">
        <f t="shared" si="3"/>
        <v>8801707.75</v>
      </c>
      <c r="H1944" s="4">
        <f t="shared" si="1"/>
        <v>0.9221838085</v>
      </c>
      <c r="I1944" s="4" t="str">
        <f t="shared" si="2"/>
        <v>B</v>
      </c>
    </row>
    <row r="1945">
      <c r="A1945" s="2">
        <v>1944.0</v>
      </c>
      <c r="B1945" s="2">
        <v>21541.0</v>
      </c>
      <c r="C1945" s="2" t="s">
        <v>2204</v>
      </c>
      <c r="D1945" s="2">
        <v>0.85</v>
      </c>
      <c r="E1945" s="2">
        <v>952.0</v>
      </c>
      <c r="F1945" s="2">
        <v>816.42</v>
      </c>
      <c r="G1945" s="4">
        <f t="shared" si="3"/>
        <v>8802524.17</v>
      </c>
      <c r="H1945" s="4">
        <f t="shared" si="1"/>
        <v>0.9222693475</v>
      </c>
      <c r="I1945" s="4" t="str">
        <f t="shared" si="2"/>
        <v>B</v>
      </c>
    </row>
    <row r="1946">
      <c r="A1946" s="2">
        <v>1945.0</v>
      </c>
      <c r="B1946" s="2">
        <v>23391.0</v>
      </c>
      <c r="C1946" s="2" t="s">
        <v>2205</v>
      </c>
      <c r="D1946" s="2">
        <v>4.15</v>
      </c>
      <c r="E1946" s="2">
        <v>195.0</v>
      </c>
      <c r="F1946" s="2">
        <v>816.16</v>
      </c>
      <c r="G1946" s="4">
        <f t="shared" si="3"/>
        <v>8803340.33</v>
      </c>
      <c r="H1946" s="4">
        <f t="shared" si="1"/>
        <v>0.9223548592</v>
      </c>
      <c r="I1946" s="4" t="str">
        <f t="shared" si="2"/>
        <v>B</v>
      </c>
    </row>
    <row r="1947">
      <c r="A1947" s="2">
        <v>1946.0</v>
      </c>
      <c r="B1947" s="2">
        <v>48195.0</v>
      </c>
      <c r="C1947" s="2" t="s">
        <v>2206</v>
      </c>
      <c r="D1947" s="2">
        <v>7.49</v>
      </c>
      <c r="E1947" s="2">
        <v>134.0</v>
      </c>
      <c r="F1947" s="2">
        <v>814.74</v>
      </c>
      <c r="G1947" s="4">
        <f t="shared" si="3"/>
        <v>8804155.07</v>
      </c>
      <c r="H1947" s="4">
        <f t="shared" si="1"/>
        <v>0.9224402222</v>
      </c>
      <c r="I1947" s="4" t="str">
        <f t="shared" si="2"/>
        <v>B</v>
      </c>
    </row>
    <row r="1948">
      <c r="A1948" s="2">
        <v>1947.0</v>
      </c>
      <c r="B1948" s="2">
        <v>21837.0</v>
      </c>
      <c r="C1948" s="2" t="s">
        <v>2207</v>
      </c>
      <c r="D1948" s="2">
        <v>5.95</v>
      </c>
      <c r="E1948" s="2">
        <v>122.0</v>
      </c>
      <c r="F1948" s="2">
        <v>814.3</v>
      </c>
      <c r="G1948" s="4">
        <f t="shared" si="3"/>
        <v>8804969.37</v>
      </c>
      <c r="H1948" s="4">
        <f t="shared" si="1"/>
        <v>0.9225255391</v>
      </c>
      <c r="I1948" s="4" t="str">
        <f t="shared" si="2"/>
        <v>B</v>
      </c>
    </row>
    <row r="1949">
      <c r="A1949" s="2">
        <v>1948.0</v>
      </c>
      <c r="B1949" s="2">
        <v>21793.0</v>
      </c>
      <c r="C1949" s="2" t="s">
        <v>2208</v>
      </c>
      <c r="D1949" s="2">
        <v>3.95</v>
      </c>
      <c r="E1949" s="2">
        <v>176.0</v>
      </c>
      <c r="F1949" s="2">
        <v>813.68</v>
      </c>
      <c r="G1949" s="4">
        <f t="shared" si="3"/>
        <v>8805783.05</v>
      </c>
      <c r="H1949" s="4">
        <f t="shared" si="1"/>
        <v>0.922610791</v>
      </c>
      <c r="I1949" s="4" t="str">
        <f t="shared" si="2"/>
        <v>B</v>
      </c>
    </row>
    <row r="1950">
      <c r="A1950" s="2">
        <v>1949.0</v>
      </c>
      <c r="B1950" s="2">
        <v>21656.0</v>
      </c>
      <c r="C1950" s="2" t="s">
        <v>2209</v>
      </c>
      <c r="D1950" s="2">
        <v>1.45</v>
      </c>
      <c r="E1950" s="2">
        <v>496.0</v>
      </c>
      <c r="F1950" s="2">
        <v>811.62</v>
      </c>
      <c r="G1950" s="4">
        <f t="shared" si="3"/>
        <v>8806594.67</v>
      </c>
      <c r="H1950" s="4">
        <f t="shared" si="1"/>
        <v>0.9226958271</v>
      </c>
      <c r="I1950" s="4" t="str">
        <f t="shared" si="2"/>
        <v>B</v>
      </c>
    </row>
    <row r="1951">
      <c r="A1951" s="2">
        <v>1950.0</v>
      </c>
      <c r="B1951" s="2">
        <v>21286.0</v>
      </c>
      <c r="C1951" s="2" t="s">
        <v>2210</v>
      </c>
      <c r="D1951" s="2">
        <v>2.55</v>
      </c>
      <c r="E1951" s="2">
        <v>503.0</v>
      </c>
      <c r="F1951" s="2">
        <v>811.5</v>
      </c>
      <c r="G1951" s="4">
        <f t="shared" si="3"/>
        <v>8807406.17</v>
      </c>
      <c r="H1951" s="4">
        <f t="shared" si="1"/>
        <v>0.9227808506</v>
      </c>
      <c r="I1951" s="4" t="str">
        <f t="shared" si="2"/>
        <v>B</v>
      </c>
    </row>
    <row r="1952">
      <c r="A1952" s="2">
        <v>1951.0</v>
      </c>
      <c r="B1952" s="2">
        <v>84619.0</v>
      </c>
      <c r="C1952" s="2" t="s">
        <v>2211</v>
      </c>
      <c r="D1952" s="2">
        <v>45.95</v>
      </c>
      <c r="E1952" s="2">
        <v>36.0</v>
      </c>
      <c r="F1952" s="2">
        <v>811.48</v>
      </c>
      <c r="G1952" s="4">
        <f t="shared" si="3"/>
        <v>8808217.65</v>
      </c>
      <c r="H1952" s="4">
        <f t="shared" si="1"/>
        <v>0.922865872</v>
      </c>
      <c r="I1952" s="4" t="str">
        <f t="shared" si="2"/>
        <v>B</v>
      </c>
    </row>
    <row r="1953">
      <c r="A1953" s="2">
        <v>1952.0</v>
      </c>
      <c r="B1953" s="2">
        <v>21275.0</v>
      </c>
      <c r="C1953" s="2" t="s">
        <v>2212</v>
      </c>
      <c r="D1953" s="2">
        <v>16.95</v>
      </c>
      <c r="E1953" s="2">
        <v>122.0</v>
      </c>
      <c r="F1953" s="2">
        <v>810.39</v>
      </c>
      <c r="G1953" s="4">
        <f t="shared" si="3"/>
        <v>8809028.04</v>
      </c>
      <c r="H1953" s="4">
        <f t="shared" si="1"/>
        <v>0.9229507793</v>
      </c>
      <c r="I1953" s="4" t="str">
        <f t="shared" si="2"/>
        <v>B</v>
      </c>
    </row>
    <row r="1954">
      <c r="A1954" s="2">
        <v>1953.0</v>
      </c>
      <c r="B1954" s="2" t="s">
        <v>2213</v>
      </c>
      <c r="C1954" s="2" t="s">
        <v>2214</v>
      </c>
      <c r="D1954" s="2">
        <v>0.83</v>
      </c>
      <c r="E1954" s="2">
        <v>1012.0</v>
      </c>
      <c r="F1954" s="2">
        <v>809.62</v>
      </c>
      <c r="G1954" s="4">
        <f t="shared" si="3"/>
        <v>8809837.66</v>
      </c>
      <c r="H1954" s="4">
        <f t="shared" si="1"/>
        <v>0.9230356058</v>
      </c>
      <c r="I1954" s="4" t="str">
        <f t="shared" si="2"/>
        <v>B</v>
      </c>
    </row>
    <row r="1955">
      <c r="A1955" s="2">
        <v>1954.0</v>
      </c>
      <c r="B1955" s="2">
        <v>21157.0</v>
      </c>
      <c r="C1955" s="2" t="s">
        <v>2215</v>
      </c>
      <c r="D1955" s="2">
        <v>2.1</v>
      </c>
      <c r="E1955" s="2">
        <v>345.0</v>
      </c>
      <c r="F1955" s="2">
        <v>809.53</v>
      </c>
      <c r="G1955" s="4">
        <f t="shared" si="3"/>
        <v>8810647.19</v>
      </c>
      <c r="H1955" s="4">
        <f t="shared" si="1"/>
        <v>0.9231204229</v>
      </c>
      <c r="I1955" s="4" t="str">
        <f t="shared" si="2"/>
        <v>B</v>
      </c>
    </row>
    <row r="1956">
      <c r="A1956" s="2">
        <v>1955.0</v>
      </c>
      <c r="B1956" s="2">
        <v>23348.0</v>
      </c>
      <c r="C1956" s="2" t="s">
        <v>2216</v>
      </c>
      <c r="D1956" s="2">
        <v>2.08</v>
      </c>
      <c r="E1956" s="2">
        <v>369.0</v>
      </c>
      <c r="F1956" s="2">
        <v>808.58</v>
      </c>
      <c r="G1956" s="4">
        <f t="shared" si="3"/>
        <v>8811455.77</v>
      </c>
      <c r="H1956" s="4">
        <f t="shared" si="1"/>
        <v>0.9232051405</v>
      </c>
      <c r="I1956" s="4" t="str">
        <f t="shared" si="2"/>
        <v>B</v>
      </c>
    </row>
    <row r="1957">
      <c r="A1957" s="2">
        <v>1956.0</v>
      </c>
      <c r="B1957" s="2">
        <v>21760.0</v>
      </c>
      <c r="C1957" s="2" t="s">
        <v>2217</v>
      </c>
      <c r="D1957" s="2">
        <v>125.0</v>
      </c>
      <c r="E1957" s="2">
        <v>7.0</v>
      </c>
      <c r="F1957" s="2">
        <v>807.5</v>
      </c>
      <c r="G1957" s="4">
        <f t="shared" si="3"/>
        <v>8812263.27</v>
      </c>
      <c r="H1957" s="4">
        <f t="shared" si="1"/>
        <v>0.9232897449</v>
      </c>
      <c r="I1957" s="4" t="str">
        <f t="shared" si="2"/>
        <v>B</v>
      </c>
    </row>
    <row r="1958">
      <c r="A1958" s="2">
        <v>1957.0</v>
      </c>
      <c r="B1958" s="2">
        <v>23280.0</v>
      </c>
      <c r="C1958" s="2" t="s">
        <v>2218</v>
      </c>
      <c r="D1958" s="2">
        <v>0.83</v>
      </c>
      <c r="E1958" s="2">
        <v>1012.0</v>
      </c>
      <c r="F1958" s="2">
        <v>807.5</v>
      </c>
      <c r="G1958" s="4">
        <f t="shared" si="3"/>
        <v>8813070.77</v>
      </c>
      <c r="H1958" s="4">
        <f t="shared" si="1"/>
        <v>0.9233743494</v>
      </c>
      <c r="I1958" s="4" t="str">
        <f t="shared" si="2"/>
        <v>B</v>
      </c>
    </row>
    <row r="1959">
      <c r="A1959" s="2">
        <v>1958.0</v>
      </c>
      <c r="B1959" s="2">
        <v>23217.0</v>
      </c>
      <c r="C1959" s="2" t="s">
        <v>2219</v>
      </c>
      <c r="D1959" s="2">
        <v>1.25</v>
      </c>
      <c r="E1959" s="2">
        <v>654.0</v>
      </c>
      <c r="F1959" s="2">
        <v>806.91</v>
      </c>
      <c r="G1959" s="4">
        <f t="shared" si="3"/>
        <v>8813877.68</v>
      </c>
      <c r="H1959" s="4">
        <f t="shared" si="1"/>
        <v>0.923458892</v>
      </c>
      <c r="I1959" s="4" t="str">
        <f t="shared" si="2"/>
        <v>B</v>
      </c>
    </row>
    <row r="1960">
      <c r="A1960" s="2">
        <v>1959.0</v>
      </c>
      <c r="B1960" s="2" t="s">
        <v>2220</v>
      </c>
      <c r="C1960" s="2" t="s">
        <v>2221</v>
      </c>
      <c r="D1960" s="2">
        <v>1.25</v>
      </c>
      <c r="E1960" s="2">
        <v>1134.0</v>
      </c>
      <c r="F1960" s="2">
        <v>806.16</v>
      </c>
      <c r="G1960" s="4">
        <f t="shared" si="3"/>
        <v>8814683.84</v>
      </c>
      <c r="H1960" s="4">
        <f t="shared" si="1"/>
        <v>0.923543356</v>
      </c>
      <c r="I1960" s="4" t="str">
        <f t="shared" si="2"/>
        <v>B</v>
      </c>
    </row>
    <row r="1961">
      <c r="A1961" s="2">
        <v>1960.0</v>
      </c>
      <c r="B1961" s="2">
        <v>21162.0</v>
      </c>
      <c r="C1961" s="2" t="s">
        <v>2222</v>
      </c>
      <c r="D1961" s="2">
        <v>1.45</v>
      </c>
      <c r="E1961" s="2">
        <v>1160.0</v>
      </c>
      <c r="F1961" s="2">
        <v>806.14</v>
      </c>
      <c r="G1961" s="4">
        <f t="shared" si="3"/>
        <v>8815489.98</v>
      </c>
      <c r="H1961" s="4">
        <f t="shared" si="1"/>
        <v>0.9236278179</v>
      </c>
      <c r="I1961" s="4" t="str">
        <f t="shared" si="2"/>
        <v>B</v>
      </c>
    </row>
    <row r="1962">
      <c r="A1962" s="2">
        <v>1961.0</v>
      </c>
      <c r="B1962" s="2" t="s">
        <v>2223</v>
      </c>
      <c r="C1962" s="2" t="s">
        <v>2224</v>
      </c>
      <c r="D1962" s="2">
        <v>4.65</v>
      </c>
      <c r="E1962" s="2">
        <v>312.0</v>
      </c>
      <c r="F1962" s="2">
        <v>804.26</v>
      </c>
      <c r="G1962" s="4">
        <f t="shared" si="3"/>
        <v>8816294.24</v>
      </c>
      <c r="H1962" s="4">
        <f t="shared" si="1"/>
        <v>0.9237120829</v>
      </c>
      <c r="I1962" s="4" t="str">
        <f t="shared" si="2"/>
        <v>B</v>
      </c>
    </row>
    <row r="1963">
      <c r="A1963" s="2">
        <v>1962.0</v>
      </c>
      <c r="B1963" s="2">
        <v>82615.0</v>
      </c>
      <c r="C1963" s="2" t="s">
        <v>2225</v>
      </c>
      <c r="D1963" s="2">
        <v>2.95</v>
      </c>
      <c r="E1963" s="2">
        <v>292.0</v>
      </c>
      <c r="F1963" s="2">
        <v>803.46</v>
      </c>
      <c r="G1963" s="4">
        <f t="shared" si="3"/>
        <v>8817097.7</v>
      </c>
      <c r="H1963" s="4">
        <f t="shared" si="1"/>
        <v>0.923796264</v>
      </c>
      <c r="I1963" s="4" t="str">
        <f t="shared" si="2"/>
        <v>B</v>
      </c>
    </row>
    <row r="1964">
      <c r="A1964" s="2">
        <v>1963.0</v>
      </c>
      <c r="B1964" s="2">
        <v>23287.0</v>
      </c>
      <c r="C1964" s="2" t="s">
        <v>2226</v>
      </c>
      <c r="D1964" s="2">
        <v>0.85</v>
      </c>
      <c r="E1964" s="2">
        <v>942.0</v>
      </c>
      <c r="F1964" s="2">
        <v>803.4</v>
      </c>
      <c r="G1964" s="4">
        <f t="shared" si="3"/>
        <v>8817901.1</v>
      </c>
      <c r="H1964" s="4">
        <f t="shared" si="1"/>
        <v>0.9238804389</v>
      </c>
      <c r="I1964" s="4" t="str">
        <f t="shared" si="2"/>
        <v>B</v>
      </c>
    </row>
    <row r="1965">
      <c r="A1965" s="2">
        <v>1964.0</v>
      </c>
      <c r="B1965" s="2">
        <v>35241.0</v>
      </c>
      <c r="C1965" s="2" t="s">
        <v>2227</v>
      </c>
      <c r="D1965" s="2">
        <v>4.95</v>
      </c>
      <c r="E1965" s="2">
        <v>152.0</v>
      </c>
      <c r="F1965" s="2">
        <v>803.34</v>
      </c>
      <c r="G1965" s="4">
        <f t="shared" si="3"/>
        <v>8818704.44</v>
      </c>
      <c r="H1965" s="4">
        <f t="shared" si="1"/>
        <v>0.9239646075</v>
      </c>
      <c r="I1965" s="4" t="str">
        <f t="shared" si="2"/>
        <v>B</v>
      </c>
    </row>
    <row r="1966">
      <c r="A1966" s="2">
        <v>1965.0</v>
      </c>
      <c r="B1966" s="2" t="s">
        <v>2228</v>
      </c>
      <c r="C1966" s="2" t="s">
        <v>2229</v>
      </c>
      <c r="D1966" s="2">
        <v>2.1</v>
      </c>
      <c r="E1966" s="2">
        <v>603.0</v>
      </c>
      <c r="F1966" s="2">
        <v>802.78</v>
      </c>
      <c r="G1966" s="4">
        <f t="shared" si="3"/>
        <v>8819507.22</v>
      </c>
      <c r="H1966" s="4">
        <f t="shared" si="1"/>
        <v>0.9240487174</v>
      </c>
      <c r="I1966" s="4" t="str">
        <f t="shared" si="2"/>
        <v>B</v>
      </c>
    </row>
    <row r="1967">
      <c r="A1967" s="2">
        <v>1966.0</v>
      </c>
      <c r="B1967" s="2">
        <v>22517.0</v>
      </c>
      <c r="C1967" s="2" t="s">
        <v>2230</v>
      </c>
      <c r="D1967" s="2">
        <v>2.1</v>
      </c>
      <c r="E1967" s="2">
        <v>406.0</v>
      </c>
      <c r="F1967" s="2">
        <v>802.06</v>
      </c>
      <c r="G1967" s="4">
        <f t="shared" si="3"/>
        <v>8820309.28</v>
      </c>
      <c r="H1967" s="4">
        <f t="shared" si="1"/>
        <v>0.9241327518</v>
      </c>
      <c r="I1967" s="4" t="str">
        <f t="shared" si="2"/>
        <v>B</v>
      </c>
    </row>
    <row r="1968">
      <c r="A1968" s="2">
        <v>1967.0</v>
      </c>
      <c r="B1968" s="2">
        <v>21542.0</v>
      </c>
      <c r="C1968" s="2" t="s">
        <v>2231</v>
      </c>
      <c r="D1968" s="2">
        <v>0.85</v>
      </c>
      <c r="E1968" s="2">
        <v>939.0</v>
      </c>
      <c r="F1968" s="2">
        <v>800.8</v>
      </c>
      <c r="G1968" s="4">
        <f t="shared" si="3"/>
        <v>8821110.08</v>
      </c>
      <c r="H1968" s="4">
        <f t="shared" si="1"/>
        <v>0.9242166543</v>
      </c>
      <c r="I1968" s="4" t="str">
        <f t="shared" si="2"/>
        <v>B</v>
      </c>
    </row>
    <row r="1969">
      <c r="A1969" s="2">
        <v>1968.0</v>
      </c>
      <c r="B1969" s="2">
        <v>21593.0</v>
      </c>
      <c r="C1969" s="2" t="s">
        <v>2232</v>
      </c>
      <c r="D1969" s="2">
        <v>1.25</v>
      </c>
      <c r="E1969" s="2">
        <v>684.0</v>
      </c>
      <c r="F1969" s="2">
        <v>800.28</v>
      </c>
      <c r="G1969" s="4">
        <f t="shared" si="3"/>
        <v>8821910.36</v>
      </c>
      <c r="H1969" s="4">
        <f t="shared" si="1"/>
        <v>0.9243005022</v>
      </c>
      <c r="I1969" s="4" t="str">
        <f t="shared" si="2"/>
        <v>B</v>
      </c>
    </row>
    <row r="1970">
      <c r="A1970" s="2">
        <v>1969.0</v>
      </c>
      <c r="B1970" s="2">
        <v>20802.0</v>
      </c>
      <c r="C1970" s="2" t="s">
        <v>2233</v>
      </c>
      <c r="D1970" s="2">
        <v>1.65</v>
      </c>
      <c r="E1970" s="2">
        <v>526.0</v>
      </c>
      <c r="F1970" s="2">
        <v>798.4</v>
      </c>
      <c r="G1970" s="4">
        <f t="shared" si="3"/>
        <v>8822708.76</v>
      </c>
      <c r="H1970" s="4">
        <f t="shared" si="1"/>
        <v>0.9243841532</v>
      </c>
      <c r="I1970" s="4" t="str">
        <f t="shared" si="2"/>
        <v>B</v>
      </c>
    </row>
    <row r="1971">
      <c r="A1971" s="2">
        <v>1970.0</v>
      </c>
      <c r="B1971" s="2">
        <v>21332.0</v>
      </c>
      <c r="C1971" s="2" t="s">
        <v>2234</v>
      </c>
      <c r="D1971" s="2">
        <v>12.75</v>
      </c>
      <c r="E1971" s="2">
        <v>129.0</v>
      </c>
      <c r="F1971" s="2">
        <v>798.38</v>
      </c>
      <c r="G1971" s="4">
        <f t="shared" si="3"/>
        <v>8823507.14</v>
      </c>
      <c r="H1971" s="4">
        <f t="shared" si="1"/>
        <v>0.9244678021</v>
      </c>
      <c r="I1971" s="4" t="str">
        <f t="shared" si="2"/>
        <v>B</v>
      </c>
    </row>
    <row r="1972">
      <c r="A1972" s="2">
        <v>1971.0</v>
      </c>
      <c r="B1972" s="2">
        <v>21550.0</v>
      </c>
      <c r="C1972" s="2" t="s">
        <v>2235</v>
      </c>
      <c r="D1972" s="2">
        <v>5.95</v>
      </c>
      <c r="E1972" s="2">
        <v>150.0</v>
      </c>
      <c r="F1972" s="2">
        <v>797.63</v>
      </c>
      <c r="G1972" s="4">
        <f t="shared" si="3"/>
        <v>8824304.77</v>
      </c>
      <c r="H1972" s="4">
        <f t="shared" si="1"/>
        <v>0.9245513724</v>
      </c>
      <c r="I1972" s="4" t="str">
        <f t="shared" si="2"/>
        <v>B</v>
      </c>
    </row>
    <row r="1973">
      <c r="A1973" s="2">
        <v>1972.0</v>
      </c>
      <c r="B1973" s="2" t="s">
        <v>2236</v>
      </c>
      <c r="C1973" s="2" t="s">
        <v>2237</v>
      </c>
      <c r="D1973" s="2">
        <v>3.36</v>
      </c>
      <c r="E1973" s="2">
        <v>210.0</v>
      </c>
      <c r="F1973" s="2">
        <v>796.64</v>
      </c>
      <c r="G1973" s="4">
        <f t="shared" si="3"/>
        <v>8825101.41</v>
      </c>
      <c r="H1973" s="4">
        <f t="shared" si="1"/>
        <v>0.924634839</v>
      </c>
      <c r="I1973" s="4" t="str">
        <f t="shared" si="2"/>
        <v>B</v>
      </c>
    </row>
    <row r="1974">
      <c r="A1974" s="2">
        <v>1973.0</v>
      </c>
      <c r="B1974" s="2">
        <v>21694.0</v>
      </c>
      <c r="C1974" s="2" t="s">
        <v>2238</v>
      </c>
      <c r="D1974" s="2">
        <v>2.95</v>
      </c>
      <c r="E1974" s="2">
        <v>278.0</v>
      </c>
      <c r="F1974" s="2">
        <v>796.58</v>
      </c>
      <c r="G1974" s="4">
        <f t="shared" si="3"/>
        <v>8825897.99</v>
      </c>
      <c r="H1974" s="4">
        <f t="shared" si="1"/>
        <v>0.9247182993</v>
      </c>
      <c r="I1974" s="4" t="str">
        <f t="shared" si="2"/>
        <v>B</v>
      </c>
    </row>
    <row r="1975">
      <c r="A1975" s="2">
        <v>1974.0</v>
      </c>
      <c r="B1975" s="2">
        <v>35160.0</v>
      </c>
      <c r="C1975" s="2" t="s">
        <v>2239</v>
      </c>
      <c r="D1975" s="2">
        <v>0.85</v>
      </c>
      <c r="E1975" s="2">
        <v>1090.0</v>
      </c>
      <c r="F1975" s="2">
        <v>795.32</v>
      </c>
      <c r="G1975" s="4">
        <f t="shared" si="3"/>
        <v>8826693.31</v>
      </c>
      <c r="H1975" s="4">
        <f t="shared" si="1"/>
        <v>0.9248016276</v>
      </c>
      <c r="I1975" s="4" t="str">
        <f t="shared" si="2"/>
        <v>B</v>
      </c>
    </row>
    <row r="1976">
      <c r="A1976" s="2">
        <v>1975.0</v>
      </c>
      <c r="B1976" s="2">
        <v>22103.0</v>
      </c>
      <c r="C1976" s="2" t="s">
        <v>2240</v>
      </c>
      <c r="D1976" s="2">
        <v>1.65</v>
      </c>
      <c r="E1976" s="2">
        <v>642.0</v>
      </c>
      <c r="F1976" s="2">
        <v>793.18</v>
      </c>
      <c r="G1976" s="4">
        <f t="shared" si="3"/>
        <v>8827486.49</v>
      </c>
      <c r="H1976" s="4">
        <f t="shared" si="1"/>
        <v>0.9248847317</v>
      </c>
      <c r="I1976" s="4" t="str">
        <f t="shared" si="2"/>
        <v>B</v>
      </c>
    </row>
    <row r="1977">
      <c r="A1977" s="2">
        <v>1976.0</v>
      </c>
      <c r="B1977" s="2">
        <v>22260.0</v>
      </c>
      <c r="C1977" s="2" t="s">
        <v>2241</v>
      </c>
      <c r="D1977" s="2">
        <v>1.63</v>
      </c>
      <c r="E1977" s="2">
        <v>773.0</v>
      </c>
      <c r="F1977" s="2">
        <v>792.71</v>
      </c>
      <c r="G1977" s="4">
        <f t="shared" si="3"/>
        <v>8828279.2</v>
      </c>
      <c r="H1977" s="4">
        <f t="shared" si="1"/>
        <v>0.9249677865</v>
      </c>
      <c r="I1977" s="4" t="str">
        <f t="shared" si="2"/>
        <v>B</v>
      </c>
    </row>
    <row r="1978">
      <c r="A1978" s="2">
        <v>1977.0</v>
      </c>
      <c r="B1978" s="2" t="s">
        <v>2242</v>
      </c>
      <c r="C1978" s="2" t="s">
        <v>2243</v>
      </c>
      <c r="D1978" s="2">
        <v>2.1</v>
      </c>
      <c r="E1978" s="2">
        <v>424.0</v>
      </c>
      <c r="F1978" s="2">
        <v>792.53</v>
      </c>
      <c r="G1978" s="4">
        <f t="shared" si="3"/>
        <v>8829071.73</v>
      </c>
      <c r="H1978" s="4">
        <f t="shared" si="1"/>
        <v>0.9250508225</v>
      </c>
      <c r="I1978" s="4" t="str">
        <f t="shared" si="2"/>
        <v>B</v>
      </c>
    </row>
    <row r="1979">
      <c r="A1979" s="2">
        <v>1978.0</v>
      </c>
      <c r="B1979" s="2">
        <v>90167.0</v>
      </c>
      <c r="C1979" s="2" t="s">
        <v>2244</v>
      </c>
      <c r="D1979" s="2">
        <v>0.85</v>
      </c>
      <c r="E1979" s="2">
        <v>948.0</v>
      </c>
      <c r="F1979" s="2">
        <v>791.8</v>
      </c>
      <c r="G1979" s="4">
        <f t="shared" si="3"/>
        <v>8829863.53</v>
      </c>
      <c r="H1979" s="4">
        <f t="shared" si="1"/>
        <v>0.9251337819</v>
      </c>
      <c r="I1979" s="4" t="str">
        <f t="shared" si="2"/>
        <v>B</v>
      </c>
    </row>
    <row r="1980">
      <c r="A1980" s="2">
        <v>1979.0</v>
      </c>
      <c r="B1980" s="2">
        <v>21383.0</v>
      </c>
      <c r="C1980" s="2" t="s">
        <v>2245</v>
      </c>
      <c r="D1980" s="2">
        <v>0.65</v>
      </c>
      <c r="E1980" s="2">
        <v>1096.0</v>
      </c>
      <c r="F1980" s="2">
        <v>791.64</v>
      </c>
      <c r="G1980" s="4">
        <f t="shared" si="3"/>
        <v>8830655.17</v>
      </c>
      <c r="H1980" s="4">
        <f t="shared" si="1"/>
        <v>0.9252167247</v>
      </c>
      <c r="I1980" s="4" t="str">
        <f t="shared" si="2"/>
        <v>B</v>
      </c>
    </row>
    <row r="1981">
      <c r="A1981" s="2">
        <v>1980.0</v>
      </c>
      <c r="B1981" s="2">
        <v>21867.0</v>
      </c>
      <c r="C1981" s="2" t="s">
        <v>2246</v>
      </c>
      <c r="D1981" s="2">
        <v>1.25</v>
      </c>
      <c r="E1981" s="2">
        <v>580.0</v>
      </c>
      <c r="F1981" s="2">
        <v>791.44</v>
      </c>
      <c r="G1981" s="4">
        <f t="shared" si="3"/>
        <v>8831446.61</v>
      </c>
      <c r="H1981" s="4">
        <f t="shared" si="1"/>
        <v>0.9252996464</v>
      </c>
      <c r="I1981" s="4" t="str">
        <f t="shared" si="2"/>
        <v>B</v>
      </c>
    </row>
    <row r="1982">
      <c r="A1982" s="2">
        <v>1981.0</v>
      </c>
      <c r="B1982" s="2">
        <v>85222.0</v>
      </c>
      <c r="C1982" s="2" t="s">
        <v>2247</v>
      </c>
      <c r="D1982" s="2">
        <v>2.1</v>
      </c>
      <c r="E1982" s="2">
        <v>704.0</v>
      </c>
      <c r="F1982" s="2">
        <v>790.89</v>
      </c>
      <c r="G1982" s="4">
        <f t="shared" si="3"/>
        <v>8832237.5</v>
      </c>
      <c r="H1982" s="4">
        <f t="shared" si="1"/>
        <v>0.9253825106</v>
      </c>
      <c r="I1982" s="4" t="str">
        <f t="shared" si="2"/>
        <v>B</v>
      </c>
    </row>
    <row r="1983">
      <c r="A1983" s="2">
        <v>1982.0</v>
      </c>
      <c r="B1983" s="2">
        <v>23369.0</v>
      </c>
      <c r="C1983" s="2" t="s">
        <v>2248</v>
      </c>
      <c r="D1983" s="2">
        <v>1.25</v>
      </c>
      <c r="E1983" s="2">
        <v>552.0</v>
      </c>
      <c r="F1983" s="2">
        <v>790.53</v>
      </c>
      <c r="G1983" s="4">
        <f t="shared" si="3"/>
        <v>8833028.03</v>
      </c>
      <c r="H1983" s="4">
        <f t="shared" si="1"/>
        <v>0.925465337</v>
      </c>
      <c r="I1983" s="4" t="str">
        <f t="shared" si="2"/>
        <v>B</v>
      </c>
    </row>
    <row r="1984">
      <c r="A1984" s="2">
        <v>1983.0</v>
      </c>
      <c r="B1984" s="2">
        <v>22099.0</v>
      </c>
      <c r="C1984" s="2" t="s">
        <v>2249</v>
      </c>
      <c r="D1984" s="2">
        <v>1.25</v>
      </c>
      <c r="E1984" s="2">
        <v>1060.0</v>
      </c>
      <c r="F1984" s="2">
        <v>788.51</v>
      </c>
      <c r="G1984" s="4">
        <f t="shared" si="3"/>
        <v>8833816.54</v>
      </c>
      <c r="H1984" s="4">
        <f t="shared" si="1"/>
        <v>0.9255479518</v>
      </c>
      <c r="I1984" s="4" t="str">
        <f t="shared" si="2"/>
        <v>B</v>
      </c>
    </row>
    <row r="1985">
      <c r="A1985" s="2">
        <v>1984.0</v>
      </c>
      <c r="B1985" s="2">
        <v>21675.0</v>
      </c>
      <c r="C1985" s="2" t="s">
        <v>2250</v>
      </c>
      <c r="D1985" s="2">
        <v>0.85</v>
      </c>
      <c r="E1985" s="2">
        <v>891.0</v>
      </c>
      <c r="F1985" s="2">
        <v>788.42</v>
      </c>
      <c r="G1985" s="4">
        <f t="shared" si="3"/>
        <v>8834604.96</v>
      </c>
      <c r="H1985" s="4">
        <f t="shared" si="1"/>
        <v>0.9256305571</v>
      </c>
      <c r="I1985" s="4" t="str">
        <f t="shared" si="2"/>
        <v>B</v>
      </c>
    </row>
    <row r="1986">
      <c r="A1986" s="2">
        <v>1985.0</v>
      </c>
      <c r="B1986" s="2">
        <v>21631.0</v>
      </c>
      <c r="C1986" s="2" t="s">
        <v>2251</v>
      </c>
      <c r="D1986" s="2">
        <v>12.75</v>
      </c>
      <c r="E1986" s="2">
        <v>110.0</v>
      </c>
      <c r="F1986" s="2">
        <v>785.88</v>
      </c>
      <c r="G1986" s="4">
        <f t="shared" si="3"/>
        <v>8835390.84</v>
      </c>
      <c r="H1986" s="4">
        <f t="shared" si="1"/>
        <v>0.9257128963</v>
      </c>
      <c r="I1986" s="4" t="str">
        <f t="shared" si="2"/>
        <v>B</v>
      </c>
    </row>
    <row r="1987">
      <c r="A1987" s="2">
        <v>1986.0</v>
      </c>
      <c r="B1987" s="2">
        <v>21092.0</v>
      </c>
      <c r="C1987" s="2" t="s">
        <v>2252</v>
      </c>
      <c r="D1987" s="2">
        <v>0.85</v>
      </c>
      <c r="E1987" s="2">
        <v>6423.0</v>
      </c>
      <c r="F1987" s="2">
        <v>785.75</v>
      </c>
      <c r="G1987" s="4">
        <f t="shared" si="3"/>
        <v>8836176.59</v>
      </c>
      <c r="H1987" s="4">
        <f t="shared" si="1"/>
        <v>0.925795222</v>
      </c>
      <c r="I1987" s="4" t="str">
        <f t="shared" si="2"/>
        <v>B</v>
      </c>
    </row>
    <row r="1988">
      <c r="A1988" s="2">
        <v>1987.0</v>
      </c>
      <c r="B1988" s="2" t="s">
        <v>2253</v>
      </c>
      <c r="C1988" s="2" t="s">
        <v>2254</v>
      </c>
      <c r="D1988" s="2">
        <v>4.25</v>
      </c>
      <c r="E1988" s="2">
        <v>364.0</v>
      </c>
      <c r="F1988" s="2">
        <v>785.25</v>
      </c>
      <c r="G1988" s="4">
        <f t="shared" si="3"/>
        <v>8836961.84</v>
      </c>
      <c r="H1988" s="4">
        <f t="shared" si="1"/>
        <v>0.9258774952</v>
      </c>
      <c r="I1988" s="4" t="str">
        <f t="shared" si="2"/>
        <v>B</v>
      </c>
    </row>
    <row r="1989">
      <c r="A1989" s="2">
        <v>1988.0</v>
      </c>
      <c r="B1989" s="2">
        <v>22705.0</v>
      </c>
      <c r="C1989" s="2" t="s">
        <v>2255</v>
      </c>
      <c r="D1989" s="2">
        <v>0.42</v>
      </c>
      <c r="E1989" s="2">
        <v>1866.0</v>
      </c>
      <c r="F1989" s="2">
        <v>783.93</v>
      </c>
      <c r="G1989" s="4">
        <f t="shared" si="3"/>
        <v>8837745.77</v>
      </c>
      <c r="H1989" s="4">
        <f t="shared" si="1"/>
        <v>0.9259596301</v>
      </c>
      <c r="I1989" s="4" t="str">
        <f t="shared" si="2"/>
        <v>B</v>
      </c>
    </row>
    <row r="1990">
      <c r="A1990" s="2">
        <v>1989.0</v>
      </c>
      <c r="B1990" s="2" t="s">
        <v>2256</v>
      </c>
      <c r="C1990" s="2" t="s">
        <v>2257</v>
      </c>
      <c r="D1990" s="2">
        <v>13.0</v>
      </c>
      <c r="E1990" s="2">
        <v>254.0</v>
      </c>
      <c r="F1990" s="2">
        <v>783.5</v>
      </c>
      <c r="G1990" s="4">
        <f t="shared" si="3"/>
        <v>8838529.27</v>
      </c>
      <c r="H1990" s="4">
        <f t="shared" si="1"/>
        <v>0.92604172</v>
      </c>
      <c r="I1990" s="4" t="str">
        <f t="shared" si="2"/>
        <v>B</v>
      </c>
    </row>
    <row r="1991">
      <c r="A1991" s="2">
        <v>1990.0</v>
      </c>
      <c r="B1991" s="2">
        <v>21610.0</v>
      </c>
      <c r="C1991" s="2" t="s">
        <v>2258</v>
      </c>
      <c r="D1991" s="2">
        <v>2.95</v>
      </c>
      <c r="E1991" s="2">
        <v>274.0</v>
      </c>
      <c r="F1991" s="2">
        <v>782.16</v>
      </c>
      <c r="G1991" s="4">
        <f t="shared" si="3"/>
        <v>8839311.43</v>
      </c>
      <c r="H1991" s="4">
        <f t="shared" si="1"/>
        <v>0.9261236694</v>
      </c>
      <c r="I1991" s="4" t="str">
        <f t="shared" si="2"/>
        <v>B</v>
      </c>
    </row>
    <row r="1992">
      <c r="A1992" s="2">
        <v>1991.0</v>
      </c>
      <c r="B1992" s="2">
        <v>21972.0</v>
      </c>
      <c r="C1992" s="2" t="s">
        <v>2259</v>
      </c>
      <c r="D1992" s="2">
        <v>1.45</v>
      </c>
      <c r="E1992" s="2">
        <v>528.0</v>
      </c>
      <c r="F1992" s="2">
        <v>780.41</v>
      </c>
      <c r="G1992" s="4">
        <f t="shared" si="3"/>
        <v>8840091.84</v>
      </c>
      <c r="H1992" s="4">
        <f t="shared" si="1"/>
        <v>0.9262054355</v>
      </c>
      <c r="I1992" s="4" t="str">
        <f t="shared" si="2"/>
        <v>B</v>
      </c>
    </row>
    <row r="1993">
      <c r="A1993" s="2">
        <v>1992.0</v>
      </c>
      <c r="B1993" s="2">
        <v>21711.0</v>
      </c>
      <c r="C1993" s="2" t="s">
        <v>2260</v>
      </c>
      <c r="D1993" s="2">
        <v>4.95</v>
      </c>
      <c r="E1993" s="2">
        <v>192.0</v>
      </c>
      <c r="F1993" s="2">
        <v>780.3</v>
      </c>
      <c r="G1993" s="4">
        <f t="shared" si="3"/>
        <v>8840872.14</v>
      </c>
      <c r="H1993" s="4">
        <f t="shared" si="1"/>
        <v>0.9262871901</v>
      </c>
      <c r="I1993" s="4" t="str">
        <f t="shared" si="2"/>
        <v>B</v>
      </c>
    </row>
    <row r="1994">
      <c r="A1994" s="2">
        <v>1993.0</v>
      </c>
      <c r="B1994" s="2">
        <v>21276.0</v>
      </c>
      <c r="C1994" s="2" t="s">
        <v>2261</v>
      </c>
      <c r="D1994" s="2">
        <v>1.95</v>
      </c>
      <c r="E1994" s="2">
        <v>338.0</v>
      </c>
      <c r="F1994" s="2">
        <v>779.47</v>
      </c>
      <c r="G1994" s="4">
        <f t="shared" si="3"/>
        <v>8841651.61</v>
      </c>
      <c r="H1994" s="4">
        <f t="shared" si="1"/>
        <v>0.9263688578</v>
      </c>
      <c r="I1994" s="4" t="str">
        <f t="shared" si="2"/>
        <v>B</v>
      </c>
    </row>
    <row r="1995">
      <c r="A1995" s="2">
        <v>1994.0</v>
      </c>
      <c r="B1995" s="2">
        <v>22786.0</v>
      </c>
      <c r="C1995" s="2" t="s">
        <v>2262</v>
      </c>
      <c r="D1995" s="2">
        <v>5.95</v>
      </c>
      <c r="E1995" s="2">
        <v>124.0</v>
      </c>
      <c r="F1995" s="2">
        <v>777.52</v>
      </c>
      <c r="G1995" s="4">
        <f t="shared" si="3"/>
        <v>8842429.13</v>
      </c>
      <c r="H1995" s="4">
        <f t="shared" si="1"/>
        <v>0.9264503211</v>
      </c>
      <c r="I1995" s="4" t="str">
        <f t="shared" si="2"/>
        <v>B</v>
      </c>
    </row>
    <row r="1996">
      <c r="A1996" s="2">
        <v>1995.0</v>
      </c>
      <c r="B1996" s="2">
        <v>22673.0</v>
      </c>
      <c r="C1996" s="2" t="s">
        <v>2263</v>
      </c>
      <c r="D1996" s="2">
        <v>1.25</v>
      </c>
      <c r="E1996" s="2">
        <v>608.0</v>
      </c>
      <c r="F1996" s="2">
        <v>777.24</v>
      </c>
      <c r="G1996" s="4">
        <f t="shared" si="3"/>
        <v>8843206.37</v>
      </c>
      <c r="H1996" s="4">
        <f t="shared" si="1"/>
        <v>0.9265317551</v>
      </c>
      <c r="I1996" s="4" t="str">
        <f t="shared" si="2"/>
        <v>B</v>
      </c>
    </row>
    <row r="1997">
      <c r="A1997" s="2">
        <v>1996.0</v>
      </c>
      <c r="B1997" s="2" t="s">
        <v>2264</v>
      </c>
      <c r="C1997" s="2" t="s">
        <v>2265</v>
      </c>
      <c r="D1997" s="2">
        <v>0.85</v>
      </c>
      <c r="E1997" s="2">
        <v>904.0</v>
      </c>
      <c r="F1997" s="2">
        <v>776.06</v>
      </c>
      <c r="G1997" s="4">
        <f t="shared" si="3"/>
        <v>8843982.43</v>
      </c>
      <c r="H1997" s="4">
        <f t="shared" si="1"/>
        <v>0.9266130654</v>
      </c>
      <c r="I1997" s="4" t="str">
        <f t="shared" si="2"/>
        <v>B</v>
      </c>
    </row>
    <row r="1998">
      <c r="A1998" s="2">
        <v>1997.0</v>
      </c>
      <c r="B1998" s="2">
        <v>84789.0</v>
      </c>
      <c r="C1998" s="2" t="s">
        <v>2266</v>
      </c>
      <c r="D1998" s="2">
        <v>3.75</v>
      </c>
      <c r="E1998" s="2">
        <v>222.0</v>
      </c>
      <c r="F1998" s="2">
        <v>775.44</v>
      </c>
      <c r="G1998" s="4">
        <f t="shared" si="3"/>
        <v>8844757.87</v>
      </c>
      <c r="H1998" s="4">
        <f t="shared" si="1"/>
        <v>0.9266943108</v>
      </c>
      <c r="I1998" s="4" t="str">
        <f t="shared" si="2"/>
        <v>B</v>
      </c>
    </row>
    <row r="1999">
      <c r="A1999" s="2">
        <v>1998.0</v>
      </c>
      <c r="B1999" s="2">
        <v>21289.0</v>
      </c>
      <c r="C1999" s="2" t="s">
        <v>2267</v>
      </c>
      <c r="D1999" s="2">
        <v>1.25</v>
      </c>
      <c r="E1999" s="2">
        <v>707.0</v>
      </c>
      <c r="F1999" s="2">
        <v>775.28</v>
      </c>
      <c r="G1999" s="4">
        <f t="shared" si="3"/>
        <v>8845533.15</v>
      </c>
      <c r="H1999" s="4">
        <f t="shared" si="1"/>
        <v>0.9267755395</v>
      </c>
      <c r="I1999" s="4" t="str">
        <f t="shared" si="2"/>
        <v>B</v>
      </c>
    </row>
    <row r="2000">
      <c r="A2000" s="2">
        <v>1999.0</v>
      </c>
      <c r="B2000" s="2">
        <v>22608.0</v>
      </c>
      <c r="C2000" s="2" t="s">
        <v>2268</v>
      </c>
      <c r="D2000" s="2">
        <v>0.42</v>
      </c>
      <c r="E2000" s="2">
        <v>2868.0</v>
      </c>
      <c r="F2000" s="2">
        <v>775.02</v>
      </c>
      <c r="G2000" s="4">
        <f t="shared" si="3"/>
        <v>8846308.17</v>
      </c>
      <c r="H2000" s="4">
        <f t="shared" si="1"/>
        <v>0.9268567408</v>
      </c>
      <c r="I2000" s="4" t="str">
        <f t="shared" si="2"/>
        <v>B</v>
      </c>
    </row>
    <row r="2001">
      <c r="A2001" s="2">
        <v>2000.0</v>
      </c>
      <c r="B2001" s="2">
        <v>22681.0</v>
      </c>
      <c r="C2001" s="2" t="s">
        <v>2269</v>
      </c>
      <c r="D2001" s="2">
        <v>1.25</v>
      </c>
      <c r="E2001" s="2">
        <v>579.0</v>
      </c>
      <c r="F2001" s="2">
        <v>774.14</v>
      </c>
      <c r="G2001" s="4">
        <f t="shared" si="3"/>
        <v>8847082.31</v>
      </c>
      <c r="H2001" s="4">
        <f t="shared" si="1"/>
        <v>0.92693785</v>
      </c>
      <c r="I2001" s="4" t="str">
        <f t="shared" si="2"/>
        <v>B</v>
      </c>
    </row>
    <row r="2002">
      <c r="A2002" s="2">
        <v>2001.0</v>
      </c>
      <c r="B2002" s="2">
        <v>21579.0</v>
      </c>
      <c r="C2002" s="2" t="s">
        <v>2270</v>
      </c>
      <c r="D2002" s="2">
        <v>2.25</v>
      </c>
      <c r="E2002" s="2">
        <v>512.0</v>
      </c>
      <c r="F2002" s="2">
        <v>773.68</v>
      </c>
      <c r="G2002" s="4">
        <f t="shared" si="3"/>
        <v>8847855.99</v>
      </c>
      <c r="H2002" s="4">
        <f t="shared" si="1"/>
        <v>0.927018911</v>
      </c>
      <c r="I2002" s="4" t="str">
        <f t="shared" si="2"/>
        <v>B</v>
      </c>
    </row>
    <row r="2003">
      <c r="A2003" s="2">
        <v>2002.0</v>
      </c>
      <c r="B2003" s="2">
        <v>21925.0</v>
      </c>
      <c r="C2003" s="2" t="s">
        <v>2271</v>
      </c>
      <c r="D2003" s="2">
        <v>1.25</v>
      </c>
      <c r="E2003" s="2">
        <v>594.0</v>
      </c>
      <c r="F2003" s="2">
        <v>773.66</v>
      </c>
      <c r="G2003" s="4">
        <f t="shared" si="3"/>
        <v>8848629.65</v>
      </c>
      <c r="H2003" s="4">
        <f t="shared" si="1"/>
        <v>0.9270999699</v>
      </c>
      <c r="I2003" s="4" t="str">
        <f t="shared" si="2"/>
        <v>B</v>
      </c>
    </row>
    <row r="2004">
      <c r="A2004" s="2">
        <v>2003.0</v>
      </c>
      <c r="B2004" s="2">
        <v>75131.0</v>
      </c>
      <c r="C2004" s="2" t="s">
        <v>2272</v>
      </c>
      <c r="D2004" s="2">
        <v>1.69</v>
      </c>
      <c r="E2004" s="2">
        <v>608.0</v>
      </c>
      <c r="F2004" s="2">
        <v>771.52</v>
      </c>
      <c r="G2004" s="4">
        <f t="shared" si="3"/>
        <v>8849401.17</v>
      </c>
      <c r="H2004" s="4">
        <f t="shared" si="1"/>
        <v>0.9271808046</v>
      </c>
      <c r="I2004" s="4" t="str">
        <f t="shared" si="2"/>
        <v>B</v>
      </c>
    </row>
    <row r="2005">
      <c r="A2005" s="2">
        <v>2004.0</v>
      </c>
      <c r="B2005" s="2">
        <v>21426.0</v>
      </c>
      <c r="C2005" s="2" t="s">
        <v>2273</v>
      </c>
      <c r="D2005" s="2">
        <v>2.1</v>
      </c>
      <c r="E2005" s="2">
        <v>486.0</v>
      </c>
      <c r="F2005" s="2">
        <v>770.74</v>
      </c>
      <c r="G2005" s="4">
        <f t="shared" si="3"/>
        <v>8850171.91</v>
      </c>
      <c r="H2005" s="4">
        <f t="shared" si="1"/>
        <v>0.9272615576</v>
      </c>
      <c r="I2005" s="4" t="str">
        <f t="shared" si="2"/>
        <v>B</v>
      </c>
    </row>
    <row r="2006">
      <c r="A2006" s="2">
        <v>2005.0</v>
      </c>
      <c r="B2006" s="2" t="s">
        <v>2274</v>
      </c>
      <c r="C2006" s="2" t="s">
        <v>2275</v>
      </c>
      <c r="D2006" s="2">
        <v>0.42</v>
      </c>
      <c r="E2006" s="2">
        <v>1728.0</v>
      </c>
      <c r="F2006" s="2">
        <v>770.66</v>
      </c>
      <c r="G2006" s="4">
        <f t="shared" si="3"/>
        <v>8850942.57</v>
      </c>
      <c r="H2006" s="4">
        <f t="shared" si="1"/>
        <v>0.9273423021</v>
      </c>
      <c r="I2006" s="4" t="str">
        <f t="shared" si="2"/>
        <v>B</v>
      </c>
    </row>
    <row r="2007">
      <c r="A2007" s="2">
        <v>2006.0</v>
      </c>
      <c r="B2007" s="2">
        <v>20766.0</v>
      </c>
      <c r="C2007" s="2" t="s">
        <v>2276</v>
      </c>
      <c r="D2007" s="2">
        <v>3.75</v>
      </c>
      <c r="E2007" s="2">
        <v>258.0</v>
      </c>
      <c r="F2007" s="2">
        <v>770.48</v>
      </c>
      <c r="G2007" s="4">
        <f t="shared" si="3"/>
        <v>8851713.05</v>
      </c>
      <c r="H2007" s="4">
        <f t="shared" si="1"/>
        <v>0.9274230279</v>
      </c>
      <c r="I2007" s="4" t="str">
        <f t="shared" si="2"/>
        <v>B</v>
      </c>
    </row>
    <row r="2008">
      <c r="A2008" s="2">
        <v>2007.0</v>
      </c>
      <c r="B2008" s="2">
        <v>20735.0</v>
      </c>
      <c r="C2008" s="2" t="s">
        <v>2277</v>
      </c>
      <c r="D2008" s="2">
        <v>0.85</v>
      </c>
      <c r="E2008" s="2">
        <v>758.0</v>
      </c>
      <c r="F2008" s="2">
        <v>770.14</v>
      </c>
      <c r="G2008" s="4">
        <f t="shared" si="3"/>
        <v>8852483.19</v>
      </c>
      <c r="H2008" s="4">
        <f t="shared" si="1"/>
        <v>0.927503718</v>
      </c>
      <c r="I2008" s="4" t="str">
        <f t="shared" si="2"/>
        <v>B</v>
      </c>
    </row>
    <row r="2009">
      <c r="A2009" s="2">
        <v>2008.0</v>
      </c>
      <c r="B2009" s="2" t="s">
        <v>2278</v>
      </c>
      <c r="C2009" s="2" t="s">
        <v>2279</v>
      </c>
      <c r="D2009" s="2">
        <v>7.95</v>
      </c>
      <c r="E2009" s="2">
        <v>94.0</v>
      </c>
      <c r="F2009" s="2">
        <v>769.4</v>
      </c>
      <c r="G2009" s="4">
        <f t="shared" si="3"/>
        <v>8853252.59</v>
      </c>
      <c r="H2009" s="4">
        <f t="shared" si="1"/>
        <v>0.9275843305</v>
      </c>
      <c r="I2009" s="4" t="str">
        <f t="shared" si="2"/>
        <v>B</v>
      </c>
    </row>
    <row r="2010">
      <c r="A2010" s="2">
        <v>2009.0</v>
      </c>
      <c r="B2010" s="2" t="s">
        <v>2280</v>
      </c>
      <c r="C2010" s="2" t="s">
        <v>2281</v>
      </c>
      <c r="D2010" s="2">
        <v>6.75</v>
      </c>
      <c r="E2010" s="2">
        <v>119.0</v>
      </c>
      <c r="F2010" s="2">
        <v>769.35</v>
      </c>
      <c r="G2010" s="4">
        <f t="shared" si="3"/>
        <v>8854021.94</v>
      </c>
      <c r="H2010" s="4">
        <f t="shared" si="1"/>
        <v>0.9276649378</v>
      </c>
      <c r="I2010" s="4" t="str">
        <f t="shared" si="2"/>
        <v>B</v>
      </c>
    </row>
    <row r="2011">
      <c r="A2011" s="2">
        <v>2010.0</v>
      </c>
      <c r="B2011" s="2">
        <v>21146.0</v>
      </c>
      <c r="C2011" s="2" t="s">
        <v>2282</v>
      </c>
      <c r="D2011" s="2">
        <v>1.95</v>
      </c>
      <c r="E2011" s="2">
        <v>400.0</v>
      </c>
      <c r="F2011" s="2">
        <v>768.54</v>
      </c>
      <c r="G2011" s="4">
        <f t="shared" si="3"/>
        <v>8854790.48</v>
      </c>
      <c r="H2011" s="4">
        <f t="shared" si="1"/>
        <v>0.9277454603</v>
      </c>
      <c r="I2011" s="4" t="str">
        <f t="shared" si="2"/>
        <v>B</v>
      </c>
    </row>
    <row r="2012">
      <c r="A2012" s="2">
        <v>2011.0</v>
      </c>
      <c r="B2012" s="2">
        <v>20768.0</v>
      </c>
      <c r="C2012" s="2" t="s">
        <v>2283</v>
      </c>
      <c r="D2012" s="2">
        <v>2.55</v>
      </c>
      <c r="E2012" s="2">
        <v>384.0</v>
      </c>
      <c r="F2012" s="2">
        <v>768.37</v>
      </c>
      <c r="G2012" s="4">
        <f t="shared" si="3"/>
        <v>8855558.85</v>
      </c>
      <c r="H2012" s="4">
        <f t="shared" si="1"/>
        <v>0.9278259649</v>
      </c>
      <c r="I2012" s="4" t="str">
        <f t="shared" si="2"/>
        <v>B</v>
      </c>
    </row>
    <row r="2013">
      <c r="A2013" s="2">
        <v>2012.0</v>
      </c>
      <c r="B2013" s="2">
        <v>23226.0</v>
      </c>
      <c r="C2013" s="2" t="s">
        <v>2284</v>
      </c>
      <c r="D2013" s="2">
        <v>1.25</v>
      </c>
      <c r="E2013" s="2">
        <v>600.0</v>
      </c>
      <c r="F2013" s="2">
        <v>768.34</v>
      </c>
      <c r="G2013" s="4">
        <f t="shared" si="3"/>
        <v>8856327.19</v>
      </c>
      <c r="H2013" s="4">
        <f t="shared" si="1"/>
        <v>0.9279064665</v>
      </c>
      <c r="I2013" s="4" t="str">
        <f t="shared" si="2"/>
        <v>B</v>
      </c>
    </row>
    <row r="2014">
      <c r="A2014" s="2">
        <v>2013.0</v>
      </c>
      <c r="B2014" s="2">
        <v>85221.0</v>
      </c>
      <c r="C2014" s="2" t="s">
        <v>2285</v>
      </c>
      <c r="D2014" s="2">
        <v>1.25</v>
      </c>
      <c r="E2014" s="2">
        <v>1719.0</v>
      </c>
      <c r="F2014" s="2">
        <v>767.73</v>
      </c>
      <c r="G2014" s="4">
        <f t="shared" si="3"/>
        <v>8857094.92</v>
      </c>
      <c r="H2014" s="4">
        <f t="shared" si="1"/>
        <v>0.927986904</v>
      </c>
      <c r="I2014" s="4" t="str">
        <f t="shared" si="2"/>
        <v>B</v>
      </c>
    </row>
    <row r="2015">
      <c r="A2015" s="2">
        <v>2014.0</v>
      </c>
      <c r="B2015" s="2">
        <v>23524.0</v>
      </c>
      <c r="C2015" s="2" t="s">
        <v>2286</v>
      </c>
      <c r="D2015" s="2">
        <v>3.75</v>
      </c>
      <c r="E2015" s="2">
        <v>238.0</v>
      </c>
      <c r="F2015" s="2">
        <v>767.56</v>
      </c>
      <c r="G2015" s="4">
        <f t="shared" si="3"/>
        <v>8857862.48</v>
      </c>
      <c r="H2015" s="4">
        <f t="shared" si="1"/>
        <v>0.9280673238</v>
      </c>
      <c r="I2015" s="4" t="str">
        <f t="shared" si="2"/>
        <v>B</v>
      </c>
    </row>
    <row r="2016">
      <c r="A2016" s="2">
        <v>2015.0</v>
      </c>
      <c r="B2016" s="2">
        <v>20986.0</v>
      </c>
      <c r="C2016" s="2" t="s">
        <v>2287</v>
      </c>
      <c r="D2016" s="2">
        <v>1.25</v>
      </c>
      <c r="E2016" s="2">
        <v>610.0</v>
      </c>
      <c r="F2016" s="2">
        <v>767.35</v>
      </c>
      <c r="G2016" s="4">
        <f t="shared" si="3"/>
        <v>8858629.83</v>
      </c>
      <c r="H2016" s="4">
        <f t="shared" si="1"/>
        <v>0.9281477216</v>
      </c>
      <c r="I2016" s="4" t="str">
        <f t="shared" si="2"/>
        <v>B</v>
      </c>
    </row>
    <row r="2017">
      <c r="A2017" s="2">
        <v>2016.0</v>
      </c>
      <c r="B2017" s="2" t="s">
        <v>2288</v>
      </c>
      <c r="C2017" s="2" t="s">
        <v>2289</v>
      </c>
      <c r="D2017" s="2">
        <v>3.81</v>
      </c>
      <c r="E2017" s="2">
        <v>300.0</v>
      </c>
      <c r="F2017" s="2">
        <v>766.33</v>
      </c>
      <c r="G2017" s="4">
        <f t="shared" si="3"/>
        <v>8859396.16</v>
      </c>
      <c r="H2017" s="4">
        <f t="shared" si="1"/>
        <v>0.9282280125</v>
      </c>
      <c r="I2017" s="4" t="str">
        <f t="shared" si="2"/>
        <v>B</v>
      </c>
    </row>
    <row r="2018">
      <c r="A2018" s="2">
        <v>2017.0</v>
      </c>
      <c r="B2018" s="2">
        <v>72008.0</v>
      </c>
      <c r="C2018" s="2" t="s">
        <v>2290</v>
      </c>
      <c r="D2018" s="2">
        <v>0.42</v>
      </c>
      <c r="E2018" s="2">
        <v>1910.0</v>
      </c>
      <c r="F2018" s="2">
        <v>765.91</v>
      </c>
      <c r="G2018" s="4">
        <f t="shared" si="3"/>
        <v>8860162.07</v>
      </c>
      <c r="H2018" s="4">
        <f t="shared" si="1"/>
        <v>0.9283082594</v>
      </c>
      <c r="I2018" s="4" t="str">
        <f t="shared" si="2"/>
        <v>B</v>
      </c>
    </row>
    <row r="2019">
      <c r="A2019" s="2">
        <v>2018.0</v>
      </c>
      <c r="B2019" s="2">
        <v>22288.0</v>
      </c>
      <c r="C2019" s="2" t="s">
        <v>2291</v>
      </c>
      <c r="D2019" s="2">
        <v>1.25</v>
      </c>
      <c r="E2019" s="2">
        <v>656.0</v>
      </c>
      <c r="F2019" s="2">
        <v>764.24</v>
      </c>
      <c r="G2019" s="4">
        <f t="shared" si="3"/>
        <v>8860926.31</v>
      </c>
      <c r="H2019" s="4">
        <f t="shared" si="1"/>
        <v>0.9283883313</v>
      </c>
      <c r="I2019" s="4" t="str">
        <f t="shared" si="2"/>
        <v>B</v>
      </c>
    </row>
    <row r="2020">
      <c r="A2020" s="2">
        <v>2019.0</v>
      </c>
      <c r="B2020" s="2">
        <v>22322.0</v>
      </c>
      <c r="C2020" s="2" t="s">
        <v>2292</v>
      </c>
      <c r="D2020" s="2">
        <v>0.85</v>
      </c>
      <c r="E2020" s="2">
        <v>808.0</v>
      </c>
      <c r="F2020" s="2">
        <v>764.1</v>
      </c>
      <c r="G2020" s="4">
        <f t="shared" si="3"/>
        <v>8861690.41</v>
      </c>
      <c r="H2020" s="4">
        <f t="shared" si="1"/>
        <v>0.9284683886</v>
      </c>
      <c r="I2020" s="4" t="str">
        <f t="shared" si="2"/>
        <v>B</v>
      </c>
    </row>
    <row r="2021">
      <c r="A2021" s="2">
        <v>2020.0</v>
      </c>
      <c r="B2021" s="2">
        <v>21282.0</v>
      </c>
      <c r="C2021" s="2" t="s">
        <v>2293</v>
      </c>
      <c r="D2021" s="2">
        <v>4.25</v>
      </c>
      <c r="E2021" s="2">
        <v>178.0</v>
      </c>
      <c r="F2021" s="2">
        <v>763.26</v>
      </c>
      <c r="G2021" s="4">
        <f t="shared" si="3"/>
        <v>8862453.67</v>
      </c>
      <c r="H2021" s="4">
        <f t="shared" si="1"/>
        <v>0.9285483579</v>
      </c>
      <c r="I2021" s="4" t="str">
        <f t="shared" si="2"/>
        <v>B</v>
      </c>
    </row>
    <row r="2022">
      <c r="A2022" s="2">
        <v>2021.0</v>
      </c>
      <c r="B2022" s="2">
        <v>20902.0</v>
      </c>
      <c r="C2022" s="2" t="s">
        <v>2294</v>
      </c>
      <c r="D2022" s="2">
        <v>12.72</v>
      </c>
      <c r="E2022" s="2">
        <v>103.0</v>
      </c>
      <c r="F2022" s="2">
        <v>762.61</v>
      </c>
      <c r="G2022" s="4">
        <f t="shared" si="3"/>
        <v>8863216.28</v>
      </c>
      <c r="H2022" s="4">
        <f t="shared" si="1"/>
        <v>0.928628259</v>
      </c>
      <c r="I2022" s="4" t="str">
        <f t="shared" si="2"/>
        <v>B</v>
      </c>
    </row>
    <row r="2023">
      <c r="A2023" s="2">
        <v>2022.0</v>
      </c>
      <c r="B2023" s="2">
        <v>22337.0</v>
      </c>
      <c r="C2023" s="2" t="s">
        <v>2295</v>
      </c>
      <c r="D2023" s="2">
        <v>0.65</v>
      </c>
      <c r="E2023" s="2">
        <v>1236.0</v>
      </c>
      <c r="F2023" s="2">
        <v>761.26</v>
      </c>
      <c r="G2023" s="4">
        <f t="shared" si="3"/>
        <v>8863977.54</v>
      </c>
      <c r="H2023" s="4">
        <f t="shared" si="1"/>
        <v>0.9287080187</v>
      </c>
      <c r="I2023" s="4" t="str">
        <f t="shared" si="2"/>
        <v>B</v>
      </c>
    </row>
    <row r="2024">
      <c r="A2024" s="2">
        <v>2023.0</v>
      </c>
      <c r="B2024" s="2">
        <v>21785.0</v>
      </c>
      <c r="C2024" s="2" t="s">
        <v>2296</v>
      </c>
      <c r="D2024" s="2">
        <v>0.85</v>
      </c>
      <c r="E2024" s="2">
        <v>1006.0</v>
      </c>
      <c r="F2024" s="2">
        <v>760.29</v>
      </c>
      <c r="G2024" s="4">
        <f t="shared" si="3"/>
        <v>8864737.83</v>
      </c>
      <c r="H2024" s="4">
        <f t="shared" si="1"/>
        <v>0.9287876768</v>
      </c>
      <c r="I2024" s="4" t="str">
        <f t="shared" si="2"/>
        <v>B</v>
      </c>
    </row>
    <row r="2025">
      <c r="A2025" s="2">
        <v>2024.0</v>
      </c>
      <c r="B2025" s="2">
        <v>22340.0</v>
      </c>
      <c r="C2025" s="2" t="s">
        <v>2297</v>
      </c>
      <c r="D2025" s="2">
        <v>0.83</v>
      </c>
      <c r="E2025" s="2">
        <v>906.0</v>
      </c>
      <c r="F2025" s="2">
        <v>759.26</v>
      </c>
      <c r="G2025" s="4">
        <f t="shared" si="3"/>
        <v>8865497.09</v>
      </c>
      <c r="H2025" s="4">
        <f t="shared" si="1"/>
        <v>0.928867227</v>
      </c>
      <c r="I2025" s="4" t="str">
        <f t="shared" si="2"/>
        <v>B</v>
      </c>
    </row>
    <row r="2026">
      <c r="A2026" s="2">
        <v>2025.0</v>
      </c>
      <c r="B2026" s="2">
        <v>21099.0</v>
      </c>
      <c r="C2026" s="2" t="s">
        <v>2298</v>
      </c>
      <c r="D2026" s="2">
        <v>0.65</v>
      </c>
      <c r="E2026" s="2">
        <v>6646.0</v>
      </c>
      <c r="F2026" s="2">
        <v>758.97</v>
      </c>
      <c r="G2026" s="4">
        <f t="shared" si="3"/>
        <v>8866256.06</v>
      </c>
      <c r="H2026" s="4">
        <f t="shared" si="1"/>
        <v>0.9289467467</v>
      </c>
      <c r="I2026" s="4" t="str">
        <f t="shared" si="2"/>
        <v>B</v>
      </c>
    </row>
    <row r="2027">
      <c r="A2027" s="2">
        <v>2026.0</v>
      </c>
      <c r="B2027" s="2">
        <v>21399.0</v>
      </c>
      <c r="C2027" s="2" t="s">
        <v>2299</v>
      </c>
      <c r="D2027" s="2">
        <v>1.63</v>
      </c>
      <c r="E2027" s="2">
        <v>1147.0</v>
      </c>
      <c r="F2027" s="2">
        <v>758.84</v>
      </c>
      <c r="G2027" s="4">
        <f t="shared" si="3"/>
        <v>8867014.9</v>
      </c>
      <c r="H2027" s="4">
        <f t="shared" si="1"/>
        <v>0.9290262529</v>
      </c>
      <c r="I2027" s="4" t="str">
        <f t="shared" si="2"/>
        <v>B</v>
      </c>
    </row>
    <row r="2028">
      <c r="A2028" s="2">
        <v>2027.0</v>
      </c>
      <c r="B2028" s="2">
        <v>16033.0</v>
      </c>
      <c r="C2028" s="2" t="s">
        <v>2300</v>
      </c>
      <c r="D2028" s="2">
        <v>0.12</v>
      </c>
      <c r="E2028" s="2">
        <v>7440.0</v>
      </c>
      <c r="F2028" s="2">
        <v>757.86</v>
      </c>
      <c r="G2028" s="4">
        <f t="shared" si="3"/>
        <v>8867772.76</v>
      </c>
      <c r="H2028" s="4">
        <f t="shared" si="1"/>
        <v>0.9291056564</v>
      </c>
      <c r="I2028" s="4" t="str">
        <f t="shared" si="2"/>
        <v>B</v>
      </c>
    </row>
    <row r="2029">
      <c r="A2029" s="2">
        <v>2028.0</v>
      </c>
      <c r="B2029" s="2">
        <v>85177.0</v>
      </c>
      <c r="C2029" s="2" t="s">
        <v>2301</v>
      </c>
      <c r="D2029" s="2">
        <v>0.85</v>
      </c>
      <c r="E2029" s="2">
        <v>910.0</v>
      </c>
      <c r="F2029" s="2">
        <v>757.82</v>
      </c>
      <c r="G2029" s="4">
        <f t="shared" si="3"/>
        <v>8868530.58</v>
      </c>
      <c r="H2029" s="4">
        <f t="shared" si="1"/>
        <v>0.9291850557</v>
      </c>
      <c r="I2029" s="4" t="str">
        <f t="shared" si="2"/>
        <v>B</v>
      </c>
    </row>
    <row r="2030">
      <c r="A2030" s="2">
        <v>2029.0</v>
      </c>
      <c r="B2030" s="2">
        <v>22982.0</v>
      </c>
      <c r="C2030" s="2" t="s">
        <v>2302</v>
      </c>
      <c r="D2030" s="2">
        <v>1.25</v>
      </c>
      <c r="E2030" s="2">
        <v>566.0</v>
      </c>
      <c r="F2030" s="2">
        <v>757.51</v>
      </c>
      <c r="G2030" s="4">
        <f t="shared" si="3"/>
        <v>8869288.09</v>
      </c>
      <c r="H2030" s="4">
        <f t="shared" si="1"/>
        <v>0.9292644225</v>
      </c>
      <c r="I2030" s="4" t="str">
        <f t="shared" si="2"/>
        <v>B</v>
      </c>
    </row>
    <row r="2031">
      <c r="A2031" s="2">
        <v>2030.0</v>
      </c>
      <c r="B2031" s="2">
        <v>22682.0</v>
      </c>
      <c r="C2031" s="2" t="s">
        <v>2303</v>
      </c>
      <c r="D2031" s="2">
        <v>1.25</v>
      </c>
      <c r="E2031" s="2">
        <v>578.0</v>
      </c>
      <c r="F2031" s="2">
        <v>754.68</v>
      </c>
      <c r="G2031" s="4">
        <f t="shared" si="3"/>
        <v>8870042.77</v>
      </c>
      <c r="H2031" s="4">
        <f t="shared" si="1"/>
        <v>0.9293434928</v>
      </c>
      <c r="I2031" s="4" t="str">
        <f t="shared" si="2"/>
        <v>B</v>
      </c>
    </row>
    <row r="2032">
      <c r="A2032" s="2">
        <v>2031.0</v>
      </c>
      <c r="B2032" s="2">
        <v>21002.0</v>
      </c>
      <c r="C2032" s="2" t="s">
        <v>2304</v>
      </c>
      <c r="D2032" s="2">
        <v>3.36</v>
      </c>
      <c r="E2032" s="2">
        <v>208.0</v>
      </c>
      <c r="F2032" s="2">
        <v>753.61</v>
      </c>
      <c r="G2032" s="4">
        <f t="shared" si="3"/>
        <v>8870796.38</v>
      </c>
      <c r="H2032" s="4">
        <f t="shared" si="1"/>
        <v>0.929422451</v>
      </c>
      <c r="I2032" s="4" t="str">
        <f t="shared" si="2"/>
        <v>B</v>
      </c>
    </row>
    <row r="2033">
      <c r="A2033" s="2">
        <v>2032.0</v>
      </c>
      <c r="B2033" s="2">
        <v>23528.0</v>
      </c>
      <c r="C2033" s="2" t="s">
        <v>2305</v>
      </c>
      <c r="D2033" s="2">
        <v>3.75</v>
      </c>
      <c r="E2033" s="2">
        <v>240.0</v>
      </c>
      <c r="F2033" s="2">
        <v>752.24</v>
      </c>
      <c r="G2033" s="4">
        <f t="shared" si="3"/>
        <v>8871548.62</v>
      </c>
      <c r="H2033" s="4">
        <f t="shared" si="1"/>
        <v>0.9295012656</v>
      </c>
      <c r="I2033" s="4" t="str">
        <f t="shared" si="2"/>
        <v>B</v>
      </c>
    </row>
    <row r="2034">
      <c r="A2034" s="2">
        <v>2033.0</v>
      </c>
      <c r="B2034" s="2">
        <v>84526.0</v>
      </c>
      <c r="C2034" s="2" t="s">
        <v>2306</v>
      </c>
      <c r="D2034" s="2">
        <v>1.95</v>
      </c>
      <c r="E2034" s="2">
        <v>269.0</v>
      </c>
      <c r="F2034" s="2">
        <v>751.82</v>
      </c>
      <c r="G2034" s="4">
        <f t="shared" si="3"/>
        <v>8872300.44</v>
      </c>
      <c r="H2034" s="4">
        <f t="shared" si="1"/>
        <v>0.9295800363</v>
      </c>
      <c r="I2034" s="4" t="str">
        <f t="shared" si="2"/>
        <v>B</v>
      </c>
    </row>
    <row r="2035">
      <c r="A2035" s="2">
        <v>2034.0</v>
      </c>
      <c r="B2035" s="2">
        <v>22137.0</v>
      </c>
      <c r="C2035" s="2" t="s">
        <v>2307</v>
      </c>
      <c r="D2035" s="2">
        <v>2.95</v>
      </c>
      <c r="E2035" s="2">
        <v>302.0</v>
      </c>
      <c r="F2035" s="2">
        <v>751.19</v>
      </c>
      <c r="G2035" s="4">
        <f t="shared" si="3"/>
        <v>8873051.63</v>
      </c>
      <c r="H2035" s="4">
        <f t="shared" si="1"/>
        <v>0.9296587409</v>
      </c>
      <c r="I2035" s="4" t="str">
        <f t="shared" si="2"/>
        <v>B</v>
      </c>
    </row>
    <row r="2036">
      <c r="A2036" s="2">
        <v>2035.0</v>
      </c>
      <c r="B2036" s="2" t="s">
        <v>2308</v>
      </c>
      <c r="C2036" s="2" t="s">
        <v>2309</v>
      </c>
      <c r="D2036" s="2">
        <v>1.25</v>
      </c>
      <c r="E2036" s="2">
        <v>594.0</v>
      </c>
      <c r="F2036" s="2">
        <v>750.52</v>
      </c>
      <c r="G2036" s="4">
        <f t="shared" si="3"/>
        <v>8873802.15</v>
      </c>
      <c r="H2036" s="4">
        <f t="shared" si="1"/>
        <v>0.9297373754</v>
      </c>
      <c r="I2036" s="4" t="str">
        <f t="shared" si="2"/>
        <v>B</v>
      </c>
    </row>
    <row r="2037">
      <c r="A2037" s="2">
        <v>2036.0</v>
      </c>
      <c r="B2037" s="2">
        <v>21661.0</v>
      </c>
      <c r="C2037" s="2" t="s">
        <v>2310</v>
      </c>
      <c r="D2037" s="2">
        <v>5.95</v>
      </c>
      <c r="E2037" s="2">
        <v>118.0</v>
      </c>
      <c r="F2037" s="2">
        <v>749.7</v>
      </c>
      <c r="G2037" s="4">
        <f t="shared" si="3"/>
        <v>8874551.85</v>
      </c>
      <c r="H2037" s="4">
        <f t="shared" si="1"/>
        <v>0.9298159239</v>
      </c>
      <c r="I2037" s="4" t="str">
        <f t="shared" si="2"/>
        <v>B</v>
      </c>
    </row>
    <row r="2038">
      <c r="A2038" s="2">
        <v>2037.0</v>
      </c>
      <c r="B2038" s="2">
        <v>23271.0</v>
      </c>
      <c r="C2038" s="2" t="s">
        <v>2311</v>
      </c>
      <c r="D2038" s="2">
        <v>0.83</v>
      </c>
      <c r="E2038" s="2">
        <v>867.0</v>
      </c>
      <c r="F2038" s="2">
        <v>749.69</v>
      </c>
      <c r="G2038" s="4">
        <f t="shared" si="3"/>
        <v>8875301.54</v>
      </c>
      <c r="H2038" s="4">
        <f t="shared" si="1"/>
        <v>0.9298944714</v>
      </c>
      <c r="I2038" s="4" t="str">
        <f t="shared" si="2"/>
        <v>B</v>
      </c>
    </row>
    <row r="2039">
      <c r="A2039" s="2">
        <v>2038.0</v>
      </c>
      <c r="B2039" s="2">
        <v>21009.0</v>
      </c>
      <c r="C2039" s="2" t="s">
        <v>2312</v>
      </c>
      <c r="D2039" s="2">
        <v>1.25</v>
      </c>
      <c r="E2039" s="2">
        <v>524.0</v>
      </c>
      <c r="F2039" s="2">
        <v>747.5</v>
      </c>
      <c r="G2039" s="4">
        <f t="shared" si="3"/>
        <v>8876049.04</v>
      </c>
      <c r="H2039" s="4">
        <f t="shared" si="1"/>
        <v>0.9299727894</v>
      </c>
      <c r="I2039" s="4" t="str">
        <f t="shared" si="2"/>
        <v>B</v>
      </c>
    </row>
    <row r="2040">
      <c r="A2040" s="2">
        <v>2039.0</v>
      </c>
      <c r="B2040" s="2" t="s">
        <v>2313</v>
      </c>
      <c r="C2040" s="2" t="s">
        <v>2314</v>
      </c>
      <c r="D2040" s="2">
        <v>5.95</v>
      </c>
      <c r="E2040" s="2">
        <v>119.0</v>
      </c>
      <c r="F2040" s="2">
        <v>746.14</v>
      </c>
      <c r="G2040" s="4">
        <f t="shared" si="3"/>
        <v>8876795.18</v>
      </c>
      <c r="H2040" s="4">
        <f t="shared" si="1"/>
        <v>0.9300509649</v>
      </c>
      <c r="I2040" s="4" t="str">
        <f t="shared" si="2"/>
        <v>B</v>
      </c>
    </row>
    <row r="2041">
      <c r="A2041" s="2">
        <v>2040.0</v>
      </c>
      <c r="B2041" s="2">
        <v>23334.0</v>
      </c>
      <c r="C2041" s="2" t="s">
        <v>2315</v>
      </c>
      <c r="D2041" s="2">
        <v>0.63</v>
      </c>
      <c r="E2041" s="2">
        <v>1136.0</v>
      </c>
      <c r="F2041" s="2">
        <v>745.88</v>
      </c>
      <c r="G2041" s="4">
        <f t="shared" si="3"/>
        <v>8877541.06</v>
      </c>
      <c r="H2041" s="4">
        <f t="shared" si="1"/>
        <v>0.9301291132</v>
      </c>
      <c r="I2041" s="4" t="str">
        <f t="shared" si="2"/>
        <v>B</v>
      </c>
    </row>
    <row r="2042">
      <c r="A2042" s="2">
        <v>2041.0</v>
      </c>
      <c r="B2042" s="2">
        <v>22683.0</v>
      </c>
      <c r="C2042" s="2" t="s">
        <v>2316</v>
      </c>
      <c r="D2042" s="2">
        <v>1.25</v>
      </c>
      <c r="E2042" s="2">
        <v>560.0</v>
      </c>
      <c r="F2042" s="2">
        <v>744.58</v>
      </c>
      <c r="G2042" s="4">
        <f t="shared" si="3"/>
        <v>8878285.64</v>
      </c>
      <c r="H2042" s="4">
        <f t="shared" si="1"/>
        <v>0.9302071253</v>
      </c>
      <c r="I2042" s="4" t="str">
        <f t="shared" si="2"/>
        <v>B</v>
      </c>
    </row>
    <row r="2043">
      <c r="A2043" s="2">
        <v>2042.0</v>
      </c>
      <c r="B2043" s="2" t="s">
        <v>2317</v>
      </c>
      <c r="C2043" s="2" t="s">
        <v>2318</v>
      </c>
      <c r="D2043" s="2">
        <v>1.95</v>
      </c>
      <c r="E2043" s="2">
        <v>328.0</v>
      </c>
      <c r="F2043" s="2">
        <v>744.42</v>
      </c>
      <c r="G2043" s="4">
        <f t="shared" si="3"/>
        <v>8879030.06</v>
      </c>
      <c r="H2043" s="4">
        <f t="shared" si="1"/>
        <v>0.9302851207</v>
      </c>
      <c r="I2043" s="4" t="str">
        <f t="shared" si="2"/>
        <v>B</v>
      </c>
    </row>
    <row r="2044">
      <c r="A2044" s="2">
        <v>2043.0</v>
      </c>
      <c r="B2044" s="2">
        <v>23559.0</v>
      </c>
      <c r="C2044" s="2" t="s">
        <v>2319</v>
      </c>
      <c r="D2044" s="2">
        <v>2.08</v>
      </c>
      <c r="E2044" s="2">
        <v>326.0</v>
      </c>
      <c r="F2044" s="2">
        <v>744.32</v>
      </c>
      <c r="G2044" s="4">
        <f t="shared" si="3"/>
        <v>8879774.38</v>
      </c>
      <c r="H2044" s="4">
        <f t="shared" si="1"/>
        <v>0.9303631055</v>
      </c>
      <c r="I2044" s="4" t="str">
        <f t="shared" si="2"/>
        <v>B</v>
      </c>
    </row>
    <row r="2045">
      <c r="A2045" s="2">
        <v>2044.0</v>
      </c>
      <c r="B2045" s="2">
        <v>21280.0</v>
      </c>
      <c r="C2045" s="2" t="s">
        <v>2320</v>
      </c>
      <c r="D2045" s="2">
        <v>2.55</v>
      </c>
      <c r="E2045" s="2">
        <v>1042.0</v>
      </c>
      <c r="F2045" s="2">
        <v>744.22</v>
      </c>
      <c r="G2045" s="4">
        <f t="shared" si="3"/>
        <v>8880518.6</v>
      </c>
      <c r="H2045" s="4">
        <f t="shared" si="1"/>
        <v>0.9304410799</v>
      </c>
      <c r="I2045" s="4" t="str">
        <f t="shared" si="2"/>
        <v>B</v>
      </c>
    </row>
    <row r="2046">
      <c r="A2046" s="2">
        <v>2045.0</v>
      </c>
      <c r="B2046" s="2">
        <v>21066.0</v>
      </c>
      <c r="C2046" s="2" t="s">
        <v>2321</v>
      </c>
      <c r="D2046" s="2">
        <v>1.25</v>
      </c>
      <c r="E2046" s="2">
        <v>1140.0</v>
      </c>
      <c r="F2046" s="2">
        <v>744.21</v>
      </c>
      <c r="G2046" s="4">
        <f t="shared" si="3"/>
        <v>8881262.81</v>
      </c>
      <c r="H2046" s="4">
        <f t="shared" si="1"/>
        <v>0.9305190532</v>
      </c>
      <c r="I2046" s="4" t="str">
        <f t="shared" si="2"/>
        <v>B</v>
      </c>
    </row>
    <row r="2047">
      <c r="A2047" s="2">
        <v>2046.0</v>
      </c>
      <c r="B2047" s="2" t="s">
        <v>2322</v>
      </c>
      <c r="C2047" s="2" t="s">
        <v>2323</v>
      </c>
      <c r="D2047" s="2">
        <v>4.25</v>
      </c>
      <c r="E2047" s="2">
        <v>357.0</v>
      </c>
      <c r="F2047" s="2">
        <v>743.51</v>
      </c>
      <c r="G2047" s="4">
        <f t="shared" si="3"/>
        <v>8882006.32</v>
      </c>
      <c r="H2047" s="4">
        <f t="shared" si="1"/>
        <v>0.9305969532</v>
      </c>
      <c r="I2047" s="4" t="str">
        <f t="shared" si="2"/>
        <v>B</v>
      </c>
    </row>
    <row r="2048">
      <c r="A2048" s="2">
        <v>2047.0</v>
      </c>
      <c r="B2048" s="2" t="s">
        <v>2324</v>
      </c>
      <c r="C2048" s="2" t="s">
        <v>2325</v>
      </c>
      <c r="D2048" s="2">
        <v>8.29</v>
      </c>
      <c r="E2048" s="2">
        <v>89.0</v>
      </c>
      <c r="F2048" s="2">
        <v>740.89</v>
      </c>
      <c r="G2048" s="4">
        <f t="shared" si="3"/>
        <v>8882747.21</v>
      </c>
      <c r="H2048" s="4">
        <f t="shared" si="1"/>
        <v>0.9306745787</v>
      </c>
      <c r="I2048" s="4" t="str">
        <f t="shared" si="2"/>
        <v>B</v>
      </c>
    </row>
    <row r="2049">
      <c r="A2049" s="2">
        <v>2048.0</v>
      </c>
      <c r="B2049" s="2">
        <v>85198.0</v>
      </c>
      <c r="C2049" s="2" t="s">
        <v>2326</v>
      </c>
      <c r="D2049" s="2">
        <v>0.85</v>
      </c>
      <c r="E2049" s="2">
        <v>1936.0</v>
      </c>
      <c r="F2049" s="2">
        <v>739.85</v>
      </c>
      <c r="G2049" s="4">
        <f t="shared" si="3"/>
        <v>8883487.06</v>
      </c>
      <c r="H2049" s="4">
        <f t="shared" si="1"/>
        <v>0.9307520952</v>
      </c>
      <c r="I2049" s="4" t="str">
        <f t="shared" si="2"/>
        <v>B</v>
      </c>
    </row>
    <row r="2050">
      <c r="A2050" s="2">
        <v>2049.0</v>
      </c>
      <c r="B2050" s="2" t="s">
        <v>2327</v>
      </c>
      <c r="C2050" s="2" t="s">
        <v>1447</v>
      </c>
      <c r="D2050" s="2">
        <v>5.06</v>
      </c>
      <c r="E2050" s="2">
        <v>146.0</v>
      </c>
      <c r="F2050" s="2">
        <v>739.8</v>
      </c>
      <c r="G2050" s="4">
        <f t="shared" si="3"/>
        <v>8884226.86</v>
      </c>
      <c r="H2050" s="4">
        <f t="shared" si="1"/>
        <v>0.9308296064</v>
      </c>
      <c r="I2050" s="4" t="str">
        <f t="shared" si="2"/>
        <v>B</v>
      </c>
    </row>
    <row r="2051">
      <c r="A2051" s="2">
        <v>2050.0</v>
      </c>
      <c r="B2051" s="2">
        <v>85125.0</v>
      </c>
      <c r="C2051" s="2" t="s">
        <v>2328</v>
      </c>
      <c r="D2051" s="2">
        <v>4.95</v>
      </c>
      <c r="E2051" s="2">
        <v>154.0</v>
      </c>
      <c r="F2051" s="2">
        <v>739.76</v>
      </c>
      <c r="G2051" s="4">
        <f t="shared" si="3"/>
        <v>8884966.62</v>
      </c>
      <c r="H2051" s="4">
        <f t="shared" si="1"/>
        <v>0.9309071135</v>
      </c>
      <c r="I2051" s="4" t="str">
        <f t="shared" si="2"/>
        <v>B</v>
      </c>
    </row>
    <row r="2052">
      <c r="A2052" s="2">
        <v>2051.0</v>
      </c>
      <c r="B2052" s="2">
        <v>22815.0</v>
      </c>
      <c r="C2052" s="2" t="s">
        <v>2329</v>
      </c>
      <c r="D2052" s="2">
        <v>0.42</v>
      </c>
      <c r="E2052" s="2">
        <v>1728.0</v>
      </c>
      <c r="F2052" s="2">
        <v>739.3</v>
      </c>
      <c r="G2052" s="4">
        <f t="shared" si="3"/>
        <v>8885705.92</v>
      </c>
      <c r="H2052" s="4">
        <f t="shared" si="1"/>
        <v>0.9309845724</v>
      </c>
      <c r="I2052" s="4" t="str">
        <f t="shared" si="2"/>
        <v>B</v>
      </c>
    </row>
    <row r="2053">
      <c r="A2053" s="2">
        <v>2052.0</v>
      </c>
      <c r="B2053" s="2">
        <v>23250.0</v>
      </c>
      <c r="C2053" s="2" t="s">
        <v>2330</v>
      </c>
      <c r="D2053" s="2">
        <v>1.25</v>
      </c>
      <c r="E2053" s="2">
        <v>568.0</v>
      </c>
      <c r="F2053" s="2">
        <v>739.26</v>
      </c>
      <c r="G2053" s="4">
        <f t="shared" si="3"/>
        <v>8886445.18</v>
      </c>
      <c r="H2053" s="4">
        <f t="shared" si="1"/>
        <v>0.9310620271</v>
      </c>
      <c r="I2053" s="4" t="str">
        <f t="shared" si="2"/>
        <v>B</v>
      </c>
    </row>
    <row r="2054">
      <c r="A2054" s="2">
        <v>2053.0</v>
      </c>
      <c r="B2054" s="2">
        <v>21851.0</v>
      </c>
      <c r="C2054" s="2" t="s">
        <v>2331</v>
      </c>
      <c r="D2054" s="2">
        <v>4.21</v>
      </c>
      <c r="E2054" s="2">
        <v>314.0</v>
      </c>
      <c r="F2054" s="2">
        <v>739.26</v>
      </c>
      <c r="G2054" s="4">
        <f t="shared" si="3"/>
        <v>8887184.44</v>
      </c>
      <c r="H2054" s="4">
        <f t="shared" si="1"/>
        <v>0.9311394818</v>
      </c>
      <c r="I2054" s="4" t="str">
        <f t="shared" si="2"/>
        <v>B</v>
      </c>
    </row>
    <row r="2055">
      <c r="A2055" s="2">
        <v>2054.0</v>
      </c>
      <c r="B2055" s="2">
        <v>21051.0</v>
      </c>
      <c r="C2055" s="2" t="s">
        <v>2332</v>
      </c>
      <c r="D2055" s="2">
        <v>2.1</v>
      </c>
      <c r="E2055" s="2">
        <v>375.0</v>
      </c>
      <c r="F2055" s="2">
        <v>738.88</v>
      </c>
      <c r="G2055" s="4">
        <f t="shared" si="3"/>
        <v>8887923.32</v>
      </c>
      <c r="H2055" s="4">
        <f t="shared" si="1"/>
        <v>0.9312168967</v>
      </c>
      <c r="I2055" s="4" t="str">
        <f t="shared" si="2"/>
        <v>B</v>
      </c>
    </row>
    <row r="2056">
      <c r="A2056" s="2">
        <v>2055.0</v>
      </c>
      <c r="B2056" s="2">
        <v>21199.0</v>
      </c>
      <c r="C2056" s="2" t="s">
        <v>2333</v>
      </c>
      <c r="D2056" s="2">
        <v>1.65</v>
      </c>
      <c r="E2056" s="2">
        <v>628.0</v>
      </c>
      <c r="F2056" s="2">
        <v>737.77</v>
      </c>
      <c r="G2056" s="4">
        <f t="shared" si="3"/>
        <v>8888661.09</v>
      </c>
      <c r="H2056" s="4">
        <f t="shared" si="1"/>
        <v>0.9312941953</v>
      </c>
      <c r="I2056" s="4" t="str">
        <f t="shared" si="2"/>
        <v>B</v>
      </c>
    </row>
    <row r="2057">
      <c r="A2057" s="2">
        <v>2056.0</v>
      </c>
      <c r="B2057" s="2" t="s">
        <v>2334</v>
      </c>
      <c r="C2057" s="2" t="s">
        <v>2335</v>
      </c>
      <c r="D2057" s="2">
        <v>1.65</v>
      </c>
      <c r="E2057" s="2">
        <v>882.0</v>
      </c>
      <c r="F2057" s="2">
        <v>737.59</v>
      </c>
      <c r="G2057" s="4">
        <f t="shared" si="3"/>
        <v>8889398.68</v>
      </c>
      <c r="H2057" s="4">
        <f t="shared" si="1"/>
        <v>0.931371475</v>
      </c>
      <c r="I2057" s="4" t="str">
        <f t="shared" si="2"/>
        <v>B</v>
      </c>
    </row>
    <row r="2058">
      <c r="A2058" s="2">
        <v>2057.0</v>
      </c>
      <c r="B2058" s="2">
        <v>21869.0</v>
      </c>
      <c r="C2058" s="2" t="s">
        <v>2336</v>
      </c>
      <c r="D2058" s="2">
        <v>1.25</v>
      </c>
      <c r="E2058" s="2">
        <v>634.0</v>
      </c>
      <c r="F2058" s="2">
        <v>736.67</v>
      </c>
      <c r="G2058" s="4">
        <f t="shared" si="3"/>
        <v>8890135.35</v>
      </c>
      <c r="H2058" s="4">
        <f t="shared" si="1"/>
        <v>0.9314486583</v>
      </c>
      <c r="I2058" s="4" t="str">
        <f t="shared" si="2"/>
        <v>B</v>
      </c>
    </row>
    <row r="2059">
      <c r="A2059" s="2">
        <v>2058.0</v>
      </c>
      <c r="B2059" s="2" t="s">
        <v>2337</v>
      </c>
      <c r="C2059" s="2" t="s">
        <v>2338</v>
      </c>
      <c r="D2059" s="2">
        <v>2.51</v>
      </c>
      <c r="E2059" s="2">
        <v>294.0</v>
      </c>
      <c r="F2059" s="2">
        <v>736.03</v>
      </c>
      <c r="G2059" s="4">
        <f t="shared" si="3"/>
        <v>8890871.38</v>
      </c>
      <c r="H2059" s="4">
        <f t="shared" si="1"/>
        <v>0.9315257746</v>
      </c>
      <c r="I2059" s="4" t="str">
        <f t="shared" si="2"/>
        <v>B</v>
      </c>
    </row>
    <row r="2060">
      <c r="A2060" s="2">
        <v>2059.0</v>
      </c>
      <c r="B2060" s="2">
        <v>23267.0</v>
      </c>
      <c r="C2060" s="2" t="s">
        <v>2339</v>
      </c>
      <c r="D2060" s="2">
        <v>1.25</v>
      </c>
      <c r="E2060" s="2">
        <v>577.0</v>
      </c>
      <c r="F2060" s="2">
        <v>735.98</v>
      </c>
      <c r="G2060" s="4">
        <f t="shared" si="3"/>
        <v>8891607.36</v>
      </c>
      <c r="H2060" s="4">
        <f t="shared" si="1"/>
        <v>0.9316028857</v>
      </c>
      <c r="I2060" s="4" t="str">
        <f t="shared" si="2"/>
        <v>B</v>
      </c>
    </row>
    <row r="2061">
      <c r="A2061" s="2">
        <v>2060.0</v>
      </c>
      <c r="B2061" s="2">
        <v>22912.0</v>
      </c>
      <c r="C2061" s="2" t="s">
        <v>2340</v>
      </c>
      <c r="D2061" s="2">
        <v>4.95</v>
      </c>
      <c r="E2061" s="2">
        <v>156.0</v>
      </c>
      <c r="F2061" s="2">
        <v>735.54</v>
      </c>
      <c r="G2061" s="4">
        <f t="shared" si="3"/>
        <v>8892342.9</v>
      </c>
      <c r="H2061" s="4">
        <f t="shared" si="1"/>
        <v>0.9316799506</v>
      </c>
      <c r="I2061" s="4" t="str">
        <f t="shared" si="2"/>
        <v>B</v>
      </c>
    </row>
    <row r="2062">
      <c r="A2062" s="2">
        <v>2061.0</v>
      </c>
      <c r="B2062" s="2">
        <v>20734.0</v>
      </c>
      <c r="C2062" s="2" t="s">
        <v>2341</v>
      </c>
      <c r="D2062" s="2">
        <v>0.85</v>
      </c>
      <c r="E2062" s="2">
        <v>796.0</v>
      </c>
      <c r="F2062" s="2">
        <v>735.31</v>
      </c>
      <c r="G2062" s="4">
        <f t="shared" si="3"/>
        <v>8893078.21</v>
      </c>
      <c r="H2062" s="4">
        <f t="shared" si="1"/>
        <v>0.9317569914</v>
      </c>
      <c r="I2062" s="4" t="str">
        <f t="shared" si="2"/>
        <v>B</v>
      </c>
    </row>
    <row r="2063">
      <c r="A2063" s="2">
        <v>2062.0</v>
      </c>
      <c r="B2063" s="2">
        <v>21801.0</v>
      </c>
      <c r="C2063" s="2" t="s">
        <v>2342</v>
      </c>
      <c r="D2063" s="2">
        <v>0.42</v>
      </c>
      <c r="E2063" s="2">
        <v>1699.0</v>
      </c>
      <c r="F2063" s="2">
        <v>733.83</v>
      </c>
      <c r="G2063" s="4">
        <f t="shared" si="3"/>
        <v>8893812.04</v>
      </c>
      <c r="H2063" s="4">
        <f t="shared" si="1"/>
        <v>0.9318338772</v>
      </c>
      <c r="I2063" s="4" t="str">
        <f t="shared" si="2"/>
        <v>B</v>
      </c>
    </row>
    <row r="2064">
      <c r="A2064" s="2">
        <v>2063.0</v>
      </c>
      <c r="B2064" s="2">
        <v>22915.0</v>
      </c>
      <c r="C2064" s="2" t="s">
        <v>2343</v>
      </c>
      <c r="D2064" s="2">
        <v>0.42</v>
      </c>
      <c r="E2064" s="2">
        <v>1632.0</v>
      </c>
      <c r="F2064" s="2">
        <v>733.48</v>
      </c>
      <c r="G2064" s="4">
        <f t="shared" si="3"/>
        <v>8894545.52</v>
      </c>
      <c r="H2064" s="4">
        <f t="shared" si="1"/>
        <v>0.9319107263</v>
      </c>
      <c r="I2064" s="4" t="str">
        <f t="shared" si="2"/>
        <v>B</v>
      </c>
    </row>
    <row r="2065">
      <c r="A2065" s="2">
        <v>2064.0</v>
      </c>
      <c r="B2065" s="2">
        <v>21410.0</v>
      </c>
      <c r="C2065" s="2" t="s">
        <v>2344</v>
      </c>
      <c r="D2065" s="2">
        <v>4.25</v>
      </c>
      <c r="E2065" s="2">
        <v>157.0</v>
      </c>
      <c r="F2065" s="2">
        <v>733.39</v>
      </c>
      <c r="G2065" s="4">
        <f t="shared" si="3"/>
        <v>8895278.91</v>
      </c>
      <c r="H2065" s="4">
        <f t="shared" si="1"/>
        <v>0.931987566</v>
      </c>
      <c r="I2065" s="4" t="str">
        <f t="shared" si="2"/>
        <v>B</v>
      </c>
    </row>
    <row r="2066">
      <c r="A2066" s="2">
        <v>2065.0</v>
      </c>
      <c r="B2066" s="2">
        <v>23365.0</v>
      </c>
      <c r="C2066" s="2" t="s">
        <v>2345</v>
      </c>
      <c r="D2066" s="2">
        <v>0.65</v>
      </c>
      <c r="E2066" s="2">
        <v>930.0</v>
      </c>
      <c r="F2066" s="2">
        <v>732.19</v>
      </c>
      <c r="G2066" s="4">
        <f t="shared" si="3"/>
        <v>8896011.1</v>
      </c>
      <c r="H2066" s="4">
        <f t="shared" si="1"/>
        <v>0.9320642799</v>
      </c>
      <c r="I2066" s="4" t="str">
        <f t="shared" si="2"/>
        <v>B</v>
      </c>
    </row>
    <row r="2067">
      <c r="A2067" s="2">
        <v>2066.0</v>
      </c>
      <c r="B2067" s="2">
        <v>21317.0</v>
      </c>
      <c r="C2067" s="2" t="s">
        <v>2346</v>
      </c>
      <c r="D2067" s="2">
        <v>5.45</v>
      </c>
      <c r="E2067" s="2">
        <v>179.0</v>
      </c>
      <c r="F2067" s="2">
        <v>729.42</v>
      </c>
      <c r="G2067" s="4">
        <f t="shared" si="3"/>
        <v>8896740.52</v>
      </c>
      <c r="H2067" s="4">
        <f t="shared" si="1"/>
        <v>0.9321407037</v>
      </c>
      <c r="I2067" s="4" t="str">
        <f t="shared" si="2"/>
        <v>B</v>
      </c>
    </row>
    <row r="2068">
      <c r="A2068" s="2">
        <v>2067.0</v>
      </c>
      <c r="B2068" s="2">
        <v>21739.0</v>
      </c>
      <c r="C2068" s="2" t="s">
        <v>2347</v>
      </c>
      <c r="D2068" s="2">
        <v>2.95</v>
      </c>
      <c r="E2068" s="2">
        <v>248.0</v>
      </c>
      <c r="F2068" s="2">
        <v>728.88</v>
      </c>
      <c r="G2068" s="4">
        <f t="shared" si="3"/>
        <v>8897469.4</v>
      </c>
      <c r="H2068" s="4">
        <f t="shared" si="1"/>
        <v>0.9322170708</v>
      </c>
      <c r="I2068" s="4" t="str">
        <f t="shared" si="2"/>
        <v>B</v>
      </c>
    </row>
    <row r="2069">
      <c r="A2069" s="2">
        <v>2068.0</v>
      </c>
      <c r="B2069" s="2">
        <v>23034.0</v>
      </c>
      <c r="C2069" s="2" t="s">
        <v>2348</v>
      </c>
      <c r="D2069" s="2">
        <v>1.45</v>
      </c>
      <c r="E2069" s="2">
        <v>492.0</v>
      </c>
      <c r="F2069" s="2">
        <v>728.68</v>
      </c>
      <c r="G2069" s="4">
        <f t="shared" si="3"/>
        <v>8898198.08</v>
      </c>
      <c r="H2069" s="4">
        <f t="shared" si="1"/>
        <v>0.932293417</v>
      </c>
      <c r="I2069" s="4" t="str">
        <f t="shared" si="2"/>
        <v>B</v>
      </c>
    </row>
    <row r="2070">
      <c r="A2070" s="2">
        <v>2069.0</v>
      </c>
      <c r="B2070" s="2" t="s">
        <v>2349</v>
      </c>
      <c r="C2070" s="2" t="s">
        <v>101</v>
      </c>
      <c r="D2070" s="2">
        <v>12.46</v>
      </c>
      <c r="E2070" s="2">
        <v>58.0</v>
      </c>
      <c r="F2070" s="2">
        <v>728.16</v>
      </c>
      <c r="G2070" s="4">
        <f t="shared" si="3"/>
        <v>8898926.24</v>
      </c>
      <c r="H2070" s="4">
        <f t="shared" si="1"/>
        <v>0.9323697087</v>
      </c>
      <c r="I2070" s="4" t="str">
        <f t="shared" si="2"/>
        <v>B</v>
      </c>
    </row>
    <row r="2071">
      <c r="A2071" s="2">
        <v>2070.0</v>
      </c>
      <c r="B2071" s="2">
        <v>84637.0</v>
      </c>
      <c r="C2071" s="2" t="s">
        <v>2350</v>
      </c>
      <c r="D2071" s="2">
        <v>4.96</v>
      </c>
      <c r="E2071" s="2">
        <v>292.0</v>
      </c>
      <c r="F2071" s="2">
        <v>727.24</v>
      </c>
      <c r="G2071" s="4">
        <f t="shared" si="3"/>
        <v>8899653.48</v>
      </c>
      <c r="H2071" s="4">
        <f t="shared" si="1"/>
        <v>0.9324459041</v>
      </c>
      <c r="I2071" s="4" t="str">
        <f t="shared" si="2"/>
        <v>B</v>
      </c>
    </row>
    <row r="2072">
      <c r="A2072" s="2">
        <v>2071.0</v>
      </c>
      <c r="B2072" s="2">
        <v>22390.0</v>
      </c>
      <c r="C2072" s="2" t="s">
        <v>2351</v>
      </c>
      <c r="D2072" s="2">
        <v>2.55</v>
      </c>
      <c r="E2072" s="2">
        <v>408.0</v>
      </c>
      <c r="F2072" s="2">
        <v>726.81</v>
      </c>
      <c r="G2072" s="4">
        <f t="shared" si="3"/>
        <v>8900380.29</v>
      </c>
      <c r="H2072" s="4">
        <f t="shared" si="1"/>
        <v>0.9325220543</v>
      </c>
      <c r="I2072" s="4" t="str">
        <f t="shared" si="2"/>
        <v>B</v>
      </c>
    </row>
    <row r="2073">
      <c r="A2073" s="2">
        <v>2072.0</v>
      </c>
      <c r="B2073" s="2" t="s">
        <v>2352</v>
      </c>
      <c r="C2073" s="2" t="s">
        <v>2353</v>
      </c>
      <c r="D2073" s="2">
        <v>7.95</v>
      </c>
      <c r="E2073" s="2">
        <v>90.0</v>
      </c>
      <c r="F2073" s="2">
        <v>725.84</v>
      </c>
      <c r="G2073" s="4">
        <f t="shared" si="3"/>
        <v>8901106.13</v>
      </c>
      <c r="H2073" s="4">
        <f t="shared" si="1"/>
        <v>0.932598103</v>
      </c>
      <c r="I2073" s="4" t="str">
        <f t="shared" si="2"/>
        <v>B</v>
      </c>
    </row>
    <row r="2074">
      <c r="A2074" s="2">
        <v>2073.0</v>
      </c>
      <c r="B2074" s="2">
        <v>22976.0</v>
      </c>
      <c r="C2074" s="2" t="s">
        <v>2354</v>
      </c>
      <c r="D2074" s="2">
        <v>1.25</v>
      </c>
      <c r="E2074" s="2">
        <v>558.0</v>
      </c>
      <c r="F2074" s="2">
        <v>725.76</v>
      </c>
      <c r="G2074" s="4">
        <f t="shared" si="3"/>
        <v>8901831.89</v>
      </c>
      <c r="H2074" s="4">
        <f t="shared" si="1"/>
        <v>0.9326741432</v>
      </c>
      <c r="I2074" s="4" t="str">
        <f t="shared" si="2"/>
        <v>B</v>
      </c>
    </row>
    <row r="2075">
      <c r="A2075" s="2">
        <v>2074.0</v>
      </c>
      <c r="B2075" s="2">
        <v>21644.0</v>
      </c>
      <c r="C2075" s="2" t="s">
        <v>2355</v>
      </c>
      <c r="D2075" s="2">
        <v>1.25</v>
      </c>
      <c r="E2075" s="2">
        <v>540.0</v>
      </c>
      <c r="F2075" s="2">
        <v>725.74</v>
      </c>
      <c r="G2075" s="4">
        <f t="shared" si="3"/>
        <v>8902557.63</v>
      </c>
      <c r="H2075" s="4">
        <f t="shared" si="1"/>
        <v>0.9327501814</v>
      </c>
      <c r="I2075" s="4" t="str">
        <f t="shared" si="2"/>
        <v>B</v>
      </c>
    </row>
    <row r="2076">
      <c r="A2076" s="2">
        <v>2075.0</v>
      </c>
      <c r="B2076" s="2" t="s">
        <v>2356</v>
      </c>
      <c r="C2076" s="2" t="s">
        <v>685</v>
      </c>
      <c r="D2076" s="2">
        <v>3.29</v>
      </c>
      <c r="E2076" s="2">
        <v>217.0</v>
      </c>
      <c r="F2076" s="2">
        <v>725.62</v>
      </c>
      <c r="G2076" s="4">
        <f t="shared" si="3"/>
        <v>8903283.25</v>
      </c>
      <c r="H2076" s="4">
        <f t="shared" si="1"/>
        <v>0.932826207</v>
      </c>
      <c r="I2076" s="4" t="str">
        <f t="shared" si="2"/>
        <v>B</v>
      </c>
    </row>
    <row r="2077">
      <c r="A2077" s="2">
        <v>2076.0</v>
      </c>
      <c r="B2077" s="2">
        <v>85055.0</v>
      </c>
      <c r="C2077" s="2" t="s">
        <v>2357</v>
      </c>
      <c r="D2077" s="2">
        <v>3.75</v>
      </c>
      <c r="E2077" s="2">
        <v>180.0</v>
      </c>
      <c r="F2077" s="2">
        <v>725.22</v>
      </c>
      <c r="G2077" s="4">
        <f t="shared" si="3"/>
        <v>8904008.47</v>
      </c>
      <c r="H2077" s="4">
        <f t="shared" si="1"/>
        <v>0.9329021906</v>
      </c>
      <c r="I2077" s="4" t="str">
        <f t="shared" si="2"/>
        <v>B</v>
      </c>
    </row>
    <row r="2078">
      <c r="A2078" s="2">
        <v>2077.0</v>
      </c>
      <c r="B2078" s="2">
        <v>22052.0</v>
      </c>
      <c r="C2078" s="2" t="s">
        <v>2358</v>
      </c>
      <c r="D2078" s="2">
        <v>0.42</v>
      </c>
      <c r="E2078" s="2">
        <v>1750.0</v>
      </c>
      <c r="F2078" s="2">
        <v>725.0</v>
      </c>
      <c r="G2078" s="4">
        <f t="shared" si="3"/>
        <v>8904733.47</v>
      </c>
      <c r="H2078" s="4">
        <f t="shared" si="1"/>
        <v>0.9329781513</v>
      </c>
      <c r="I2078" s="4" t="str">
        <f t="shared" si="2"/>
        <v>B</v>
      </c>
    </row>
    <row r="2079">
      <c r="A2079" s="2">
        <v>2078.0</v>
      </c>
      <c r="B2079" s="2">
        <v>22249.0</v>
      </c>
      <c r="C2079" s="2" t="s">
        <v>2359</v>
      </c>
      <c r="D2079" s="2">
        <v>0.85</v>
      </c>
      <c r="E2079" s="2">
        <v>827.0</v>
      </c>
      <c r="F2079" s="2">
        <v>724.98</v>
      </c>
      <c r="G2079" s="4">
        <f t="shared" si="3"/>
        <v>8905458.45</v>
      </c>
      <c r="H2079" s="4">
        <f t="shared" si="1"/>
        <v>0.9330541098</v>
      </c>
      <c r="I2079" s="4" t="str">
        <f t="shared" si="2"/>
        <v>B</v>
      </c>
    </row>
    <row r="2080">
      <c r="A2080" s="2">
        <v>2079.0</v>
      </c>
      <c r="B2080" s="2">
        <v>22228.0</v>
      </c>
      <c r="C2080" s="2" t="s">
        <v>2360</v>
      </c>
      <c r="D2080" s="2">
        <v>0.85</v>
      </c>
      <c r="E2080" s="2">
        <v>858.0</v>
      </c>
      <c r="F2080" s="2">
        <v>724.05</v>
      </c>
      <c r="G2080" s="4">
        <f t="shared" si="3"/>
        <v>8906182.5</v>
      </c>
      <c r="H2080" s="4">
        <f t="shared" si="1"/>
        <v>0.9331299709</v>
      </c>
      <c r="I2080" s="4" t="str">
        <f t="shared" si="2"/>
        <v>B</v>
      </c>
    </row>
    <row r="2081">
      <c r="A2081" s="2">
        <v>2080.0</v>
      </c>
      <c r="B2081" s="2">
        <v>22287.0</v>
      </c>
      <c r="C2081" s="2" t="s">
        <v>2361</v>
      </c>
      <c r="D2081" s="2">
        <v>1.65</v>
      </c>
      <c r="E2081" s="2">
        <v>674.0</v>
      </c>
      <c r="F2081" s="2">
        <v>723.65</v>
      </c>
      <c r="G2081" s="4">
        <f t="shared" si="3"/>
        <v>8906906.15</v>
      </c>
      <c r="H2081" s="4">
        <f t="shared" si="1"/>
        <v>0.9332057901</v>
      </c>
      <c r="I2081" s="4" t="str">
        <f t="shared" si="2"/>
        <v>B</v>
      </c>
    </row>
    <row r="2082">
      <c r="A2082" s="2">
        <v>2081.0</v>
      </c>
      <c r="B2082" s="2" t="s">
        <v>2362</v>
      </c>
      <c r="C2082" s="2" t="s">
        <v>2363</v>
      </c>
      <c r="D2082" s="2">
        <v>4.25</v>
      </c>
      <c r="E2082" s="2">
        <v>274.0</v>
      </c>
      <c r="F2082" s="2">
        <v>721.2</v>
      </c>
      <c r="G2082" s="4">
        <f t="shared" si="3"/>
        <v>8907627.35</v>
      </c>
      <c r="H2082" s="4">
        <f t="shared" si="1"/>
        <v>0.9332813526</v>
      </c>
      <c r="I2082" s="4" t="str">
        <f t="shared" si="2"/>
        <v>B</v>
      </c>
    </row>
    <row r="2083">
      <c r="A2083" s="2">
        <v>2082.0</v>
      </c>
      <c r="B2083" s="2">
        <v>21822.0</v>
      </c>
      <c r="C2083" s="2" t="s">
        <v>2364</v>
      </c>
      <c r="D2083" s="2">
        <v>1.63</v>
      </c>
      <c r="E2083" s="2">
        <v>541.0</v>
      </c>
      <c r="F2083" s="2">
        <v>721.17</v>
      </c>
      <c r="G2083" s="4">
        <f t="shared" si="3"/>
        <v>8908348.52</v>
      </c>
      <c r="H2083" s="4">
        <f t="shared" si="1"/>
        <v>0.9333569119</v>
      </c>
      <c r="I2083" s="4" t="str">
        <f t="shared" si="2"/>
        <v>B</v>
      </c>
    </row>
    <row r="2084">
      <c r="A2084" s="2">
        <v>2083.0</v>
      </c>
      <c r="B2084" s="2" t="s">
        <v>2365</v>
      </c>
      <c r="C2084" s="2" t="s">
        <v>2366</v>
      </c>
      <c r="D2084" s="2">
        <v>0.83</v>
      </c>
      <c r="E2084" s="2">
        <v>1114.0</v>
      </c>
      <c r="F2084" s="2">
        <v>720.8</v>
      </c>
      <c r="G2084" s="4">
        <f t="shared" si="3"/>
        <v>8909069.32</v>
      </c>
      <c r="H2084" s="4">
        <f t="shared" si="1"/>
        <v>0.9334324325</v>
      </c>
      <c r="I2084" s="4" t="str">
        <f t="shared" si="2"/>
        <v>B</v>
      </c>
    </row>
    <row r="2085">
      <c r="A2085" s="2">
        <v>2084.0</v>
      </c>
      <c r="B2085" s="2">
        <v>22106.0</v>
      </c>
      <c r="C2085" s="2" t="s">
        <v>2367</v>
      </c>
      <c r="D2085" s="2">
        <v>5.06</v>
      </c>
      <c r="E2085" s="2">
        <v>194.0</v>
      </c>
      <c r="F2085" s="2">
        <v>719.99</v>
      </c>
      <c r="G2085" s="4">
        <f t="shared" si="3"/>
        <v>8909789.31</v>
      </c>
      <c r="H2085" s="4">
        <f t="shared" si="1"/>
        <v>0.9335078682</v>
      </c>
      <c r="I2085" s="4" t="str">
        <f t="shared" si="2"/>
        <v>B</v>
      </c>
    </row>
    <row r="2086">
      <c r="A2086" s="2">
        <v>2085.0</v>
      </c>
      <c r="B2086" s="2">
        <v>22817.0</v>
      </c>
      <c r="C2086" s="2" t="s">
        <v>2368</v>
      </c>
      <c r="D2086" s="2">
        <v>0.42</v>
      </c>
      <c r="E2086" s="2">
        <v>1702.0</v>
      </c>
      <c r="F2086" s="2">
        <v>719.97</v>
      </c>
      <c r="G2086" s="4">
        <f t="shared" si="3"/>
        <v>8910509.28</v>
      </c>
      <c r="H2086" s="4">
        <f t="shared" si="1"/>
        <v>0.9335833018</v>
      </c>
      <c r="I2086" s="4" t="str">
        <f t="shared" si="2"/>
        <v>B</v>
      </c>
    </row>
    <row r="2087">
      <c r="A2087" s="2">
        <v>2086.0</v>
      </c>
      <c r="B2087" s="2">
        <v>21082.0</v>
      </c>
      <c r="C2087" s="2" t="s">
        <v>2369</v>
      </c>
      <c r="D2087" s="2">
        <v>0.85</v>
      </c>
      <c r="E2087" s="2">
        <v>2056.0</v>
      </c>
      <c r="F2087" s="2">
        <v>719.96</v>
      </c>
      <c r="G2087" s="4">
        <f t="shared" si="3"/>
        <v>8911229.24</v>
      </c>
      <c r="H2087" s="4">
        <f t="shared" si="1"/>
        <v>0.9336587344</v>
      </c>
      <c r="I2087" s="4" t="str">
        <f t="shared" si="2"/>
        <v>B</v>
      </c>
    </row>
    <row r="2088">
      <c r="A2088" s="2">
        <v>2087.0</v>
      </c>
      <c r="B2088" s="2" t="s">
        <v>2370</v>
      </c>
      <c r="C2088" s="2" t="s">
        <v>2371</v>
      </c>
      <c r="D2088" s="2">
        <v>5.95</v>
      </c>
      <c r="E2088" s="2">
        <v>275.0</v>
      </c>
      <c r="F2088" s="2">
        <v>719.55</v>
      </c>
      <c r="G2088" s="4">
        <f t="shared" si="3"/>
        <v>8911948.79</v>
      </c>
      <c r="H2088" s="4">
        <f t="shared" si="1"/>
        <v>0.933734124</v>
      </c>
      <c r="I2088" s="4" t="str">
        <f t="shared" si="2"/>
        <v>B</v>
      </c>
    </row>
    <row r="2089">
      <c r="A2089" s="2">
        <v>2088.0</v>
      </c>
      <c r="B2089" s="2">
        <v>21807.0</v>
      </c>
      <c r="C2089" s="2" t="s">
        <v>2372</v>
      </c>
      <c r="D2089" s="2">
        <v>0.42</v>
      </c>
      <c r="E2089" s="2">
        <v>1631.0</v>
      </c>
      <c r="F2089" s="2">
        <v>719.0</v>
      </c>
      <c r="G2089" s="4">
        <f t="shared" si="3"/>
        <v>8912667.79</v>
      </c>
      <c r="H2089" s="4">
        <f t="shared" si="1"/>
        <v>0.933809456</v>
      </c>
      <c r="I2089" s="4" t="str">
        <f t="shared" si="2"/>
        <v>B</v>
      </c>
    </row>
    <row r="2090">
      <c r="A2090" s="2">
        <v>2089.0</v>
      </c>
      <c r="B2090" s="2">
        <v>21065.0</v>
      </c>
      <c r="C2090" s="2" t="s">
        <v>2373</v>
      </c>
      <c r="D2090" s="2">
        <v>4.21</v>
      </c>
      <c r="E2090" s="2">
        <v>302.0</v>
      </c>
      <c r="F2090" s="2">
        <v>718.76</v>
      </c>
      <c r="G2090" s="4">
        <f t="shared" si="3"/>
        <v>8913386.55</v>
      </c>
      <c r="H2090" s="4">
        <f t="shared" si="1"/>
        <v>0.9338847629</v>
      </c>
      <c r="I2090" s="4" t="str">
        <f t="shared" si="2"/>
        <v>B</v>
      </c>
    </row>
    <row r="2091">
      <c r="A2091" s="2">
        <v>2090.0</v>
      </c>
      <c r="B2091" s="2">
        <v>23392.0</v>
      </c>
      <c r="C2091" s="2" t="s">
        <v>2374</v>
      </c>
      <c r="D2091" s="2">
        <v>2.08</v>
      </c>
      <c r="E2091" s="2">
        <v>322.0</v>
      </c>
      <c r="F2091" s="2">
        <v>717.76</v>
      </c>
      <c r="G2091" s="4">
        <f t="shared" si="3"/>
        <v>8914104.31</v>
      </c>
      <c r="H2091" s="4">
        <f t="shared" si="1"/>
        <v>0.9339599649</v>
      </c>
      <c r="I2091" s="4" t="str">
        <f t="shared" si="2"/>
        <v>B</v>
      </c>
    </row>
    <row r="2092">
      <c r="A2092" s="2">
        <v>2091.0</v>
      </c>
      <c r="B2092" s="2">
        <v>22316.0</v>
      </c>
      <c r="C2092" s="2" t="s">
        <v>2375</v>
      </c>
      <c r="D2092" s="2">
        <v>1.25</v>
      </c>
      <c r="E2092" s="2">
        <v>630.0</v>
      </c>
      <c r="F2092" s="2">
        <v>717.66</v>
      </c>
      <c r="G2092" s="4">
        <f t="shared" si="3"/>
        <v>8914821.97</v>
      </c>
      <c r="H2092" s="4">
        <f t="shared" si="1"/>
        <v>0.9340351565</v>
      </c>
      <c r="I2092" s="4" t="str">
        <f t="shared" si="2"/>
        <v>B</v>
      </c>
    </row>
    <row r="2093">
      <c r="A2093" s="2">
        <v>2092.0</v>
      </c>
      <c r="B2093" s="2">
        <v>23086.0</v>
      </c>
      <c r="C2093" s="2" t="s">
        <v>2376</v>
      </c>
      <c r="D2093" s="2">
        <v>1.25</v>
      </c>
      <c r="E2093" s="2">
        <v>606.0</v>
      </c>
      <c r="F2093" s="2">
        <v>717.59</v>
      </c>
      <c r="G2093" s="4">
        <f t="shared" si="3"/>
        <v>8915539.56</v>
      </c>
      <c r="H2093" s="4">
        <f t="shared" si="1"/>
        <v>0.9341103408</v>
      </c>
      <c r="I2093" s="4" t="str">
        <f t="shared" si="2"/>
        <v>B</v>
      </c>
    </row>
    <row r="2094">
      <c r="A2094" s="2">
        <v>2093.0</v>
      </c>
      <c r="B2094" s="2" t="s">
        <v>2377</v>
      </c>
      <c r="C2094" s="2" t="s">
        <v>2378</v>
      </c>
      <c r="D2094" s="2">
        <v>4.25</v>
      </c>
      <c r="E2094" s="2">
        <v>346.0</v>
      </c>
      <c r="F2094" s="2">
        <v>713.17</v>
      </c>
      <c r="G2094" s="4">
        <f t="shared" si="3"/>
        <v>8916252.73</v>
      </c>
      <c r="H2094" s="4">
        <f t="shared" si="1"/>
        <v>0.934185062</v>
      </c>
      <c r="I2094" s="4" t="str">
        <f t="shared" si="2"/>
        <v>B</v>
      </c>
    </row>
    <row r="2095">
      <c r="A2095" s="2">
        <v>2094.0</v>
      </c>
      <c r="B2095" s="2">
        <v>22396.0</v>
      </c>
      <c r="C2095" s="2" t="s">
        <v>2379</v>
      </c>
      <c r="D2095" s="2">
        <v>0.85</v>
      </c>
      <c r="E2095" s="2">
        <v>948.0</v>
      </c>
      <c r="F2095" s="2">
        <v>712.44</v>
      </c>
      <c r="G2095" s="4">
        <f t="shared" si="3"/>
        <v>8916965.17</v>
      </c>
      <c r="H2095" s="4">
        <f t="shared" si="1"/>
        <v>0.9342597066</v>
      </c>
      <c r="I2095" s="4" t="str">
        <f t="shared" si="2"/>
        <v>B</v>
      </c>
    </row>
    <row r="2096">
      <c r="A2096" s="2">
        <v>2095.0</v>
      </c>
      <c r="B2096" s="2" t="s">
        <v>2380</v>
      </c>
      <c r="C2096" s="2" t="s">
        <v>2381</v>
      </c>
      <c r="D2096" s="2">
        <v>3.75</v>
      </c>
      <c r="E2096" s="2">
        <v>178.0</v>
      </c>
      <c r="F2096" s="2">
        <v>711.6</v>
      </c>
      <c r="G2096" s="4">
        <f t="shared" si="3"/>
        <v>8917676.77</v>
      </c>
      <c r="H2096" s="4">
        <f t="shared" si="1"/>
        <v>0.9343342633</v>
      </c>
      <c r="I2096" s="4" t="str">
        <f t="shared" si="2"/>
        <v>B</v>
      </c>
    </row>
    <row r="2097">
      <c r="A2097" s="2">
        <v>2096.0</v>
      </c>
      <c r="B2097" s="2">
        <v>23470.0</v>
      </c>
      <c r="C2097" s="2" t="s">
        <v>2382</v>
      </c>
      <c r="D2097" s="2">
        <v>6.25</v>
      </c>
      <c r="E2097" s="2">
        <v>113.0</v>
      </c>
      <c r="F2097" s="2">
        <v>711.5</v>
      </c>
      <c r="G2097" s="4">
        <f t="shared" si="3"/>
        <v>8918388.27</v>
      </c>
      <c r="H2097" s="4">
        <f t="shared" si="1"/>
        <v>0.9344088095</v>
      </c>
      <c r="I2097" s="4" t="str">
        <f t="shared" si="2"/>
        <v>B</v>
      </c>
    </row>
    <row r="2098">
      <c r="A2098" s="2">
        <v>2097.0</v>
      </c>
      <c r="B2098" s="2">
        <v>20761.0</v>
      </c>
      <c r="C2098" s="2" t="s">
        <v>2383</v>
      </c>
      <c r="D2098" s="2">
        <v>3.75</v>
      </c>
      <c r="E2098" s="2">
        <v>229.0</v>
      </c>
      <c r="F2098" s="2">
        <v>711.23</v>
      </c>
      <c r="G2098" s="4">
        <f t="shared" si="3"/>
        <v>8919099.5</v>
      </c>
      <c r="H2098" s="4">
        <f t="shared" si="1"/>
        <v>0.9344833274</v>
      </c>
      <c r="I2098" s="4" t="str">
        <f t="shared" si="2"/>
        <v>B</v>
      </c>
    </row>
    <row r="2099">
      <c r="A2099" s="2">
        <v>2098.0</v>
      </c>
      <c r="B2099" s="2">
        <v>21532.0</v>
      </c>
      <c r="C2099" s="2" t="s">
        <v>2384</v>
      </c>
      <c r="D2099" s="2">
        <v>2.1</v>
      </c>
      <c r="E2099" s="2">
        <v>694.0</v>
      </c>
      <c r="F2099" s="2">
        <v>710.91</v>
      </c>
      <c r="G2099" s="4">
        <f t="shared" si="3"/>
        <v>8919810.41</v>
      </c>
      <c r="H2099" s="4">
        <f t="shared" si="1"/>
        <v>0.9345578118</v>
      </c>
      <c r="I2099" s="4" t="str">
        <f t="shared" si="2"/>
        <v>B</v>
      </c>
    </row>
    <row r="2100">
      <c r="A2100" s="2">
        <v>2099.0</v>
      </c>
      <c r="B2100" s="2" t="s">
        <v>2385</v>
      </c>
      <c r="C2100" s="2" t="s">
        <v>2386</v>
      </c>
      <c r="D2100" s="2">
        <v>6.35</v>
      </c>
      <c r="E2100" s="2">
        <v>180.0</v>
      </c>
      <c r="F2100" s="2">
        <v>709.76</v>
      </c>
      <c r="G2100" s="4">
        <f t="shared" si="3"/>
        <v>8920520.17</v>
      </c>
      <c r="H2100" s="4">
        <f t="shared" si="1"/>
        <v>0.9346321757</v>
      </c>
      <c r="I2100" s="4" t="str">
        <f t="shared" si="2"/>
        <v>B</v>
      </c>
    </row>
    <row r="2101">
      <c r="A2101" s="2">
        <v>2100.0</v>
      </c>
      <c r="B2101" s="2">
        <v>21159.0</v>
      </c>
      <c r="C2101" s="2" t="s">
        <v>2387</v>
      </c>
      <c r="D2101" s="2">
        <v>1.45</v>
      </c>
      <c r="E2101" s="2">
        <v>1017.0</v>
      </c>
      <c r="F2101" s="2">
        <v>709.2</v>
      </c>
      <c r="G2101" s="4">
        <f t="shared" si="3"/>
        <v>8921229.37</v>
      </c>
      <c r="H2101" s="4">
        <f t="shared" si="1"/>
        <v>0.9347064809</v>
      </c>
      <c r="I2101" s="4" t="str">
        <f t="shared" si="2"/>
        <v>B</v>
      </c>
    </row>
    <row r="2102">
      <c r="A2102" s="2">
        <v>2101.0</v>
      </c>
      <c r="B2102" s="2">
        <v>22819.0</v>
      </c>
      <c r="C2102" s="2" t="s">
        <v>2388</v>
      </c>
      <c r="D2102" s="2">
        <v>0.42</v>
      </c>
      <c r="E2102" s="2">
        <v>1676.0</v>
      </c>
      <c r="F2102" s="2">
        <v>709.06</v>
      </c>
      <c r="G2102" s="4">
        <f t="shared" si="3"/>
        <v>8921938.43</v>
      </c>
      <c r="H2102" s="4">
        <f t="shared" si="1"/>
        <v>0.9347807714</v>
      </c>
      <c r="I2102" s="4" t="str">
        <f t="shared" si="2"/>
        <v>B</v>
      </c>
    </row>
    <row r="2103">
      <c r="A2103" s="2">
        <v>2102.0</v>
      </c>
      <c r="B2103" s="2">
        <v>21634.0</v>
      </c>
      <c r="C2103" s="2" t="s">
        <v>2389</v>
      </c>
      <c r="D2103" s="2">
        <v>1.25</v>
      </c>
      <c r="E2103" s="2">
        <v>850.0</v>
      </c>
      <c r="F2103" s="2">
        <v>708.87</v>
      </c>
      <c r="G2103" s="4">
        <f t="shared" si="3"/>
        <v>8922647.3</v>
      </c>
      <c r="H2103" s="4">
        <f t="shared" si="1"/>
        <v>0.934855042</v>
      </c>
      <c r="I2103" s="4" t="str">
        <f t="shared" si="2"/>
        <v>B</v>
      </c>
    </row>
    <row r="2104">
      <c r="A2104" s="2">
        <v>2103.0</v>
      </c>
      <c r="B2104" s="2">
        <v>20801.0</v>
      </c>
      <c r="C2104" s="2" t="s">
        <v>2390</v>
      </c>
      <c r="D2104" s="2">
        <v>2.46</v>
      </c>
      <c r="E2104" s="2">
        <v>539.0</v>
      </c>
      <c r="F2104" s="2">
        <v>707.55</v>
      </c>
      <c r="G2104" s="4">
        <f t="shared" si="3"/>
        <v>8923354.85</v>
      </c>
      <c r="H2104" s="4">
        <f t="shared" si="1"/>
        <v>0.9349291744</v>
      </c>
      <c r="I2104" s="4" t="str">
        <f t="shared" si="2"/>
        <v>B</v>
      </c>
    </row>
    <row r="2105">
      <c r="A2105" s="2">
        <v>2104.0</v>
      </c>
      <c r="B2105" s="2">
        <v>21198.0</v>
      </c>
      <c r="C2105" s="2" t="s">
        <v>2391</v>
      </c>
      <c r="D2105" s="2">
        <v>1.65</v>
      </c>
      <c r="E2105" s="2">
        <v>606.0</v>
      </c>
      <c r="F2105" s="2">
        <v>707.09</v>
      </c>
      <c r="G2105" s="4">
        <f t="shared" si="3"/>
        <v>8924061.94</v>
      </c>
      <c r="H2105" s="4">
        <f t="shared" si="1"/>
        <v>0.9350032585</v>
      </c>
      <c r="I2105" s="4" t="str">
        <f t="shared" si="2"/>
        <v>B</v>
      </c>
    </row>
    <row r="2106">
      <c r="A2106" s="2">
        <v>2105.0</v>
      </c>
      <c r="B2106" s="2">
        <v>21292.0</v>
      </c>
      <c r="C2106" s="2" t="s">
        <v>2392</v>
      </c>
      <c r="D2106" s="2">
        <v>0.85</v>
      </c>
      <c r="E2106" s="2">
        <v>1216.0</v>
      </c>
      <c r="F2106" s="2">
        <v>706.76</v>
      </c>
      <c r="G2106" s="4">
        <f t="shared" si="3"/>
        <v>8924768.7</v>
      </c>
      <c r="H2106" s="4">
        <f t="shared" si="1"/>
        <v>0.9350773081</v>
      </c>
      <c r="I2106" s="4" t="str">
        <f t="shared" si="2"/>
        <v>B</v>
      </c>
    </row>
    <row r="2107">
      <c r="A2107" s="2">
        <v>2106.0</v>
      </c>
      <c r="B2107" s="2">
        <v>84616.0</v>
      </c>
      <c r="C2107" s="2" t="s">
        <v>2393</v>
      </c>
      <c r="D2107" s="2">
        <v>29.95</v>
      </c>
      <c r="E2107" s="2">
        <v>35.0</v>
      </c>
      <c r="F2107" s="2">
        <v>706.36</v>
      </c>
      <c r="G2107" s="4">
        <f t="shared" si="3"/>
        <v>8925475.06</v>
      </c>
      <c r="H2107" s="4">
        <f t="shared" si="1"/>
        <v>0.9351513157</v>
      </c>
      <c r="I2107" s="4" t="str">
        <f t="shared" si="2"/>
        <v>B</v>
      </c>
    </row>
    <row r="2108">
      <c r="A2108" s="2">
        <v>2107.0</v>
      </c>
      <c r="B2108" s="2">
        <v>22157.0</v>
      </c>
      <c r="C2108" s="2" t="s">
        <v>2394</v>
      </c>
      <c r="D2108" s="2">
        <v>0.85</v>
      </c>
      <c r="E2108" s="2">
        <v>826.0</v>
      </c>
      <c r="F2108" s="2">
        <v>706.15</v>
      </c>
      <c r="G2108" s="4">
        <f t="shared" si="3"/>
        <v>8926181.21</v>
      </c>
      <c r="H2108" s="4">
        <f t="shared" si="1"/>
        <v>0.9352253014</v>
      </c>
      <c r="I2108" s="4" t="str">
        <f t="shared" si="2"/>
        <v>B</v>
      </c>
    </row>
    <row r="2109">
      <c r="A2109" s="2">
        <v>2108.0</v>
      </c>
      <c r="B2109" s="2">
        <v>35965.0</v>
      </c>
      <c r="C2109" s="2" t="s">
        <v>2395</v>
      </c>
      <c r="D2109" s="2">
        <v>2.95</v>
      </c>
      <c r="E2109" s="2">
        <v>304.0</v>
      </c>
      <c r="F2109" s="2">
        <v>705.29</v>
      </c>
      <c r="G2109" s="4">
        <f t="shared" si="3"/>
        <v>8926886.5</v>
      </c>
      <c r="H2109" s="4">
        <f t="shared" si="1"/>
        <v>0.9352991969</v>
      </c>
      <c r="I2109" s="4" t="str">
        <f t="shared" si="2"/>
        <v>B</v>
      </c>
    </row>
    <row r="2110">
      <c r="A2110" s="2">
        <v>2109.0</v>
      </c>
      <c r="B2110" s="2">
        <v>23527.0</v>
      </c>
      <c r="C2110" s="2" t="s">
        <v>2396</v>
      </c>
      <c r="D2110" s="2">
        <v>3.75</v>
      </c>
      <c r="E2110" s="2">
        <v>208.0</v>
      </c>
      <c r="F2110" s="2">
        <v>704.9</v>
      </c>
      <c r="G2110" s="4">
        <f t="shared" si="3"/>
        <v>8927591.4</v>
      </c>
      <c r="H2110" s="4">
        <f t="shared" si="1"/>
        <v>0.9353730516</v>
      </c>
      <c r="I2110" s="4" t="str">
        <f t="shared" si="2"/>
        <v>B</v>
      </c>
    </row>
    <row r="2111">
      <c r="A2111" s="2">
        <v>2110.0</v>
      </c>
      <c r="B2111" s="2">
        <v>23104.0</v>
      </c>
      <c r="C2111" s="2" t="s">
        <v>2397</v>
      </c>
      <c r="D2111" s="2">
        <v>12.5</v>
      </c>
      <c r="E2111" s="2">
        <v>59.0</v>
      </c>
      <c r="F2111" s="2">
        <v>702.71</v>
      </c>
      <c r="G2111" s="4">
        <f t="shared" si="3"/>
        <v>8928294.11</v>
      </c>
      <c r="H2111" s="4">
        <f t="shared" si="1"/>
        <v>0.9354466769</v>
      </c>
      <c r="I2111" s="4" t="str">
        <f t="shared" si="2"/>
        <v>B</v>
      </c>
    </row>
    <row r="2112">
      <c r="A2112" s="2">
        <v>2111.0</v>
      </c>
      <c r="B2112" s="2">
        <v>21828.0</v>
      </c>
      <c r="C2112" s="2" t="s">
        <v>2398</v>
      </c>
      <c r="D2112" s="2">
        <v>1.25</v>
      </c>
      <c r="E2112" s="2">
        <v>555.0</v>
      </c>
      <c r="F2112" s="2">
        <v>701.44</v>
      </c>
      <c r="G2112" s="4">
        <f t="shared" si="3"/>
        <v>8928995.55</v>
      </c>
      <c r="H2112" s="4">
        <f t="shared" si="1"/>
        <v>0.935520169</v>
      </c>
      <c r="I2112" s="4" t="str">
        <f t="shared" si="2"/>
        <v>B</v>
      </c>
    </row>
    <row r="2113">
      <c r="A2113" s="2">
        <v>2112.0</v>
      </c>
      <c r="B2113" s="2">
        <v>22545.0</v>
      </c>
      <c r="C2113" s="2" t="s">
        <v>2399</v>
      </c>
      <c r="D2113" s="2">
        <v>0.42</v>
      </c>
      <c r="E2113" s="2">
        <v>1703.0</v>
      </c>
      <c r="F2113" s="2">
        <v>701.08</v>
      </c>
      <c r="G2113" s="4">
        <f t="shared" si="3"/>
        <v>8929696.63</v>
      </c>
      <c r="H2113" s="4">
        <f t="shared" si="1"/>
        <v>0.9355936235</v>
      </c>
      <c r="I2113" s="4" t="str">
        <f t="shared" si="2"/>
        <v>B</v>
      </c>
    </row>
    <row r="2114">
      <c r="A2114" s="2">
        <v>2113.0</v>
      </c>
      <c r="B2114" s="2">
        <v>21358.0</v>
      </c>
      <c r="C2114" s="2" t="s">
        <v>2400</v>
      </c>
      <c r="D2114" s="2">
        <v>1.25</v>
      </c>
      <c r="E2114" s="2">
        <v>565.0</v>
      </c>
      <c r="F2114" s="2">
        <v>699.98</v>
      </c>
      <c r="G2114" s="4">
        <f t="shared" si="3"/>
        <v>8930396.61</v>
      </c>
      <c r="H2114" s="4">
        <f t="shared" si="1"/>
        <v>0.9356669627</v>
      </c>
      <c r="I2114" s="4" t="str">
        <f t="shared" si="2"/>
        <v>B</v>
      </c>
    </row>
    <row r="2115">
      <c r="A2115" s="2">
        <v>2114.0</v>
      </c>
      <c r="B2115" s="2">
        <v>21910.0</v>
      </c>
      <c r="C2115" s="2" t="s">
        <v>2401</v>
      </c>
      <c r="D2115" s="2">
        <v>1.65</v>
      </c>
      <c r="E2115" s="2">
        <v>533.0</v>
      </c>
      <c r="F2115" s="2">
        <v>699.09</v>
      </c>
      <c r="G2115" s="4">
        <f t="shared" si="3"/>
        <v>8931095.7</v>
      </c>
      <c r="H2115" s="4">
        <f t="shared" si="1"/>
        <v>0.9357402086</v>
      </c>
      <c r="I2115" s="4" t="str">
        <f t="shared" si="2"/>
        <v>B</v>
      </c>
    </row>
    <row r="2116">
      <c r="A2116" s="2">
        <v>2115.0</v>
      </c>
      <c r="B2116" s="2">
        <v>23249.0</v>
      </c>
      <c r="C2116" s="2" t="s">
        <v>2402</v>
      </c>
      <c r="D2116" s="2">
        <v>1.65</v>
      </c>
      <c r="E2116" s="2">
        <v>412.0</v>
      </c>
      <c r="F2116" s="2">
        <v>698.2</v>
      </c>
      <c r="G2116" s="4">
        <f t="shared" si="3"/>
        <v>8931793.9</v>
      </c>
      <c r="H2116" s="4">
        <f t="shared" si="1"/>
        <v>0.9358133613</v>
      </c>
      <c r="I2116" s="4" t="str">
        <f t="shared" si="2"/>
        <v>B</v>
      </c>
    </row>
    <row r="2117">
      <c r="A2117" s="2">
        <v>2116.0</v>
      </c>
      <c r="B2117" s="2">
        <v>23040.0</v>
      </c>
      <c r="C2117" s="2" t="s">
        <v>2403</v>
      </c>
      <c r="D2117" s="2">
        <v>5.75</v>
      </c>
      <c r="E2117" s="2">
        <v>126.0</v>
      </c>
      <c r="F2117" s="2">
        <v>697.02</v>
      </c>
      <c r="G2117" s="4">
        <f t="shared" si="3"/>
        <v>8932490.92</v>
      </c>
      <c r="H2117" s="4">
        <f t="shared" si="1"/>
        <v>0.9358863904</v>
      </c>
      <c r="I2117" s="4" t="str">
        <f t="shared" si="2"/>
        <v>B</v>
      </c>
    </row>
    <row r="2118">
      <c r="A2118" s="2">
        <v>2117.0</v>
      </c>
      <c r="B2118" s="2">
        <v>21395.0</v>
      </c>
      <c r="C2118" s="2" t="s">
        <v>2404</v>
      </c>
      <c r="D2118" s="2">
        <v>0.39</v>
      </c>
      <c r="E2118" s="2">
        <v>1482.0</v>
      </c>
      <c r="F2118" s="2">
        <v>696.9</v>
      </c>
      <c r="G2118" s="4">
        <f t="shared" si="3"/>
        <v>8933187.82</v>
      </c>
      <c r="H2118" s="4">
        <f t="shared" si="1"/>
        <v>0.9359594069</v>
      </c>
      <c r="I2118" s="4" t="str">
        <f t="shared" si="2"/>
        <v>B</v>
      </c>
    </row>
    <row r="2119">
      <c r="A2119" s="2">
        <v>2118.0</v>
      </c>
      <c r="B2119" s="2" t="s">
        <v>2405</v>
      </c>
      <c r="C2119" s="2" t="s">
        <v>2406</v>
      </c>
      <c r="D2119" s="2">
        <v>0.42</v>
      </c>
      <c r="E2119" s="2">
        <v>1421.0</v>
      </c>
      <c r="F2119" s="2">
        <v>695.88</v>
      </c>
      <c r="G2119" s="4">
        <f t="shared" si="3"/>
        <v>8933883.7</v>
      </c>
      <c r="H2119" s="4">
        <f t="shared" si="1"/>
        <v>0.9360323165</v>
      </c>
      <c r="I2119" s="4" t="str">
        <f t="shared" si="2"/>
        <v>B</v>
      </c>
    </row>
    <row r="2120">
      <c r="A2120" s="2">
        <v>2119.0</v>
      </c>
      <c r="B2120" s="2" t="s">
        <v>2407</v>
      </c>
      <c r="C2120" s="2" t="s">
        <v>2408</v>
      </c>
      <c r="D2120" s="2">
        <v>1.95</v>
      </c>
      <c r="E2120" s="2">
        <v>1589.0</v>
      </c>
      <c r="F2120" s="2">
        <v>695.7</v>
      </c>
      <c r="G2120" s="4">
        <f t="shared" si="3"/>
        <v>8934579.4</v>
      </c>
      <c r="H2120" s="4">
        <f t="shared" si="1"/>
        <v>0.9361052073</v>
      </c>
      <c r="I2120" s="4" t="str">
        <f t="shared" si="2"/>
        <v>B</v>
      </c>
    </row>
    <row r="2121">
      <c r="A2121" s="2">
        <v>2120.0</v>
      </c>
      <c r="B2121" s="2">
        <v>21011.0</v>
      </c>
      <c r="C2121" s="2" t="s">
        <v>2409</v>
      </c>
      <c r="D2121" s="2">
        <v>1.45</v>
      </c>
      <c r="E2121" s="2">
        <v>926.0</v>
      </c>
      <c r="F2121" s="2">
        <v>694.88</v>
      </c>
      <c r="G2121" s="4">
        <f t="shared" si="3"/>
        <v>8935274.28</v>
      </c>
      <c r="H2121" s="4">
        <f t="shared" si="1"/>
        <v>0.9361780122</v>
      </c>
      <c r="I2121" s="4" t="str">
        <f t="shared" si="2"/>
        <v>B</v>
      </c>
    </row>
    <row r="2122">
      <c r="A2122" s="2">
        <v>2121.0</v>
      </c>
      <c r="B2122" s="2">
        <v>85087.0</v>
      </c>
      <c r="C2122" s="2" t="s">
        <v>2410</v>
      </c>
      <c r="D2122" s="2">
        <v>3.29</v>
      </c>
      <c r="E2122" s="2">
        <v>210.0</v>
      </c>
      <c r="F2122" s="2">
        <v>694.84</v>
      </c>
      <c r="G2122" s="4">
        <f t="shared" si="3"/>
        <v>8935969.12</v>
      </c>
      <c r="H2122" s="4">
        <f t="shared" si="1"/>
        <v>0.9362508128</v>
      </c>
      <c r="I2122" s="4" t="str">
        <f t="shared" si="2"/>
        <v>B</v>
      </c>
    </row>
    <row r="2123">
      <c r="A2123" s="2">
        <v>2122.0</v>
      </c>
      <c r="B2123" s="2" t="s">
        <v>2411</v>
      </c>
      <c r="C2123" s="2" t="s">
        <v>2412</v>
      </c>
      <c r="D2123" s="2">
        <v>1.25</v>
      </c>
      <c r="E2123" s="2">
        <v>628.0</v>
      </c>
      <c r="F2123" s="2">
        <v>694.78</v>
      </c>
      <c r="G2123" s="4">
        <f t="shared" si="3"/>
        <v>8936663.9</v>
      </c>
      <c r="H2123" s="4">
        <f t="shared" si="1"/>
        <v>0.9363236072</v>
      </c>
      <c r="I2123" s="4" t="str">
        <f t="shared" si="2"/>
        <v>B</v>
      </c>
    </row>
    <row r="2124">
      <c r="A2124" s="2">
        <v>2123.0</v>
      </c>
      <c r="B2124" s="2">
        <v>23462.0</v>
      </c>
      <c r="C2124" s="2" t="s">
        <v>2413</v>
      </c>
      <c r="D2124" s="2">
        <v>19.95</v>
      </c>
      <c r="E2124" s="2">
        <v>34.0</v>
      </c>
      <c r="F2124" s="2">
        <v>693.8</v>
      </c>
      <c r="G2124" s="4">
        <f t="shared" si="3"/>
        <v>8937357.7</v>
      </c>
      <c r="H2124" s="4">
        <f t="shared" si="1"/>
        <v>0.9363962989</v>
      </c>
      <c r="I2124" s="4" t="str">
        <f t="shared" si="2"/>
        <v>B</v>
      </c>
    </row>
    <row r="2125">
      <c r="A2125" s="2">
        <v>2124.0</v>
      </c>
      <c r="B2125" s="2">
        <v>22250.0</v>
      </c>
      <c r="C2125" s="2" t="s">
        <v>2414</v>
      </c>
      <c r="D2125" s="2">
        <v>0.85</v>
      </c>
      <c r="E2125" s="2">
        <v>763.0</v>
      </c>
      <c r="F2125" s="2">
        <v>693.6</v>
      </c>
      <c r="G2125" s="4">
        <f t="shared" si="3"/>
        <v>8938051.3</v>
      </c>
      <c r="H2125" s="4">
        <f t="shared" si="1"/>
        <v>0.9364689697</v>
      </c>
      <c r="I2125" s="4" t="str">
        <f t="shared" si="2"/>
        <v>B</v>
      </c>
    </row>
    <row r="2126">
      <c r="A2126" s="2">
        <v>2125.0</v>
      </c>
      <c r="B2126" s="2">
        <v>22984.0</v>
      </c>
      <c r="C2126" s="2" t="s">
        <v>2415</v>
      </c>
      <c r="D2126" s="2">
        <v>0.42</v>
      </c>
      <c r="E2126" s="2">
        <v>1692.0</v>
      </c>
      <c r="F2126" s="2">
        <v>692.92</v>
      </c>
      <c r="G2126" s="4">
        <f t="shared" si="3"/>
        <v>8938744.22</v>
      </c>
      <c r="H2126" s="4">
        <f t="shared" si="1"/>
        <v>0.9365415692</v>
      </c>
      <c r="I2126" s="4" t="str">
        <f t="shared" si="2"/>
        <v>B</v>
      </c>
    </row>
    <row r="2127">
      <c r="A2127" s="2">
        <v>2126.0</v>
      </c>
      <c r="B2127" s="2">
        <v>21278.0</v>
      </c>
      <c r="C2127" s="2" t="s">
        <v>2416</v>
      </c>
      <c r="D2127" s="2">
        <v>2.55</v>
      </c>
      <c r="E2127" s="2">
        <v>785.0</v>
      </c>
      <c r="F2127" s="2">
        <v>692.52</v>
      </c>
      <c r="G2127" s="4">
        <f t="shared" si="3"/>
        <v>8939436.74</v>
      </c>
      <c r="H2127" s="4">
        <f t="shared" si="1"/>
        <v>0.9366141268</v>
      </c>
      <c r="I2127" s="4" t="str">
        <f t="shared" si="2"/>
        <v>B</v>
      </c>
    </row>
    <row r="2128">
      <c r="A2128" s="2">
        <v>2127.0</v>
      </c>
      <c r="B2128" s="2" t="s">
        <v>2417</v>
      </c>
      <c r="C2128" s="2" t="s">
        <v>2418</v>
      </c>
      <c r="D2128" s="2">
        <v>4.24</v>
      </c>
      <c r="E2128" s="2">
        <v>165.0</v>
      </c>
      <c r="F2128" s="2">
        <v>692.5</v>
      </c>
      <c r="G2128" s="4">
        <f t="shared" si="3"/>
        <v>8940129.24</v>
      </c>
      <c r="H2128" s="4">
        <f t="shared" si="1"/>
        <v>0.9366866823</v>
      </c>
      <c r="I2128" s="4" t="str">
        <f t="shared" si="2"/>
        <v>B</v>
      </c>
    </row>
    <row r="2129">
      <c r="A2129" s="2">
        <v>2128.0</v>
      </c>
      <c r="B2129" s="2">
        <v>22093.0</v>
      </c>
      <c r="C2129" s="2" t="s">
        <v>2419</v>
      </c>
      <c r="D2129" s="2">
        <v>1.06</v>
      </c>
      <c r="E2129" s="2">
        <v>1154.0</v>
      </c>
      <c r="F2129" s="2">
        <v>691.83</v>
      </c>
      <c r="G2129" s="4">
        <f t="shared" si="3"/>
        <v>8940821.07</v>
      </c>
      <c r="H2129" s="4">
        <f t="shared" si="1"/>
        <v>0.9367591676</v>
      </c>
      <c r="I2129" s="4" t="str">
        <f t="shared" si="2"/>
        <v>B</v>
      </c>
    </row>
    <row r="2130">
      <c r="A2130" s="2">
        <v>2129.0</v>
      </c>
      <c r="B2130" s="2">
        <v>22917.0</v>
      </c>
      <c r="C2130" s="2" t="s">
        <v>2420</v>
      </c>
      <c r="D2130" s="2">
        <v>0.65</v>
      </c>
      <c r="E2130" s="2">
        <v>996.0</v>
      </c>
      <c r="F2130" s="2">
        <v>691.7</v>
      </c>
      <c r="G2130" s="4">
        <f t="shared" si="3"/>
        <v>8941512.77</v>
      </c>
      <c r="H2130" s="4">
        <f t="shared" si="1"/>
        <v>0.9368316393</v>
      </c>
      <c r="I2130" s="4" t="str">
        <f t="shared" si="2"/>
        <v>B</v>
      </c>
    </row>
    <row r="2131">
      <c r="A2131" s="2">
        <v>2130.0</v>
      </c>
      <c r="B2131" s="2">
        <v>22685.0</v>
      </c>
      <c r="C2131" s="2" t="s">
        <v>2421</v>
      </c>
      <c r="D2131" s="2">
        <v>1.25</v>
      </c>
      <c r="E2131" s="2">
        <v>536.0</v>
      </c>
      <c r="F2131" s="2">
        <v>691.67</v>
      </c>
      <c r="G2131" s="4">
        <f t="shared" si="3"/>
        <v>8942204.44</v>
      </c>
      <c r="H2131" s="4">
        <f t="shared" si="1"/>
        <v>0.9369041078</v>
      </c>
      <c r="I2131" s="4" t="str">
        <f t="shared" si="2"/>
        <v>B</v>
      </c>
    </row>
    <row r="2132">
      <c r="A2132" s="2">
        <v>2131.0</v>
      </c>
      <c r="B2132" s="2">
        <v>22756.0</v>
      </c>
      <c r="C2132" s="2" t="s">
        <v>2422</v>
      </c>
      <c r="D2132" s="2">
        <v>1.25</v>
      </c>
      <c r="E2132" s="2">
        <v>597.0</v>
      </c>
      <c r="F2132" s="2">
        <v>690.48</v>
      </c>
      <c r="G2132" s="4">
        <f t="shared" si="3"/>
        <v>8942894.92</v>
      </c>
      <c r="H2132" s="4">
        <f t="shared" si="1"/>
        <v>0.9369764516</v>
      </c>
      <c r="I2132" s="4" t="str">
        <f t="shared" si="2"/>
        <v>B</v>
      </c>
    </row>
    <row r="2133">
      <c r="A2133" s="2">
        <v>2132.0</v>
      </c>
      <c r="B2133" s="2">
        <v>84396.0</v>
      </c>
      <c r="C2133" s="2" t="s">
        <v>2423</v>
      </c>
      <c r="D2133" s="2">
        <v>8.47</v>
      </c>
      <c r="E2133" s="2">
        <v>276.0</v>
      </c>
      <c r="F2133" s="2">
        <v>690.26</v>
      </c>
      <c r="G2133" s="4">
        <f t="shared" si="3"/>
        <v>8943585.18</v>
      </c>
      <c r="H2133" s="4">
        <f t="shared" si="1"/>
        <v>0.9370487724</v>
      </c>
      <c r="I2133" s="4" t="str">
        <f t="shared" si="2"/>
        <v>B</v>
      </c>
    </row>
    <row r="2134">
      <c r="A2134" s="2">
        <v>2133.0</v>
      </c>
      <c r="B2134" s="2">
        <v>23376.0</v>
      </c>
      <c r="C2134" s="2" t="s">
        <v>2424</v>
      </c>
      <c r="D2134" s="2">
        <v>0.39</v>
      </c>
      <c r="E2134" s="2">
        <v>1514.0</v>
      </c>
      <c r="F2134" s="2">
        <v>690.12</v>
      </c>
      <c r="G2134" s="4">
        <f t="shared" si="3"/>
        <v>8944275.3</v>
      </c>
      <c r="H2134" s="4">
        <f t="shared" si="1"/>
        <v>0.9371210786</v>
      </c>
      <c r="I2134" s="4" t="str">
        <f t="shared" si="2"/>
        <v>B</v>
      </c>
    </row>
    <row r="2135">
      <c r="A2135" s="2">
        <v>2134.0</v>
      </c>
      <c r="B2135" s="2" t="s">
        <v>2425</v>
      </c>
      <c r="C2135" s="2" t="s">
        <v>2426</v>
      </c>
      <c r="D2135" s="2">
        <v>0.83</v>
      </c>
      <c r="E2135" s="2">
        <v>1110.0</v>
      </c>
      <c r="F2135" s="2">
        <v>690.09</v>
      </c>
      <c r="G2135" s="4">
        <f t="shared" si="3"/>
        <v>8944965.39</v>
      </c>
      <c r="H2135" s="4">
        <f t="shared" si="1"/>
        <v>0.9371933816</v>
      </c>
      <c r="I2135" s="4" t="str">
        <f t="shared" si="2"/>
        <v>B</v>
      </c>
    </row>
    <row r="2136">
      <c r="A2136" s="2">
        <v>2135.0</v>
      </c>
      <c r="B2136" s="2">
        <v>23119.0</v>
      </c>
      <c r="C2136" s="2" t="s">
        <v>2427</v>
      </c>
      <c r="D2136" s="2">
        <v>0.62</v>
      </c>
      <c r="E2136" s="2">
        <v>1124.0</v>
      </c>
      <c r="F2136" s="2">
        <v>690.0</v>
      </c>
      <c r="G2136" s="4">
        <f t="shared" si="3"/>
        <v>8945655.39</v>
      </c>
      <c r="H2136" s="4">
        <f t="shared" si="1"/>
        <v>0.9372656751</v>
      </c>
      <c r="I2136" s="4" t="str">
        <f t="shared" si="2"/>
        <v>B</v>
      </c>
    </row>
    <row r="2137">
      <c r="A2137" s="2">
        <v>2136.0</v>
      </c>
      <c r="B2137" s="2" t="s">
        <v>2428</v>
      </c>
      <c r="C2137" s="2" t="s">
        <v>2429</v>
      </c>
      <c r="D2137" s="2">
        <v>7.95</v>
      </c>
      <c r="E2137" s="2">
        <v>84.0</v>
      </c>
      <c r="F2137" s="2">
        <v>689.13</v>
      </c>
      <c r="G2137" s="4">
        <f t="shared" si="3"/>
        <v>8946344.52</v>
      </c>
      <c r="H2137" s="4">
        <f t="shared" si="1"/>
        <v>0.9373378776</v>
      </c>
      <c r="I2137" s="4" t="str">
        <f t="shared" si="2"/>
        <v>B</v>
      </c>
    </row>
    <row r="2138">
      <c r="A2138" s="2">
        <v>2137.0</v>
      </c>
      <c r="B2138" s="2">
        <v>35962.0</v>
      </c>
      <c r="C2138" s="2" t="s">
        <v>2430</v>
      </c>
      <c r="D2138" s="2">
        <v>2.1</v>
      </c>
      <c r="E2138" s="2">
        <v>296.0</v>
      </c>
      <c r="F2138" s="2">
        <v>688.49</v>
      </c>
      <c r="G2138" s="4">
        <f t="shared" si="3"/>
        <v>8947033.01</v>
      </c>
      <c r="H2138" s="4">
        <f t="shared" si="1"/>
        <v>0.9374100129</v>
      </c>
      <c r="I2138" s="4" t="str">
        <f t="shared" si="2"/>
        <v>B</v>
      </c>
    </row>
    <row r="2139">
      <c r="A2139" s="2">
        <v>2138.0</v>
      </c>
      <c r="B2139" s="2">
        <v>23546.0</v>
      </c>
      <c r="C2139" s="2" t="s">
        <v>2431</v>
      </c>
      <c r="D2139" s="2">
        <v>0.42</v>
      </c>
      <c r="E2139" s="2">
        <v>1638.0</v>
      </c>
      <c r="F2139" s="2">
        <v>687.75</v>
      </c>
      <c r="G2139" s="4">
        <f t="shared" si="3"/>
        <v>8947720.76</v>
      </c>
      <c r="H2139" s="4">
        <f t="shared" si="1"/>
        <v>0.9374820707</v>
      </c>
      <c r="I2139" s="4" t="str">
        <f t="shared" si="2"/>
        <v>B</v>
      </c>
    </row>
    <row r="2140">
      <c r="A2140" s="2">
        <v>2139.0</v>
      </c>
      <c r="B2140" s="2">
        <v>21849.0</v>
      </c>
      <c r="C2140" s="2" t="s">
        <v>2432</v>
      </c>
      <c r="D2140" s="2">
        <v>4.21</v>
      </c>
      <c r="E2140" s="2">
        <v>270.0</v>
      </c>
      <c r="F2140" s="2">
        <v>686.7</v>
      </c>
      <c r="G2140" s="4">
        <f t="shared" si="3"/>
        <v>8948407.46</v>
      </c>
      <c r="H2140" s="4">
        <f t="shared" si="1"/>
        <v>0.9375540186</v>
      </c>
      <c r="I2140" s="4" t="str">
        <f t="shared" si="2"/>
        <v>B</v>
      </c>
    </row>
    <row r="2141">
      <c r="A2141" s="2">
        <v>2140.0</v>
      </c>
      <c r="B2141" s="2">
        <v>20704.0</v>
      </c>
      <c r="C2141" s="2" t="s">
        <v>2433</v>
      </c>
      <c r="D2141" s="2">
        <v>6.95</v>
      </c>
      <c r="E2141" s="2">
        <v>180.0</v>
      </c>
      <c r="F2141" s="2">
        <v>685.71</v>
      </c>
      <c r="G2141" s="4">
        <f t="shared" si="3"/>
        <v>8949093.17</v>
      </c>
      <c r="H2141" s="4">
        <f t="shared" si="1"/>
        <v>0.9376258626</v>
      </c>
      <c r="I2141" s="4" t="str">
        <f t="shared" si="2"/>
        <v>B</v>
      </c>
    </row>
    <row r="2142">
      <c r="A2142" s="2">
        <v>2141.0</v>
      </c>
      <c r="B2142" s="2" t="s">
        <v>2434</v>
      </c>
      <c r="C2142" s="2" t="s">
        <v>2435</v>
      </c>
      <c r="D2142" s="2">
        <v>4.21</v>
      </c>
      <c r="E2142" s="2">
        <v>214.0</v>
      </c>
      <c r="F2142" s="2">
        <v>684.62</v>
      </c>
      <c r="G2142" s="4">
        <f t="shared" si="3"/>
        <v>8949777.79</v>
      </c>
      <c r="H2142" s="4">
        <f t="shared" si="1"/>
        <v>0.9376975925</v>
      </c>
      <c r="I2142" s="4" t="str">
        <f t="shared" si="2"/>
        <v>B</v>
      </c>
    </row>
    <row r="2143">
      <c r="A2143" s="2">
        <v>2142.0</v>
      </c>
      <c r="B2143" s="2" t="s">
        <v>2436</v>
      </c>
      <c r="C2143" s="2" t="s">
        <v>2437</v>
      </c>
      <c r="D2143" s="2">
        <v>5.91</v>
      </c>
      <c r="E2143" s="2">
        <v>203.0</v>
      </c>
      <c r="F2143" s="2">
        <v>683.24</v>
      </c>
      <c r="G2143" s="4">
        <f t="shared" si="3"/>
        <v>8950461.03</v>
      </c>
      <c r="H2143" s="4">
        <f t="shared" si="1"/>
        <v>0.9377691778</v>
      </c>
      <c r="I2143" s="4" t="str">
        <f t="shared" si="2"/>
        <v>B</v>
      </c>
    </row>
    <row r="2144">
      <c r="A2144" s="2">
        <v>2143.0</v>
      </c>
      <c r="B2144" s="2">
        <v>84685.0</v>
      </c>
      <c r="C2144" s="2" t="s">
        <v>2438</v>
      </c>
      <c r="D2144" s="2">
        <v>7.62</v>
      </c>
      <c r="E2144" s="2">
        <v>218.0</v>
      </c>
      <c r="F2144" s="2">
        <v>683.08</v>
      </c>
      <c r="G2144" s="4">
        <f t="shared" si="3"/>
        <v>8951144.11</v>
      </c>
      <c r="H2144" s="4">
        <f t="shared" si="1"/>
        <v>0.9378407464</v>
      </c>
      <c r="I2144" s="4" t="str">
        <f t="shared" si="2"/>
        <v>B</v>
      </c>
    </row>
    <row r="2145">
      <c r="A2145" s="2">
        <v>2144.0</v>
      </c>
      <c r="B2145" s="2">
        <v>22393.0</v>
      </c>
      <c r="C2145" s="2" t="s">
        <v>2439</v>
      </c>
      <c r="D2145" s="2">
        <v>2.55</v>
      </c>
      <c r="E2145" s="2">
        <v>394.0</v>
      </c>
      <c r="F2145" s="2">
        <v>681.83</v>
      </c>
      <c r="G2145" s="4">
        <f t="shared" si="3"/>
        <v>8951825.94</v>
      </c>
      <c r="H2145" s="4">
        <f t="shared" si="1"/>
        <v>0.9379121839</v>
      </c>
      <c r="I2145" s="4" t="str">
        <f t="shared" si="2"/>
        <v>B</v>
      </c>
    </row>
    <row r="2146">
      <c r="A2146" s="2">
        <v>2145.0</v>
      </c>
      <c r="B2146" s="2">
        <v>35649.0</v>
      </c>
      <c r="C2146" s="2" t="s">
        <v>2440</v>
      </c>
      <c r="D2146" s="2">
        <v>2.46</v>
      </c>
      <c r="E2146" s="2">
        <v>913.0</v>
      </c>
      <c r="F2146" s="2">
        <v>681.45</v>
      </c>
      <c r="G2146" s="4">
        <f t="shared" si="3"/>
        <v>8952507.39</v>
      </c>
      <c r="H2146" s="4">
        <f t="shared" si="1"/>
        <v>0.9379835817</v>
      </c>
      <c r="I2146" s="4" t="str">
        <f t="shared" si="2"/>
        <v>B</v>
      </c>
    </row>
    <row r="2147">
      <c r="A2147" s="2">
        <v>2146.0</v>
      </c>
      <c r="B2147" s="2">
        <v>22920.0</v>
      </c>
      <c r="C2147" s="2" t="s">
        <v>2441</v>
      </c>
      <c r="D2147" s="2">
        <v>0.65</v>
      </c>
      <c r="E2147" s="2">
        <v>978.0</v>
      </c>
      <c r="F2147" s="2">
        <v>680.37</v>
      </c>
      <c r="G2147" s="4">
        <f t="shared" si="3"/>
        <v>8953187.76</v>
      </c>
      <c r="H2147" s="4">
        <f t="shared" si="1"/>
        <v>0.9380548663</v>
      </c>
      <c r="I2147" s="4" t="str">
        <f t="shared" si="2"/>
        <v>B</v>
      </c>
    </row>
    <row r="2148">
      <c r="A2148" s="2">
        <v>2147.0</v>
      </c>
      <c r="B2148" s="2" t="s">
        <v>2442</v>
      </c>
      <c r="C2148" s="2" t="s">
        <v>2443</v>
      </c>
      <c r="D2148" s="2">
        <v>45.0</v>
      </c>
      <c r="E2148" s="2">
        <v>14.0</v>
      </c>
      <c r="F2148" s="2">
        <v>679.98</v>
      </c>
      <c r="G2148" s="4">
        <f t="shared" si="3"/>
        <v>8953867.74</v>
      </c>
      <c r="H2148" s="4">
        <f t="shared" si="1"/>
        <v>0.93812611</v>
      </c>
      <c r="I2148" s="4" t="str">
        <f t="shared" si="2"/>
        <v>B</v>
      </c>
    </row>
    <row r="2149">
      <c r="A2149" s="2">
        <v>2148.0</v>
      </c>
      <c r="B2149" s="2">
        <v>84819.0</v>
      </c>
      <c r="C2149" s="2" t="s">
        <v>2444</v>
      </c>
      <c r="D2149" s="2">
        <v>4.25</v>
      </c>
      <c r="E2149" s="2">
        <v>453.0</v>
      </c>
      <c r="F2149" s="2">
        <v>679.88</v>
      </c>
      <c r="G2149" s="4">
        <f t="shared" si="3"/>
        <v>8954547.62</v>
      </c>
      <c r="H2149" s="4">
        <f t="shared" si="1"/>
        <v>0.9381973433</v>
      </c>
      <c r="I2149" s="4" t="str">
        <f t="shared" si="2"/>
        <v>B</v>
      </c>
    </row>
    <row r="2150">
      <c r="A2150" s="2">
        <v>2149.0</v>
      </c>
      <c r="B2150" s="2">
        <v>23000.0</v>
      </c>
      <c r="C2150" s="2" t="s">
        <v>2445</v>
      </c>
      <c r="D2150" s="2">
        <v>0.42</v>
      </c>
      <c r="E2150" s="2">
        <v>1574.0</v>
      </c>
      <c r="F2150" s="2">
        <v>679.52</v>
      </c>
      <c r="G2150" s="4">
        <f t="shared" si="3"/>
        <v>8955227.14</v>
      </c>
      <c r="H2150" s="4">
        <f t="shared" si="1"/>
        <v>0.9382685388</v>
      </c>
      <c r="I2150" s="4" t="str">
        <f t="shared" si="2"/>
        <v>B</v>
      </c>
    </row>
    <row r="2151">
      <c r="A2151" s="2">
        <v>2150.0</v>
      </c>
      <c r="B2151" s="2">
        <v>22916.0</v>
      </c>
      <c r="C2151" s="2" t="s">
        <v>2446</v>
      </c>
      <c r="D2151" s="2">
        <v>0.65</v>
      </c>
      <c r="E2151" s="2">
        <v>976.0</v>
      </c>
      <c r="F2151" s="2">
        <v>678.76</v>
      </c>
      <c r="G2151" s="4">
        <f t="shared" si="3"/>
        <v>8955905.9</v>
      </c>
      <c r="H2151" s="4">
        <f t="shared" si="1"/>
        <v>0.9383396547</v>
      </c>
      <c r="I2151" s="4" t="str">
        <f t="shared" si="2"/>
        <v>B</v>
      </c>
    </row>
    <row r="2152">
      <c r="A2152" s="2">
        <v>2151.0</v>
      </c>
      <c r="B2152" s="2">
        <v>21684.0</v>
      </c>
      <c r="C2152" s="2" t="s">
        <v>2447</v>
      </c>
      <c r="D2152" s="2">
        <v>0.85</v>
      </c>
      <c r="E2152" s="2">
        <v>848.0</v>
      </c>
      <c r="F2152" s="2">
        <v>678.38</v>
      </c>
      <c r="G2152" s="4">
        <f t="shared" si="3"/>
        <v>8956584.28</v>
      </c>
      <c r="H2152" s="4">
        <f t="shared" si="1"/>
        <v>0.9384107308</v>
      </c>
      <c r="I2152" s="4" t="str">
        <f t="shared" si="2"/>
        <v>B</v>
      </c>
    </row>
    <row r="2153">
      <c r="A2153" s="2">
        <v>2152.0</v>
      </c>
      <c r="B2153" s="2">
        <v>23469.0</v>
      </c>
      <c r="C2153" s="2" t="s">
        <v>2448</v>
      </c>
      <c r="D2153" s="2">
        <v>4.15</v>
      </c>
      <c r="E2153" s="2">
        <v>166.0</v>
      </c>
      <c r="F2153" s="2">
        <v>677.62</v>
      </c>
      <c r="G2153" s="4">
        <f t="shared" si="3"/>
        <v>8957261.9</v>
      </c>
      <c r="H2153" s="4">
        <f t="shared" si="1"/>
        <v>0.9384817273</v>
      </c>
      <c r="I2153" s="4" t="str">
        <f t="shared" si="2"/>
        <v>B</v>
      </c>
    </row>
    <row r="2154">
      <c r="A2154" s="2">
        <v>2153.0</v>
      </c>
      <c r="B2154" s="2">
        <v>23061.0</v>
      </c>
      <c r="C2154" s="2" t="s">
        <v>2449</v>
      </c>
      <c r="D2154" s="2">
        <v>1.25</v>
      </c>
      <c r="E2154" s="2">
        <v>516.0</v>
      </c>
      <c r="F2154" s="2">
        <v>677.59</v>
      </c>
      <c r="G2154" s="4">
        <f t="shared" si="3"/>
        <v>8957939.49</v>
      </c>
      <c r="H2154" s="4">
        <f t="shared" si="1"/>
        <v>0.9385527206</v>
      </c>
      <c r="I2154" s="4" t="str">
        <f t="shared" si="2"/>
        <v>B</v>
      </c>
    </row>
    <row r="2155">
      <c r="A2155" s="2">
        <v>2154.0</v>
      </c>
      <c r="B2155" s="2">
        <v>84466.0</v>
      </c>
      <c r="C2155" s="2" t="s">
        <v>2450</v>
      </c>
      <c r="D2155" s="2">
        <v>1.25</v>
      </c>
      <c r="E2155" s="2">
        <v>630.0</v>
      </c>
      <c r="F2155" s="2">
        <v>676.06</v>
      </c>
      <c r="G2155" s="4">
        <f t="shared" si="3"/>
        <v>8958615.55</v>
      </c>
      <c r="H2155" s="4">
        <f t="shared" si="1"/>
        <v>0.9386235536</v>
      </c>
      <c r="I2155" s="4" t="str">
        <f t="shared" si="2"/>
        <v>B</v>
      </c>
    </row>
    <row r="2156">
      <c r="A2156" s="2">
        <v>2155.0</v>
      </c>
      <c r="B2156" s="2" t="s">
        <v>2451</v>
      </c>
      <c r="C2156" s="2" t="s">
        <v>2452</v>
      </c>
      <c r="D2156" s="2">
        <v>0.85</v>
      </c>
      <c r="E2156" s="2">
        <v>562.0</v>
      </c>
      <c r="F2156" s="2">
        <v>675.59</v>
      </c>
      <c r="G2156" s="4">
        <f t="shared" si="3"/>
        <v>8959291.14</v>
      </c>
      <c r="H2156" s="4">
        <f t="shared" si="1"/>
        <v>0.9386943374</v>
      </c>
      <c r="I2156" s="4" t="str">
        <f t="shared" si="2"/>
        <v>B</v>
      </c>
    </row>
    <row r="2157">
      <c r="A2157" s="2">
        <v>2156.0</v>
      </c>
      <c r="B2157" s="2">
        <v>21738.0</v>
      </c>
      <c r="C2157" s="2" t="s">
        <v>2453</v>
      </c>
      <c r="D2157" s="2">
        <v>2.95</v>
      </c>
      <c r="E2157" s="2">
        <v>215.0</v>
      </c>
      <c r="F2157" s="2">
        <v>673.12</v>
      </c>
      <c r="G2157" s="4">
        <f t="shared" si="3"/>
        <v>8959964.26</v>
      </c>
      <c r="H2157" s="4">
        <f t="shared" si="1"/>
        <v>0.9387648624</v>
      </c>
      <c r="I2157" s="4" t="str">
        <f t="shared" si="2"/>
        <v>B</v>
      </c>
    </row>
    <row r="2158">
      <c r="A2158" s="2">
        <v>2157.0</v>
      </c>
      <c r="B2158" s="2">
        <v>21209.0</v>
      </c>
      <c r="C2158" s="2" t="s">
        <v>2454</v>
      </c>
      <c r="D2158" s="2">
        <v>1.65</v>
      </c>
      <c r="E2158" s="2">
        <v>731.0</v>
      </c>
      <c r="F2158" s="2">
        <v>672.47</v>
      </c>
      <c r="G2158" s="4">
        <f t="shared" si="3"/>
        <v>8960636.73</v>
      </c>
      <c r="H2158" s="4">
        <f t="shared" si="1"/>
        <v>0.9388353193</v>
      </c>
      <c r="I2158" s="4" t="str">
        <f t="shared" si="2"/>
        <v>B</v>
      </c>
    </row>
    <row r="2159">
      <c r="A2159" s="2">
        <v>2158.0</v>
      </c>
      <c r="B2159" s="2">
        <v>21530.0</v>
      </c>
      <c r="C2159" s="2" t="s">
        <v>2455</v>
      </c>
      <c r="D2159" s="2">
        <v>2.95</v>
      </c>
      <c r="E2159" s="2">
        <v>462.0</v>
      </c>
      <c r="F2159" s="2">
        <v>670.59</v>
      </c>
      <c r="G2159" s="4">
        <f t="shared" si="3"/>
        <v>8961307.32</v>
      </c>
      <c r="H2159" s="4">
        <f t="shared" si="1"/>
        <v>0.9389055792</v>
      </c>
      <c r="I2159" s="4" t="str">
        <f t="shared" si="2"/>
        <v>B</v>
      </c>
    </row>
    <row r="2160">
      <c r="A2160" s="2">
        <v>2159.0</v>
      </c>
      <c r="B2160" s="2">
        <v>85141.0</v>
      </c>
      <c r="C2160" s="2" t="s">
        <v>2456</v>
      </c>
      <c r="D2160" s="2">
        <v>10.75</v>
      </c>
      <c r="E2160" s="2">
        <v>94.0</v>
      </c>
      <c r="F2160" s="2">
        <v>670.1</v>
      </c>
      <c r="G2160" s="4">
        <f t="shared" si="3"/>
        <v>8961977.42</v>
      </c>
      <c r="H2160" s="4">
        <f t="shared" si="1"/>
        <v>0.9389757878</v>
      </c>
      <c r="I2160" s="4" t="str">
        <f t="shared" si="2"/>
        <v>B</v>
      </c>
    </row>
    <row r="2161">
      <c r="A2161" s="2">
        <v>2160.0</v>
      </c>
      <c r="B2161" s="2">
        <v>22269.0</v>
      </c>
      <c r="C2161" s="2" t="s">
        <v>2457</v>
      </c>
      <c r="D2161" s="2">
        <v>1.25</v>
      </c>
      <c r="E2161" s="2">
        <v>754.0</v>
      </c>
      <c r="F2161" s="2">
        <v>670.1</v>
      </c>
      <c r="G2161" s="4">
        <f t="shared" si="3"/>
        <v>8962647.52</v>
      </c>
      <c r="H2161" s="4">
        <f t="shared" si="1"/>
        <v>0.9390459964</v>
      </c>
      <c r="I2161" s="4" t="str">
        <f t="shared" si="2"/>
        <v>B</v>
      </c>
    </row>
    <row r="2162">
      <c r="A2162" s="2">
        <v>2161.0</v>
      </c>
      <c r="B2162" s="2">
        <v>20780.0</v>
      </c>
      <c r="C2162" s="2" t="s">
        <v>2458</v>
      </c>
      <c r="D2162" s="2">
        <v>5.49</v>
      </c>
      <c r="E2162" s="2">
        <v>116.0</v>
      </c>
      <c r="F2162" s="2">
        <v>669.72</v>
      </c>
      <c r="G2162" s="4">
        <f t="shared" si="3"/>
        <v>8963317.24</v>
      </c>
      <c r="H2162" s="4">
        <f t="shared" si="1"/>
        <v>0.9391161651</v>
      </c>
      <c r="I2162" s="4" t="str">
        <f t="shared" si="2"/>
        <v>B</v>
      </c>
    </row>
    <row r="2163">
      <c r="A2163" s="2">
        <v>2162.0</v>
      </c>
      <c r="B2163" s="2">
        <v>23414.0</v>
      </c>
      <c r="C2163" s="2" t="s">
        <v>2459</v>
      </c>
      <c r="D2163" s="2">
        <v>9.95</v>
      </c>
      <c r="E2163" s="2">
        <v>68.0</v>
      </c>
      <c r="F2163" s="2">
        <v>669.47</v>
      </c>
      <c r="G2163" s="4">
        <f t="shared" si="3"/>
        <v>8963986.71</v>
      </c>
      <c r="H2163" s="4">
        <f t="shared" si="1"/>
        <v>0.9391863077</v>
      </c>
      <c r="I2163" s="4" t="str">
        <f t="shared" si="2"/>
        <v>B</v>
      </c>
    </row>
    <row r="2164">
      <c r="A2164" s="2">
        <v>2163.0</v>
      </c>
      <c r="B2164" s="2">
        <v>21059.0</v>
      </c>
      <c r="C2164" s="2" t="s">
        <v>2460</v>
      </c>
      <c r="D2164" s="2">
        <v>0.85</v>
      </c>
      <c r="E2164" s="2">
        <v>790.0</v>
      </c>
      <c r="F2164" s="2">
        <v>667.9</v>
      </c>
      <c r="G2164" s="4">
        <f t="shared" si="3"/>
        <v>8964654.61</v>
      </c>
      <c r="H2164" s="4">
        <f t="shared" si="1"/>
        <v>0.9392562858</v>
      </c>
      <c r="I2164" s="4" t="str">
        <f t="shared" si="2"/>
        <v>B</v>
      </c>
    </row>
    <row r="2165">
      <c r="A2165" s="2">
        <v>2164.0</v>
      </c>
      <c r="B2165" s="2">
        <v>23538.0</v>
      </c>
      <c r="C2165" s="2" t="s">
        <v>2461</v>
      </c>
      <c r="D2165" s="2">
        <v>4.95</v>
      </c>
      <c r="E2165" s="2">
        <v>166.0</v>
      </c>
      <c r="F2165" s="2">
        <v>667.24</v>
      </c>
      <c r="G2165" s="4">
        <f t="shared" si="3"/>
        <v>8965321.85</v>
      </c>
      <c r="H2165" s="4">
        <f t="shared" si="1"/>
        <v>0.9393261947</v>
      </c>
      <c r="I2165" s="4" t="str">
        <f t="shared" si="2"/>
        <v>B</v>
      </c>
    </row>
    <row r="2166">
      <c r="A2166" s="2">
        <v>2165.0</v>
      </c>
      <c r="B2166" s="2">
        <v>20993.0</v>
      </c>
      <c r="C2166" s="2" t="s">
        <v>2462</v>
      </c>
      <c r="D2166" s="2">
        <v>0.85</v>
      </c>
      <c r="E2166" s="2">
        <v>5484.0</v>
      </c>
      <c r="F2166" s="2">
        <v>667.06</v>
      </c>
      <c r="G2166" s="4">
        <f t="shared" si="3"/>
        <v>8965988.91</v>
      </c>
      <c r="H2166" s="4">
        <f t="shared" si="1"/>
        <v>0.9393960848</v>
      </c>
      <c r="I2166" s="4" t="str">
        <f t="shared" si="2"/>
        <v>B</v>
      </c>
    </row>
    <row r="2167">
      <c r="A2167" s="2">
        <v>2166.0</v>
      </c>
      <c r="B2167" s="2" t="s">
        <v>2463</v>
      </c>
      <c r="C2167" s="2" t="s">
        <v>2464</v>
      </c>
      <c r="D2167" s="2">
        <v>1.63</v>
      </c>
      <c r="E2167" s="2">
        <v>576.0</v>
      </c>
      <c r="F2167" s="2">
        <v>666.99</v>
      </c>
      <c r="G2167" s="4">
        <f t="shared" si="3"/>
        <v>8966655.9</v>
      </c>
      <c r="H2167" s="4">
        <f t="shared" si="1"/>
        <v>0.9394659675</v>
      </c>
      <c r="I2167" s="4" t="str">
        <f t="shared" si="2"/>
        <v>B</v>
      </c>
    </row>
    <row r="2168">
      <c r="A2168" s="2">
        <v>2167.0</v>
      </c>
      <c r="B2168" s="2">
        <v>22050.0</v>
      </c>
      <c r="C2168" s="2" t="s">
        <v>2465</v>
      </c>
      <c r="D2168" s="2">
        <v>0.42</v>
      </c>
      <c r="E2168" s="2">
        <v>1625.0</v>
      </c>
      <c r="F2168" s="2">
        <v>666.5</v>
      </c>
      <c r="G2168" s="4">
        <f t="shared" si="3"/>
        <v>8967322.4</v>
      </c>
      <c r="H2168" s="4">
        <f t="shared" si="1"/>
        <v>0.9395357989</v>
      </c>
      <c r="I2168" s="4" t="str">
        <f t="shared" si="2"/>
        <v>B</v>
      </c>
    </row>
    <row r="2169">
      <c r="A2169" s="2">
        <v>2168.0</v>
      </c>
      <c r="B2169" s="2">
        <v>21281.0</v>
      </c>
      <c r="C2169" s="2" t="s">
        <v>2466</v>
      </c>
      <c r="D2169" s="2">
        <v>2.55</v>
      </c>
      <c r="E2169" s="2">
        <v>1072.0</v>
      </c>
      <c r="F2169" s="2">
        <v>666.4</v>
      </c>
      <c r="G2169" s="4">
        <f t="shared" si="3"/>
        <v>8967988.8</v>
      </c>
      <c r="H2169" s="4">
        <f t="shared" si="1"/>
        <v>0.9396056198</v>
      </c>
      <c r="I2169" s="4" t="str">
        <f t="shared" si="2"/>
        <v>B</v>
      </c>
    </row>
    <row r="2170">
      <c r="A2170" s="2">
        <v>2169.0</v>
      </c>
      <c r="B2170" s="2">
        <v>22684.0</v>
      </c>
      <c r="C2170" s="2" t="s">
        <v>2467</v>
      </c>
      <c r="D2170" s="2">
        <v>1.25</v>
      </c>
      <c r="E2170" s="2">
        <v>502.0</v>
      </c>
      <c r="F2170" s="2">
        <v>666.22</v>
      </c>
      <c r="G2170" s="4">
        <f t="shared" si="3"/>
        <v>8968655.02</v>
      </c>
      <c r="H2170" s="4">
        <f t="shared" si="1"/>
        <v>0.9396754219</v>
      </c>
      <c r="I2170" s="4" t="str">
        <f t="shared" si="2"/>
        <v>B</v>
      </c>
    </row>
    <row r="2171">
      <c r="A2171" s="2">
        <v>2170.0</v>
      </c>
      <c r="B2171" s="2">
        <v>21580.0</v>
      </c>
      <c r="C2171" s="2" t="s">
        <v>2468</v>
      </c>
      <c r="D2171" s="2">
        <v>2.25</v>
      </c>
      <c r="E2171" s="2">
        <v>272.0</v>
      </c>
      <c r="F2171" s="2">
        <v>665.94</v>
      </c>
      <c r="G2171" s="4">
        <f t="shared" si="3"/>
        <v>8969320.96</v>
      </c>
      <c r="H2171" s="4">
        <f t="shared" si="1"/>
        <v>0.9397451946</v>
      </c>
      <c r="I2171" s="4" t="str">
        <f t="shared" si="2"/>
        <v>B</v>
      </c>
    </row>
    <row r="2172">
      <c r="A2172" s="2">
        <v>2171.0</v>
      </c>
      <c r="B2172" s="2">
        <v>20933.0</v>
      </c>
      <c r="C2172" s="2" t="s">
        <v>2469</v>
      </c>
      <c r="D2172" s="2">
        <v>3.75</v>
      </c>
      <c r="E2172" s="2">
        <v>252.0</v>
      </c>
      <c r="F2172" s="2">
        <v>664.75</v>
      </c>
      <c r="G2172" s="4">
        <f t="shared" si="3"/>
        <v>8969985.71</v>
      </c>
      <c r="H2172" s="4">
        <f t="shared" si="1"/>
        <v>0.9398148426</v>
      </c>
      <c r="I2172" s="4" t="str">
        <f t="shared" si="2"/>
        <v>B</v>
      </c>
    </row>
    <row r="2173">
      <c r="A2173" s="2">
        <v>2172.0</v>
      </c>
      <c r="B2173" s="2">
        <v>20762.0</v>
      </c>
      <c r="C2173" s="2" t="s">
        <v>2470</v>
      </c>
      <c r="D2173" s="2">
        <v>3.75</v>
      </c>
      <c r="E2173" s="2">
        <v>227.0</v>
      </c>
      <c r="F2173" s="2">
        <v>664.4</v>
      </c>
      <c r="G2173" s="4">
        <f t="shared" si="3"/>
        <v>8970650.11</v>
      </c>
      <c r="H2173" s="4">
        <f t="shared" si="1"/>
        <v>0.939884454</v>
      </c>
      <c r="I2173" s="4" t="str">
        <f t="shared" si="2"/>
        <v>B</v>
      </c>
    </row>
    <row r="2174">
      <c r="A2174" s="2">
        <v>2173.0</v>
      </c>
      <c r="B2174" s="2">
        <v>22051.0</v>
      </c>
      <c r="C2174" s="2" t="s">
        <v>2471</v>
      </c>
      <c r="D2174" s="2">
        <v>0.42</v>
      </c>
      <c r="E2174" s="2">
        <v>1600.0</v>
      </c>
      <c r="F2174" s="2">
        <v>664.0</v>
      </c>
      <c r="G2174" s="4">
        <f t="shared" si="3"/>
        <v>8971314.11</v>
      </c>
      <c r="H2174" s="4">
        <f t="shared" si="1"/>
        <v>0.9399540235</v>
      </c>
      <c r="I2174" s="4" t="str">
        <f t="shared" si="2"/>
        <v>B</v>
      </c>
    </row>
    <row r="2175">
      <c r="A2175" s="2">
        <v>2174.0</v>
      </c>
      <c r="B2175" s="2">
        <v>21775.0</v>
      </c>
      <c r="C2175" s="2" t="s">
        <v>2472</v>
      </c>
      <c r="D2175" s="2">
        <v>2.46</v>
      </c>
      <c r="E2175" s="2">
        <v>438.0</v>
      </c>
      <c r="F2175" s="2">
        <v>663.77</v>
      </c>
      <c r="G2175" s="4">
        <f t="shared" si="3"/>
        <v>8971977.88</v>
      </c>
      <c r="H2175" s="4">
        <f t="shared" si="1"/>
        <v>0.9400235688</v>
      </c>
      <c r="I2175" s="4" t="str">
        <f t="shared" si="2"/>
        <v>B</v>
      </c>
    </row>
    <row r="2176">
      <c r="A2176" s="2">
        <v>2175.0</v>
      </c>
      <c r="B2176" s="2" t="s">
        <v>2473</v>
      </c>
      <c r="C2176" s="2" t="s">
        <v>2474</v>
      </c>
      <c r="D2176" s="2">
        <v>0.65</v>
      </c>
      <c r="E2176" s="2">
        <v>721.0</v>
      </c>
      <c r="F2176" s="2">
        <v>662.08</v>
      </c>
      <c r="G2176" s="4">
        <f t="shared" si="3"/>
        <v>8972639.96</v>
      </c>
      <c r="H2176" s="4">
        <f t="shared" si="1"/>
        <v>0.9400929371</v>
      </c>
      <c r="I2176" s="4" t="str">
        <f t="shared" si="2"/>
        <v>B</v>
      </c>
    </row>
    <row r="2177">
      <c r="A2177" s="2">
        <v>2176.0</v>
      </c>
      <c r="B2177" s="2">
        <v>23221.0</v>
      </c>
      <c r="C2177" s="2" t="s">
        <v>2475</v>
      </c>
      <c r="D2177" s="2">
        <v>0.83</v>
      </c>
      <c r="E2177" s="2">
        <v>744.0</v>
      </c>
      <c r="F2177" s="2">
        <v>662.02</v>
      </c>
      <c r="G2177" s="4">
        <f t="shared" si="3"/>
        <v>8973301.98</v>
      </c>
      <c r="H2177" s="4">
        <f t="shared" si="1"/>
        <v>0.9401622991</v>
      </c>
      <c r="I2177" s="4" t="str">
        <f t="shared" si="2"/>
        <v>B</v>
      </c>
    </row>
    <row r="2178">
      <c r="A2178" s="2">
        <v>2177.0</v>
      </c>
      <c r="B2178" s="2">
        <v>15034.0</v>
      </c>
      <c r="C2178" s="2" t="s">
        <v>2476</v>
      </c>
      <c r="D2178" s="2">
        <v>0.14</v>
      </c>
      <c r="E2178" s="2">
        <v>4446.0</v>
      </c>
      <c r="F2178" s="2">
        <v>661.93</v>
      </c>
      <c r="G2178" s="4">
        <f t="shared" si="3"/>
        <v>8973963.91</v>
      </c>
      <c r="H2178" s="4">
        <f t="shared" si="1"/>
        <v>0.9402316517</v>
      </c>
      <c r="I2178" s="4" t="str">
        <f t="shared" si="2"/>
        <v>B</v>
      </c>
    </row>
    <row r="2179">
      <c r="A2179" s="2">
        <v>2178.0</v>
      </c>
      <c r="B2179" s="2" t="s">
        <v>2477</v>
      </c>
      <c r="C2179" s="2" t="s">
        <v>2478</v>
      </c>
      <c r="D2179" s="2">
        <v>0.83</v>
      </c>
      <c r="E2179" s="2">
        <v>1171.0</v>
      </c>
      <c r="F2179" s="2">
        <v>661.12</v>
      </c>
      <c r="G2179" s="4">
        <f t="shared" si="3"/>
        <v>8974625.03</v>
      </c>
      <c r="H2179" s="4">
        <f t="shared" si="1"/>
        <v>0.9403009194</v>
      </c>
      <c r="I2179" s="4" t="str">
        <f t="shared" si="2"/>
        <v>B</v>
      </c>
    </row>
    <row r="2180">
      <c r="A2180" s="2">
        <v>2179.0</v>
      </c>
      <c r="B2180" s="2">
        <v>85200.0</v>
      </c>
      <c r="C2180" s="2" t="s">
        <v>2479</v>
      </c>
      <c r="D2180" s="2">
        <v>1.25</v>
      </c>
      <c r="E2180" s="2">
        <v>524.0</v>
      </c>
      <c r="F2180" s="2">
        <v>660.8</v>
      </c>
      <c r="G2180" s="4">
        <f t="shared" si="3"/>
        <v>8975285.83</v>
      </c>
      <c r="H2180" s="4">
        <f t="shared" si="1"/>
        <v>0.9403701536</v>
      </c>
      <c r="I2180" s="4" t="str">
        <f t="shared" si="2"/>
        <v>B</v>
      </c>
    </row>
    <row r="2181">
      <c r="A2181" s="2">
        <v>2180.0</v>
      </c>
      <c r="B2181" s="2">
        <v>23405.0</v>
      </c>
      <c r="C2181" s="2" t="s">
        <v>2480</v>
      </c>
      <c r="D2181" s="2">
        <v>4.95</v>
      </c>
      <c r="E2181" s="2">
        <v>127.0</v>
      </c>
      <c r="F2181" s="2">
        <v>660.69</v>
      </c>
      <c r="G2181" s="4">
        <f t="shared" si="3"/>
        <v>8975946.52</v>
      </c>
      <c r="H2181" s="4">
        <f t="shared" si="1"/>
        <v>0.9404393763</v>
      </c>
      <c r="I2181" s="4" t="str">
        <f t="shared" si="2"/>
        <v>B</v>
      </c>
    </row>
    <row r="2182">
      <c r="A2182" s="2">
        <v>2181.0</v>
      </c>
      <c r="B2182" s="2">
        <v>22339.0</v>
      </c>
      <c r="C2182" s="2" t="s">
        <v>2481</v>
      </c>
      <c r="D2182" s="2">
        <v>0.63</v>
      </c>
      <c r="E2182" s="2">
        <v>1711.0</v>
      </c>
      <c r="F2182" s="2">
        <v>660.56</v>
      </c>
      <c r="G2182" s="4">
        <f t="shared" si="3"/>
        <v>8976607.08</v>
      </c>
      <c r="H2182" s="4">
        <f t="shared" si="1"/>
        <v>0.9405085853</v>
      </c>
      <c r="I2182" s="4" t="str">
        <f t="shared" si="2"/>
        <v>B</v>
      </c>
    </row>
    <row r="2183">
      <c r="A2183" s="2">
        <v>2182.0</v>
      </c>
      <c r="B2183" s="2">
        <v>22918.0</v>
      </c>
      <c r="C2183" s="2" t="s">
        <v>2482</v>
      </c>
      <c r="D2183" s="2">
        <v>0.65</v>
      </c>
      <c r="E2183" s="2">
        <v>960.0</v>
      </c>
      <c r="F2183" s="2">
        <v>659.48</v>
      </c>
      <c r="G2183" s="4">
        <f t="shared" si="3"/>
        <v>8977266.56</v>
      </c>
      <c r="H2183" s="4">
        <f t="shared" si="1"/>
        <v>0.9405776812</v>
      </c>
      <c r="I2183" s="4" t="str">
        <f t="shared" si="2"/>
        <v>B</v>
      </c>
    </row>
    <row r="2184">
      <c r="A2184" s="2">
        <v>2183.0</v>
      </c>
      <c r="B2184" s="2" t="s">
        <v>2483</v>
      </c>
      <c r="C2184" s="2" t="s">
        <v>2484</v>
      </c>
      <c r="D2184" s="2">
        <v>0.39</v>
      </c>
      <c r="E2184" s="2">
        <v>1175.0</v>
      </c>
      <c r="F2184" s="2">
        <v>658.91</v>
      </c>
      <c r="G2184" s="4">
        <f t="shared" si="3"/>
        <v>8977925.47</v>
      </c>
      <c r="H2184" s="4">
        <f t="shared" si="1"/>
        <v>0.9406467173</v>
      </c>
      <c r="I2184" s="4" t="str">
        <f t="shared" si="2"/>
        <v>B</v>
      </c>
    </row>
    <row r="2185">
      <c r="A2185" s="2">
        <v>2184.0</v>
      </c>
      <c r="B2185" s="2">
        <v>21945.0</v>
      </c>
      <c r="C2185" s="2" t="s">
        <v>2485</v>
      </c>
      <c r="D2185" s="2">
        <v>1.63</v>
      </c>
      <c r="E2185" s="2">
        <v>937.0</v>
      </c>
      <c r="F2185" s="2">
        <v>658.65</v>
      </c>
      <c r="G2185" s="4">
        <f t="shared" si="3"/>
        <v>8978584.12</v>
      </c>
      <c r="H2185" s="4">
        <f t="shared" si="1"/>
        <v>0.9407157263</v>
      </c>
      <c r="I2185" s="4" t="str">
        <f t="shared" si="2"/>
        <v>B</v>
      </c>
    </row>
    <row r="2186">
      <c r="A2186" s="2">
        <v>2185.0</v>
      </c>
      <c r="B2186" s="2">
        <v>20798.0</v>
      </c>
      <c r="C2186" s="2" t="s">
        <v>2486</v>
      </c>
      <c r="D2186" s="2">
        <v>2.1</v>
      </c>
      <c r="E2186" s="2">
        <v>278.0</v>
      </c>
      <c r="F2186" s="2">
        <v>658.28</v>
      </c>
      <c r="G2186" s="4">
        <f t="shared" si="3"/>
        <v>8979242.4</v>
      </c>
      <c r="H2186" s="4">
        <f t="shared" si="1"/>
        <v>0.9407846964</v>
      </c>
      <c r="I2186" s="4" t="str">
        <f t="shared" si="2"/>
        <v>B</v>
      </c>
    </row>
    <row r="2187">
      <c r="A2187" s="2">
        <v>2186.0</v>
      </c>
      <c r="B2187" s="2">
        <v>22977.0</v>
      </c>
      <c r="C2187" s="2" t="s">
        <v>2487</v>
      </c>
      <c r="D2187" s="2">
        <v>1.25</v>
      </c>
      <c r="E2187" s="2">
        <v>500.0</v>
      </c>
      <c r="F2187" s="2">
        <v>657.56</v>
      </c>
      <c r="G2187" s="4">
        <f t="shared" si="3"/>
        <v>8979899.96</v>
      </c>
      <c r="H2187" s="4">
        <f t="shared" si="1"/>
        <v>0.9408535911</v>
      </c>
      <c r="I2187" s="4" t="str">
        <f t="shared" si="2"/>
        <v>B</v>
      </c>
    </row>
    <row r="2188">
      <c r="A2188" s="2">
        <v>2187.0</v>
      </c>
      <c r="B2188" s="2">
        <v>20760.0</v>
      </c>
      <c r="C2188" s="2" t="s">
        <v>2488</v>
      </c>
      <c r="D2188" s="2">
        <v>0.85</v>
      </c>
      <c r="E2188" s="2">
        <v>2776.0</v>
      </c>
      <c r="F2188" s="2">
        <v>657.26</v>
      </c>
      <c r="G2188" s="4">
        <f t="shared" si="3"/>
        <v>8980557.22</v>
      </c>
      <c r="H2188" s="4">
        <f t="shared" si="1"/>
        <v>0.9409224544</v>
      </c>
      <c r="I2188" s="4" t="str">
        <f t="shared" si="2"/>
        <v>B</v>
      </c>
    </row>
    <row r="2189">
      <c r="A2189" s="2">
        <v>2188.0</v>
      </c>
      <c r="B2189" s="2">
        <v>16235.0</v>
      </c>
      <c r="C2189" s="2" t="s">
        <v>2489</v>
      </c>
      <c r="D2189" s="2">
        <v>0.21</v>
      </c>
      <c r="E2189" s="2">
        <v>2866.0</v>
      </c>
      <c r="F2189" s="2">
        <v>657.0</v>
      </c>
      <c r="G2189" s="4">
        <f t="shared" si="3"/>
        <v>8981214.22</v>
      </c>
      <c r="H2189" s="4">
        <f t="shared" si="1"/>
        <v>0.9409912905</v>
      </c>
      <c r="I2189" s="4" t="str">
        <f t="shared" si="2"/>
        <v>B</v>
      </c>
    </row>
    <row r="2190">
      <c r="A2190" s="2">
        <v>2189.0</v>
      </c>
      <c r="B2190" s="2">
        <v>23373.0</v>
      </c>
      <c r="C2190" s="2" t="s">
        <v>2490</v>
      </c>
      <c r="D2190" s="2">
        <v>0.82</v>
      </c>
      <c r="E2190" s="2">
        <v>804.0</v>
      </c>
      <c r="F2190" s="2">
        <v>656.7</v>
      </c>
      <c r="G2190" s="4">
        <f t="shared" si="3"/>
        <v>8981870.92</v>
      </c>
      <c r="H2190" s="4">
        <f t="shared" si="1"/>
        <v>0.9410600951</v>
      </c>
      <c r="I2190" s="4" t="str">
        <f t="shared" si="2"/>
        <v>B</v>
      </c>
    </row>
    <row r="2191">
      <c r="A2191" s="2">
        <v>2190.0</v>
      </c>
      <c r="B2191" s="2">
        <v>22481.0</v>
      </c>
      <c r="C2191" s="2" t="s">
        <v>2491</v>
      </c>
      <c r="D2191" s="2">
        <v>1.25</v>
      </c>
      <c r="E2191" s="2">
        <v>638.0</v>
      </c>
      <c r="F2191" s="2">
        <v>656.54</v>
      </c>
      <c r="G2191" s="4">
        <f t="shared" si="3"/>
        <v>8982527.46</v>
      </c>
      <c r="H2191" s="4">
        <f t="shared" si="1"/>
        <v>0.9411288829</v>
      </c>
      <c r="I2191" s="4" t="str">
        <f t="shared" si="2"/>
        <v>B</v>
      </c>
    </row>
    <row r="2192">
      <c r="A2192" s="2">
        <v>2191.0</v>
      </c>
      <c r="B2192" s="2" t="s">
        <v>2492</v>
      </c>
      <c r="C2192" s="2" t="s">
        <v>2493</v>
      </c>
      <c r="D2192" s="2">
        <v>1.25</v>
      </c>
      <c r="E2192" s="2">
        <v>864.0</v>
      </c>
      <c r="F2192" s="2">
        <v>656.1</v>
      </c>
      <c r="G2192" s="4">
        <f t="shared" si="3"/>
        <v>8983183.56</v>
      </c>
      <c r="H2192" s="4">
        <f t="shared" si="1"/>
        <v>0.9411976247</v>
      </c>
      <c r="I2192" s="4" t="str">
        <f t="shared" si="2"/>
        <v>B</v>
      </c>
    </row>
    <row r="2193">
      <c r="A2193" s="2">
        <v>2192.0</v>
      </c>
      <c r="B2193" s="2" t="s">
        <v>2494</v>
      </c>
      <c r="C2193" s="2" t="s">
        <v>2495</v>
      </c>
      <c r="D2193" s="2">
        <v>7.95</v>
      </c>
      <c r="E2193" s="2">
        <v>80.0</v>
      </c>
      <c r="F2193" s="2">
        <v>654.98</v>
      </c>
      <c r="G2193" s="4">
        <f t="shared" si="3"/>
        <v>8983838.54</v>
      </c>
      <c r="H2193" s="4">
        <f t="shared" si="1"/>
        <v>0.9412662491</v>
      </c>
      <c r="I2193" s="4" t="str">
        <f t="shared" si="2"/>
        <v>B</v>
      </c>
    </row>
    <row r="2194">
      <c r="A2194" s="2">
        <v>2193.0</v>
      </c>
      <c r="B2194" s="2">
        <v>21277.0</v>
      </c>
      <c r="C2194" s="2" t="s">
        <v>2496</v>
      </c>
      <c r="D2194" s="2">
        <v>21.95</v>
      </c>
      <c r="E2194" s="2">
        <v>27.0</v>
      </c>
      <c r="F2194" s="2">
        <v>654.69</v>
      </c>
      <c r="G2194" s="4">
        <f t="shared" si="3"/>
        <v>8984493.23</v>
      </c>
      <c r="H2194" s="4">
        <f t="shared" si="1"/>
        <v>0.9413348431</v>
      </c>
      <c r="I2194" s="4" t="str">
        <f t="shared" si="2"/>
        <v>B</v>
      </c>
    </row>
    <row r="2195">
      <c r="A2195" s="2">
        <v>2194.0</v>
      </c>
      <c r="B2195" s="2">
        <v>21842.0</v>
      </c>
      <c r="C2195" s="2" t="s">
        <v>2497</v>
      </c>
      <c r="D2195" s="2">
        <v>2.55</v>
      </c>
      <c r="E2195" s="2">
        <v>276.0</v>
      </c>
      <c r="F2195" s="2">
        <v>654.37</v>
      </c>
      <c r="G2195" s="4">
        <f t="shared" si="3"/>
        <v>8985147.6</v>
      </c>
      <c r="H2195" s="4">
        <f t="shared" si="1"/>
        <v>0.9414034036</v>
      </c>
      <c r="I2195" s="4" t="str">
        <f t="shared" si="2"/>
        <v>B</v>
      </c>
    </row>
    <row r="2196">
      <c r="A2196" s="2">
        <v>2195.0</v>
      </c>
      <c r="B2196" s="2" t="s">
        <v>2498</v>
      </c>
      <c r="C2196" s="2" t="s">
        <v>2499</v>
      </c>
      <c r="D2196" s="2">
        <v>1.25</v>
      </c>
      <c r="E2196" s="2">
        <v>518.0</v>
      </c>
      <c r="F2196" s="2">
        <v>652.52</v>
      </c>
      <c r="G2196" s="4">
        <f t="shared" si="3"/>
        <v>8985800.12</v>
      </c>
      <c r="H2196" s="4">
        <f t="shared" si="1"/>
        <v>0.9414717703</v>
      </c>
      <c r="I2196" s="4" t="str">
        <f t="shared" si="2"/>
        <v>B</v>
      </c>
    </row>
    <row r="2197">
      <c r="A2197" s="2">
        <v>2196.0</v>
      </c>
      <c r="B2197" s="2">
        <v>22893.0</v>
      </c>
      <c r="C2197" s="2" t="s">
        <v>2500</v>
      </c>
      <c r="D2197" s="2">
        <v>0.42</v>
      </c>
      <c r="E2197" s="2">
        <v>1358.0</v>
      </c>
      <c r="F2197" s="2">
        <v>651.78</v>
      </c>
      <c r="G2197" s="4">
        <f t="shared" si="3"/>
        <v>8986451.9</v>
      </c>
      <c r="H2197" s="4">
        <f t="shared" si="1"/>
        <v>0.9415400594</v>
      </c>
      <c r="I2197" s="4" t="str">
        <f t="shared" si="2"/>
        <v>B</v>
      </c>
    </row>
    <row r="2198">
      <c r="A2198" s="2">
        <v>2197.0</v>
      </c>
      <c r="B2198" s="2">
        <v>21219.0</v>
      </c>
      <c r="C2198" s="2" t="s">
        <v>2501</v>
      </c>
      <c r="D2198" s="2">
        <v>1.25</v>
      </c>
      <c r="E2198" s="2">
        <v>506.0</v>
      </c>
      <c r="F2198" s="2">
        <v>651.64</v>
      </c>
      <c r="G2198" s="4">
        <f t="shared" si="3"/>
        <v>8987103.54</v>
      </c>
      <c r="H2198" s="4">
        <f t="shared" si="1"/>
        <v>0.9416083339</v>
      </c>
      <c r="I2198" s="4" t="str">
        <f t="shared" si="2"/>
        <v>B</v>
      </c>
    </row>
    <row r="2199">
      <c r="A2199" s="2">
        <v>2198.0</v>
      </c>
      <c r="B2199" s="2">
        <v>20738.0</v>
      </c>
      <c r="C2199" s="2" t="s">
        <v>2502</v>
      </c>
      <c r="D2199" s="2">
        <v>0.85</v>
      </c>
      <c r="E2199" s="2">
        <v>805.0</v>
      </c>
      <c r="F2199" s="2">
        <v>650.86</v>
      </c>
      <c r="G2199" s="4">
        <f t="shared" si="3"/>
        <v>8987754.4</v>
      </c>
      <c r="H2199" s="4">
        <f t="shared" si="1"/>
        <v>0.9416765266</v>
      </c>
      <c r="I2199" s="4" t="str">
        <f t="shared" si="2"/>
        <v>B</v>
      </c>
    </row>
    <row r="2200">
      <c r="A2200" s="2">
        <v>2199.0</v>
      </c>
      <c r="B2200" s="2">
        <v>21926.0</v>
      </c>
      <c r="C2200" s="2" t="s">
        <v>2503</v>
      </c>
      <c r="D2200" s="2">
        <v>1.25</v>
      </c>
      <c r="E2200" s="2">
        <v>494.0</v>
      </c>
      <c r="F2200" s="2">
        <v>648.88</v>
      </c>
      <c r="G2200" s="4">
        <f t="shared" si="3"/>
        <v>8988403.28</v>
      </c>
      <c r="H2200" s="4">
        <f t="shared" si="1"/>
        <v>0.9417445119</v>
      </c>
      <c r="I2200" s="4" t="str">
        <f t="shared" si="2"/>
        <v>B</v>
      </c>
    </row>
    <row r="2201">
      <c r="A2201" s="2">
        <v>2200.0</v>
      </c>
      <c r="B2201" s="2">
        <v>21285.0</v>
      </c>
      <c r="C2201" s="2" t="s">
        <v>2504</v>
      </c>
      <c r="D2201" s="2">
        <v>2.1</v>
      </c>
      <c r="E2201" s="2">
        <v>480.0</v>
      </c>
      <c r="F2201" s="2">
        <v>648.31</v>
      </c>
      <c r="G2201" s="4">
        <f t="shared" si="3"/>
        <v>8989051.59</v>
      </c>
      <c r="H2201" s="4">
        <f t="shared" si="1"/>
        <v>0.9418124374</v>
      </c>
      <c r="I2201" s="4" t="str">
        <f t="shared" si="2"/>
        <v>B</v>
      </c>
    </row>
    <row r="2202">
      <c r="A2202" s="2">
        <v>2201.0</v>
      </c>
      <c r="B2202" s="2">
        <v>22258.0</v>
      </c>
      <c r="C2202" s="2" t="s">
        <v>2505</v>
      </c>
      <c r="D2202" s="2">
        <v>1.25</v>
      </c>
      <c r="E2202" s="2">
        <v>672.0</v>
      </c>
      <c r="F2202" s="2">
        <v>647.4</v>
      </c>
      <c r="G2202" s="4">
        <f t="shared" si="3"/>
        <v>8989698.99</v>
      </c>
      <c r="H2202" s="4">
        <f t="shared" si="1"/>
        <v>0.9418802677</v>
      </c>
      <c r="I2202" s="4" t="str">
        <f t="shared" si="2"/>
        <v>B</v>
      </c>
    </row>
    <row r="2203">
      <c r="A2203" s="2">
        <v>2202.0</v>
      </c>
      <c r="B2203" s="2" t="s">
        <v>2506</v>
      </c>
      <c r="C2203" s="2" t="s">
        <v>2507</v>
      </c>
      <c r="D2203" s="2">
        <v>2.46</v>
      </c>
      <c r="E2203" s="2">
        <v>361.0</v>
      </c>
      <c r="F2203" s="2">
        <v>647.13</v>
      </c>
      <c r="G2203" s="4">
        <f t="shared" si="3"/>
        <v>8990346.12</v>
      </c>
      <c r="H2203" s="4">
        <f t="shared" si="1"/>
        <v>0.9419480696</v>
      </c>
      <c r="I2203" s="4" t="str">
        <f t="shared" si="2"/>
        <v>B</v>
      </c>
    </row>
    <row r="2204">
      <c r="A2204" s="2">
        <v>2203.0</v>
      </c>
      <c r="B2204" s="2">
        <v>22097.0</v>
      </c>
      <c r="C2204" s="2" t="s">
        <v>2508</v>
      </c>
      <c r="D2204" s="2">
        <v>1.25</v>
      </c>
      <c r="E2204" s="2">
        <v>1041.0</v>
      </c>
      <c r="F2204" s="2">
        <v>646.96</v>
      </c>
      <c r="G2204" s="4">
        <f t="shared" si="3"/>
        <v>8990993.08</v>
      </c>
      <c r="H2204" s="4">
        <f t="shared" si="1"/>
        <v>0.9420158537</v>
      </c>
      <c r="I2204" s="4" t="str">
        <f t="shared" si="2"/>
        <v>B</v>
      </c>
    </row>
    <row r="2205">
      <c r="A2205" s="2">
        <v>2204.0</v>
      </c>
      <c r="B2205" s="2">
        <v>22267.0</v>
      </c>
      <c r="C2205" s="2" t="s">
        <v>2509</v>
      </c>
      <c r="D2205" s="2">
        <v>1.25</v>
      </c>
      <c r="E2205" s="2">
        <v>736.0</v>
      </c>
      <c r="F2205" s="2">
        <v>646.36</v>
      </c>
      <c r="G2205" s="4">
        <f t="shared" si="3"/>
        <v>8991639.44</v>
      </c>
      <c r="H2205" s="4">
        <f t="shared" si="1"/>
        <v>0.942083575</v>
      </c>
      <c r="I2205" s="4" t="str">
        <f t="shared" si="2"/>
        <v>B</v>
      </c>
    </row>
    <row r="2206">
      <c r="A2206" s="2">
        <v>2205.0</v>
      </c>
      <c r="B2206" s="2">
        <v>22701.0</v>
      </c>
      <c r="C2206" s="2" t="s">
        <v>2510</v>
      </c>
      <c r="D2206" s="2">
        <v>2.95</v>
      </c>
      <c r="E2206" s="2">
        <v>332.0</v>
      </c>
      <c r="F2206" s="2">
        <v>645.54</v>
      </c>
      <c r="G2206" s="4">
        <f t="shared" si="3"/>
        <v>8992284.98</v>
      </c>
      <c r="H2206" s="4">
        <f t="shared" si="1"/>
        <v>0.9421512103</v>
      </c>
      <c r="I2206" s="4" t="str">
        <f t="shared" si="2"/>
        <v>B</v>
      </c>
    </row>
    <row r="2207">
      <c r="A2207" s="2">
        <v>2206.0</v>
      </c>
      <c r="B2207" s="2" t="s">
        <v>2511</v>
      </c>
      <c r="C2207" s="2" t="s">
        <v>2512</v>
      </c>
      <c r="D2207" s="2">
        <v>1.25</v>
      </c>
      <c r="E2207" s="2">
        <v>1044.0</v>
      </c>
      <c r="F2207" s="2">
        <v>645.01</v>
      </c>
      <c r="G2207" s="4">
        <f t="shared" si="3"/>
        <v>8992929.99</v>
      </c>
      <c r="H2207" s="4">
        <f t="shared" si="1"/>
        <v>0.9422187901</v>
      </c>
      <c r="I2207" s="4" t="str">
        <f t="shared" si="2"/>
        <v>B</v>
      </c>
    </row>
    <row r="2208">
      <c r="A2208" s="2">
        <v>2207.0</v>
      </c>
      <c r="B2208" s="2">
        <v>84609.0</v>
      </c>
      <c r="C2208" s="2" t="s">
        <v>2513</v>
      </c>
      <c r="D2208" s="2">
        <v>8.5</v>
      </c>
      <c r="E2208" s="2">
        <v>72.0</v>
      </c>
      <c r="F2208" s="2">
        <v>644.62</v>
      </c>
      <c r="G2208" s="4">
        <f t="shared" si="3"/>
        <v>8993574.61</v>
      </c>
      <c r="H2208" s="4">
        <f t="shared" si="1"/>
        <v>0.9422863291</v>
      </c>
      <c r="I2208" s="4" t="str">
        <f t="shared" si="2"/>
        <v>B</v>
      </c>
    </row>
    <row r="2209">
      <c r="A2209" s="2">
        <v>2208.0</v>
      </c>
      <c r="B2209" s="2" t="s">
        <v>2514</v>
      </c>
      <c r="C2209" s="2" t="s">
        <v>2515</v>
      </c>
      <c r="D2209" s="2">
        <v>1.65</v>
      </c>
      <c r="E2209" s="2">
        <v>360.0</v>
      </c>
      <c r="F2209" s="2">
        <v>643.78</v>
      </c>
      <c r="G2209" s="4">
        <f t="shared" si="3"/>
        <v>8994218.39</v>
      </c>
      <c r="H2209" s="4">
        <f t="shared" si="1"/>
        <v>0.94235378</v>
      </c>
      <c r="I2209" s="4" t="str">
        <f t="shared" si="2"/>
        <v>B</v>
      </c>
    </row>
    <row r="2210">
      <c r="A2210" s="2">
        <v>2209.0</v>
      </c>
      <c r="B2210" s="2" t="s">
        <v>2516</v>
      </c>
      <c r="C2210" s="2" t="s">
        <v>2517</v>
      </c>
      <c r="D2210" s="2">
        <v>2.55</v>
      </c>
      <c r="E2210" s="2">
        <v>494.0</v>
      </c>
      <c r="F2210" s="2">
        <v>642.22</v>
      </c>
      <c r="G2210" s="4">
        <f t="shared" si="3"/>
        <v>8994860.61</v>
      </c>
      <c r="H2210" s="4">
        <f t="shared" si="1"/>
        <v>0.9424210675</v>
      </c>
      <c r="I2210" s="4" t="str">
        <f t="shared" si="2"/>
        <v>B</v>
      </c>
    </row>
    <row r="2211">
      <c r="A2211" s="2">
        <v>2210.0</v>
      </c>
      <c r="B2211" s="2" t="s">
        <v>2518</v>
      </c>
      <c r="C2211" s="2" t="s">
        <v>2519</v>
      </c>
      <c r="D2211" s="2">
        <v>1.25</v>
      </c>
      <c r="E2211" s="2">
        <v>594.0</v>
      </c>
      <c r="F2211" s="2">
        <v>642.18</v>
      </c>
      <c r="G2211" s="4">
        <f t="shared" si="3"/>
        <v>8995502.79</v>
      </c>
      <c r="H2211" s="4">
        <f t="shared" si="1"/>
        <v>0.9424883508</v>
      </c>
      <c r="I2211" s="4" t="str">
        <f t="shared" si="2"/>
        <v>B</v>
      </c>
    </row>
    <row r="2212">
      <c r="A2212" s="2">
        <v>2211.0</v>
      </c>
      <c r="B2212" s="2" t="s">
        <v>2520</v>
      </c>
      <c r="C2212" s="2" t="s">
        <v>2521</v>
      </c>
      <c r="D2212" s="2">
        <v>4.13</v>
      </c>
      <c r="E2212" s="2">
        <v>203.0</v>
      </c>
      <c r="F2212" s="2">
        <v>641.62</v>
      </c>
      <c r="G2212" s="4">
        <f t="shared" si="3"/>
        <v>8996144.41</v>
      </c>
      <c r="H2212" s="4">
        <f t="shared" si="1"/>
        <v>0.9425555755</v>
      </c>
      <c r="I2212" s="4" t="str">
        <f t="shared" si="2"/>
        <v>B</v>
      </c>
    </row>
    <row r="2213">
      <c r="A2213" s="2">
        <v>2212.0</v>
      </c>
      <c r="B2213" s="2" t="s">
        <v>2522</v>
      </c>
      <c r="C2213" s="2" t="s">
        <v>2523</v>
      </c>
      <c r="D2213" s="2">
        <v>11.02</v>
      </c>
      <c r="E2213" s="2">
        <v>50.0</v>
      </c>
      <c r="F2213" s="2">
        <v>641.45</v>
      </c>
      <c r="G2213" s="4">
        <f t="shared" si="3"/>
        <v>8996785.86</v>
      </c>
      <c r="H2213" s="4">
        <f t="shared" si="1"/>
        <v>0.9426227823</v>
      </c>
      <c r="I2213" s="4" t="str">
        <f t="shared" si="2"/>
        <v>B</v>
      </c>
    </row>
    <row r="2214">
      <c r="A2214" s="2">
        <v>2213.0</v>
      </c>
      <c r="B2214" s="2">
        <v>21248.0</v>
      </c>
      <c r="C2214" s="2" t="s">
        <v>2524</v>
      </c>
      <c r="D2214" s="2">
        <v>1.45</v>
      </c>
      <c r="E2214" s="2">
        <v>489.0</v>
      </c>
      <c r="F2214" s="2">
        <v>641.17</v>
      </c>
      <c r="G2214" s="4">
        <f t="shared" si="3"/>
        <v>8997427.03</v>
      </c>
      <c r="H2214" s="4">
        <f t="shared" si="1"/>
        <v>0.9426899598</v>
      </c>
      <c r="I2214" s="4" t="str">
        <f t="shared" si="2"/>
        <v>B</v>
      </c>
    </row>
    <row r="2215">
      <c r="A2215" s="2">
        <v>2214.0</v>
      </c>
      <c r="B2215" s="2">
        <v>22543.0</v>
      </c>
      <c r="C2215" s="2" t="s">
        <v>2525</v>
      </c>
      <c r="D2215" s="2">
        <v>0.42</v>
      </c>
      <c r="E2215" s="2">
        <v>1624.0</v>
      </c>
      <c r="F2215" s="2">
        <v>641.16</v>
      </c>
      <c r="G2215" s="4">
        <f t="shared" si="3"/>
        <v>8998068.19</v>
      </c>
      <c r="H2215" s="4">
        <f t="shared" si="1"/>
        <v>0.9427571362</v>
      </c>
      <c r="I2215" s="4" t="str">
        <f t="shared" si="2"/>
        <v>B</v>
      </c>
    </row>
    <row r="2216">
      <c r="A2216" s="2">
        <v>2215.0</v>
      </c>
      <c r="B2216" s="2">
        <v>22999.0</v>
      </c>
      <c r="C2216" s="2" t="s">
        <v>2526</v>
      </c>
      <c r="D2216" s="2">
        <v>0.42</v>
      </c>
      <c r="E2216" s="2">
        <v>1480.0</v>
      </c>
      <c r="F2216" s="2">
        <v>640.16</v>
      </c>
      <c r="G2216" s="4">
        <f t="shared" si="3"/>
        <v>8998708.35</v>
      </c>
      <c r="H2216" s="4">
        <f t="shared" si="1"/>
        <v>0.9428242079</v>
      </c>
      <c r="I2216" s="4" t="str">
        <f t="shared" si="2"/>
        <v>B</v>
      </c>
    </row>
    <row r="2217">
      <c r="A2217" s="2">
        <v>2216.0</v>
      </c>
      <c r="B2217" s="2">
        <v>22214.0</v>
      </c>
      <c r="C2217" s="2" t="s">
        <v>2527</v>
      </c>
      <c r="D2217" s="2">
        <v>2.55</v>
      </c>
      <c r="E2217" s="2">
        <v>274.0</v>
      </c>
      <c r="F2217" s="2">
        <v>639.9</v>
      </c>
      <c r="G2217" s="4">
        <f t="shared" si="3"/>
        <v>8999348.25</v>
      </c>
      <c r="H2217" s="4">
        <f t="shared" si="1"/>
        <v>0.9428912523</v>
      </c>
      <c r="I2217" s="4" t="str">
        <f t="shared" si="2"/>
        <v>B</v>
      </c>
    </row>
    <row r="2218">
      <c r="A2218" s="2">
        <v>2217.0</v>
      </c>
      <c r="B2218" s="2">
        <v>72818.0</v>
      </c>
      <c r="C2218" s="2" t="s">
        <v>2528</v>
      </c>
      <c r="D2218" s="2">
        <v>0.85</v>
      </c>
      <c r="E2218" s="2">
        <v>1192.0</v>
      </c>
      <c r="F2218" s="2">
        <v>639.66</v>
      </c>
      <c r="G2218" s="4">
        <f t="shared" si="3"/>
        <v>8999987.91</v>
      </c>
      <c r="H2218" s="4">
        <f t="shared" si="1"/>
        <v>0.9429582716</v>
      </c>
      <c r="I2218" s="4" t="str">
        <f t="shared" si="2"/>
        <v>B</v>
      </c>
    </row>
    <row r="2219">
      <c r="A2219" s="2">
        <v>2218.0</v>
      </c>
      <c r="B2219" s="2">
        <v>22268.0</v>
      </c>
      <c r="C2219" s="2" t="s">
        <v>2529</v>
      </c>
      <c r="D2219" s="2">
        <v>0.85</v>
      </c>
      <c r="E2219" s="2">
        <v>1281.0</v>
      </c>
      <c r="F2219" s="2">
        <v>639.04</v>
      </c>
      <c r="G2219" s="4">
        <f t="shared" si="3"/>
        <v>9000626.95</v>
      </c>
      <c r="H2219" s="4">
        <f t="shared" si="1"/>
        <v>0.9430252259</v>
      </c>
      <c r="I2219" s="4" t="str">
        <f t="shared" si="2"/>
        <v>B</v>
      </c>
    </row>
    <row r="2220">
      <c r="A2220" s="2">
        <v>2219.0</v>
      </c>
      <c r="B2220" s="2">
        <v>16225.0</v>
      </c>
      <c r="C2220" s="2" t="s">
        <v>2530</v>
      </c>
      <c r="D2220" s="2">
        <v>1.25</v>
      </c>
      <c r="E2220" s="2">
        <v>762.0</v>
      </c>
      <c r="F2220" s="2">
        <v>637.71</v>
      </c>
      <c r="G2220" s="4">
        <f t="shared" si="3"/>
        <v>9001264.66</v>
      </c>
      <c r="H2220" s="4">
        <f t="shared" si="1"/>
        <v>0.9430920409</v>
      </c>
      <c r="I2220" s="4" t="str">
        <f t="shared" si="2"/>
        <v>B</v>
      </c>
    </row>
    <row r="2221">
      <c r="A2221" s="2">
        <v>2220.0</v>
      </c>
      <c r="B2221" s="2">
        <v>21759.0</v>
      </c>
      <c r="C2221" s="2" t="s">
        <v>2531</v>
      </c>
      <c r="D2221" s="2">
        <v>49.95</v>
      </c>
      <c r="E2221" s="2">
        <v>15.0</v>
      </c>
      <c r="F2221" s="2">
        <v>637.24</v>
      </c>
      <c r="G2221" s="4">
        <f t="shared" si="3"/>
        <v>9001901.9</v>
      </c>
      <c r="H2221" s="4">
        <f t="shared" si="1"/>
        <v>0.9431588066</v>
      </c>
      <c r="I2221" s="4" t="str">
        <f t="shared" si="2"/>
        <v>B</v>
      </c>
    </row>
    <row r="2222">
      <c r="A2222" s="2">
        <v>2221.0</v>
      </c>
      <c r="B2222" s="2" t="s">
        <v>2532</v>
      </c>
      <c r="C2222" s="2" t="s">
        <v>322</v>
      </c>
      <c r="D2222" s="2">
        <v>4.96</v>
      </c>
      <c r="E2222" s="2">
        <v>126.0</v>
      </c>
      <c r="F2222" s="2">
        <v>637.19</v>
      </c>
      <c r="G2222" s="4">
        <f t="shared" si="3"/>
        <v>9002539.09</v>
      </c>
      <c r="H2222" s="4">
        <f t="shared" si="1"/>
        <v>0.9432255671</v>
      </c>
      <c r="I2222" s="4" t="str">
        <f t="shared" si="2"/>
        <v>B</v>
      </c>
    </row>
    <row r="2223">
      <c r="A2223" s="2">
        <v>2222.0</v>
      </c>
      <c r="B2223" s="2">
        <v>21880.0</v>
      </c>
      <c r="C2223" s="2" t="s">
        <v>2533</v>
      </c>
      <c r="D2223" s="2">
        <v>0.54</v>
      </c>
      <c r="E2223" s="2">
        <v>1230.0</v>
      </c>
      <c r="F2223" s="2">
        <v>637.12</v>
      </c>
      <c r="G2223" s="4">
        <f t="shared" si="3"/>
        <v>9003176.21</v>
      </c>
      <c r="H2223" s="4">
        <f t="shared" si="1"/>
        <v>0.9432923202</v>
      </c>
      <c r="I2223" s="4" t="str">
        <f t="shared" si="2"/>
        <v>B</v>
      </c>
    </row>
    <row r="2224">
      <c r="A2224" s="2">
        <v>2223.0</v>
      </c>
      <c r="B2224" s="2">
        <v>21689.0</v>
      </c>
      <c r="C2224" s="2" t="s">
        <v>2534</v>
      </c>
      <c r="D2224" s="2">
        <v>3.75</v>
      </c>
      <c r="E2224" s="2">
        <v>172.0</v>
      </c>
      <c r="F2224" s="2">
        <v>635.93</v>
      </c>
      <c r="G2224" s="4">
        <f t="shared" si="3"/>
        <v>9003812.14</v>
      </c>
      <c r="H2224" s="4">
        <f t="shared" si="1"/>
        <v>0.9433589487</v>
      </c>
      <c r="I2224" s="4" t="str">
        <f t="shared" si="2"/>
        <v>B</v>
      </c>
    </row>
    <row r="2225">
      <c r="A2225" s="2">
        <v>2224.0</v>
      </c>
      <c r="B2225" s="2" t="s">
        <v>2535</v>
      </c>
      <c r="C2225" s="2" t="s">
        <v>2536</v>
      </c>
      <c r="D2225" s="2">
        <v>0.85</v>
      </c>
      <c r="E2225" s="2">
        <v>731.0</v>
      </c>
      <c r="F2225" s="2">
        <v>635.55</v>
      </c>
      <c r="G2225" s="4">
        <f t="shared" si="3"/>
        <v>9004447.69</v>
      </c>
      <c r="H2225" s="4">
        <f t="shared" si="1"/>
        <v>0.9434255374</v>
      </c>
      <c r="I2225" s="4" t="str">
        <f t="shared" si="2"/>
        <v>B</v>
      </c>
    </row>
    <row r="2226">
      <c r="A2226" s="2">
        <v>2225.0</v>
      </c>
      <c r="B2226" s="2" t="s">
        <v>2537</v>
      </c>
      <c r="C2226" s="2" t="s">
        <v>2538</v>
      </c>
      <c r="D2226" s="2">
        <v>12.75</v>
      </c>
      <c r="E2226" s="2">
        <v>58.0</v>
      </c>
      <c r="F2226" s="2">
        <v>634.33</v>
      </c>
      <c r="G2226" s="4">
        <f t="shared" si="3"/>
        <v>9005082.02</v>
      </c>
      <c r="H2226" s="4">
        <f t="shared" si="1"/>
        <v>0.9434919982</v>
      </c>
      <c r="I2226" s="4" t="str">
        <f t="shared" si="2"/>
        <v>B</v>
      </c>
    </row>
    <row r="2227">
      <c r="A2227" s="2">
        <v>2226.0</v>
      </c>
      <c r="B2227" s="2">
        <v>21190.0</v>
      </c>
      <c r="C2227" s="2" t="s">
        <v>2539</v>
      </c>
      <c r="D2227" s="2">
        <v>1.65</v>
      </c>
      <c r="E2227" s="2">
        <v>378.0</v>
      </c>
      <c r="F2227" s="2">
        <v>632.54</v>
      </c>
      <c r="G2227" s="4">
        <f t="shared" si="3"/>
        <v>9005714.56</v>
      </c>
      <c r="H2227" s="4">
        <f t="shared" si="1"/>
        <v>0.9435582715</v>
      </c>
      <c r="I2227" s="4" t="str">
        <f t="shared" si="2"/>
        <v>B</v>
      </c>
    </row>
    <row r="2228">
      <c r="A2228" s="2">
        <v>2227.0</v>
      </c>
      <c r="B2228" s="2">
        <v>20765.0</v>
      </c>
      <c r="C2228" s="2" t="s">
        <v>2540</v>
      </c>
      <c r="D2228" s="2">
        <v>3.75</v>
      </c>
      <c r="E2228" s="2">
        <v>221.0</v>
      </c>
      <c r="F2228" s="2">
        <v>632.53</v>
      </c>
      <c r="G2228" s="4">
        <f t="shared" si="3"/>
        <v>9006347.09</v>
      </c>
      <c r="H2228" s="4">
        <f t="shared" si="1"/>
        <v>0.9436245437</v>
      </c>
      <c r="I2228" s="4" t="str">
        <f t="shared" si="2"/>
        <v>B</v>
      </c>
    </row>
    <row r="2229">
      <c r="A2229" s="2">
        <v>2228.0</v>
      </c>
      <c r="B2229" s="2">
        <v>22929.0</v>
      </c>
      <c r="C2229" s="2" t="s">
        <v>2541</v>
      </c>
      <c r="D2229" s="2">
        <v>65.0</v>
      </c>
      <c r="E2229" s="2">
        <v>10.0</v>
      </c>
      <c r="F2229" s="2">
        <v>632.38</v>
      </c>
      <c r="G2229" s="4">
        <f t="shared" si="3"/>
        <v>9006979.47</v>
      </c>
      <c r="H2229" s="4">
        <f t="shared" si="1"/>
        <v>0.9436908003</v>
      </c>
      <c r="I2229" s="4" t="str">
        <f t="shared" si="2"/>
        <v>B</v>
      </c>
    </row>
    <row r="2230">
      <c r="A2230" s="2">
        <v>2229.0</v>
      </c>
      <c r="B2230" s="2">
        <v>21549.0</v>
      </c>
      <c r="C2230" s="2" t="s">
        <v>2542</v>
      </c>
      <c r="D2230" s="2">
        <v>2.95</v>
      </c>
      <c r="E2230" s="2">
        <v>272.0</v>
      </c>
      <c r="F2230" s="2">
        <v>632.24</v>
      </c>
      <c r="G2230" s="4">
        <f t="shared" si="3"/>
        <v>9007611.71</v>
      </c>
      <c r="H2230" s="4">
        <f t="shared" si="1"/>
        <v>0.9437570421</v>
      </c>
      <c r="I2230" s="4" t="str">
        <f t="shared" si="2"/>
        <v>B</v>
      </c>
    </row>
    <row r="2231">
      <c r="A2231" s="2">
        <v>2230.0</v>
      </c>
      <c r="B2231" s="2">
        <v>20777.0</v>
      </c>
      <c r="C2231" s="2" t="s">
        <v>2543</v>
      </c>
      <c r="D2231" s="2">
        <v>1.65</v>
      </c>
      <c r="E2231" s="2">
        <v>1830.0</v>
      </c>
      <c r="F2231" s="2">
        <v>631.35</v>
      </c>
      <c r="G2231" s="4">
        <f t="shared" si="3"/>
        <v>9008243.06</v>
      </c>
      <c r="H2231" s="4">
        <f t="shared" si="1"/>
        <v>0.9438231907</v>
      </c>
      <c r="I2231" s="4" t="str">
        <f t="shared" si="2"/>
        <v>B</v>
      </c>
    </row>
    <row r="2232">
      <c r="A2232" s="2">
        <v>2231.0</v>
      </c>
      <c r="B2232" s="2">
        <v>22290.0</v>
      </c>
      <c r="C2232" s="2" t="s">
        <v>2544</v>
      </c>
      <c r="D2232" s="2">
        <v>2.1</v>
      </c>
      <c r="E2232" s="2">
        <v>344.0</v>
      </c>
      <c r="F2232" s="2">
        <v>630.41</v>
      </c>
      <c r="G2232" s="4">
        <f t="shared" si="3"/>
        <v>9008873.47</v>
      </c>
      <c r="H2232" s="4">
        <f t="shared" si="1"/>
        <v>0.9438892409</v>
      </c>
      <c r="I2232" s="4" t="str">
        <f t="shared" si="2"/>
        <v>B</v>
      </c>
    </row>
    <row r="2233">
      <c r="A2233" s="2">
        <v>2232.0</v>
      </c>
      <c r="B2233" s="2">
        <v>22181.0</v>
      </c>
      <c r="C2233" s="2" t="s">
        <v>2545</v>
      </c>
      <c r="D2233" s="2">
        <v>0.85</v>
      </c>
      <c r="E2233" s="2">
        <v>751.0</v>
      </c>
      <c r="F2233" s="2">
        <v>630.39</v>
      </c>
      <c r="G2233" s="4">
        <f t="shared" si="3"/>
        <v>9009503.86</v>
      </c>
      <c r="H2233" s="4">
        <f t="shared" si="1"/>
        <v>0.9439552889</v>
      </c>
      <c r="I2233" s="4" t="str">
        <f t="shared" si="2"/>
        <v>B</v>
      </c>
    </row>
    <row r="2234">
      <c r="A2234" s="2">
        <v>2233.0</v>
      </c>
      <c r="B2234" s="2" t="s">
        <v>2546</v>
      </c>
      <c r="C2234" s="2" t="s">
        <v>2547</v>
      </c>
      <c r="D2234" s="2">
        <v>1.25</v>
      </c>
      <c r="E2234" s="2">
        <v>542.0</v>
      </c>
      <c r="F2234" s="2">
        <v>629.24</v>
      </c>
      <c r="G2234" s="4">
        <f t="shared" si="3"/>
        <v>9010133.1</v>
      </c>
      <c r="H2234" s="4">
        <f t="shared" si="1"/>
        <v>0.9440212164</v>
      </c>
      <c r="I2234" s="4" t="str">
        <f t="shared" si="2"/>
        <v>B</v>
      </c>
    </row>
    <row r="2235">
      <c r="A2235" s="2">
        <v>2234.0</v>
      </c>
      <c r="B2235" s="2">
        <v>22062.0</v>
      </c>
      <c r="C2235" s="2" t="s">
        <v>2548</v>
      </c>
      <c r="D2235" s="2">
        <v>2.46</v>
      </c>
      <c r="E2235" s="2">
        <v>384.0</v>
      </c>
      <c r="F2235" s="2">
        <v>629.1</v>
      </c>
      <c r="G2235" s="4">
        <f t="shared" si="3"/>
        <v>9010762.2</v>
      </c>
      <c r="H2235" s="4">
        <f t="shared" si="1"/>
        <v>0.9440871293</v>
      </c>
      <c r="I2235" s="4" t="str">
        <f t="shared" si="2"/>
        <v>B</v>
      </c>
    </row>
    <row r="2236">
      <c r="A2236" s="2">
        <v>2235.0</v>
      </c>
      <c r="B2236" s="2">
        <v>21063.0</v>
      </c>
      <c r="C2236" s="2" t="s">
        <v>2549</v>
      </c>
      <c r="D2236" s="2">
        <v>0.85</v>
      </c>
      <c r="E2236" s="2">
        <v>728.0</v>
      </c>
      <c r="F2236" s="2">
        <v>628.14</v>
      </c>
      <c r="G2236" s="4">
        <f t="shared" si="3"/>
        <v>9011390.34</v>
      </c>
      <c r="H2236" s="4">
        <f t="shared" si="1"/>
        <v>0.9441529416</v>
      </c>
      <c r="I2236" s="4" t="str">
        <f t="shared" si="2"/>
        <v>B</v>
      </c>
    </row>
    <row r="2237">
      <c r="A2237" s="2">
        <v>2236.0</v>
      </c>
      <c r="B2237" s="2">
        <v>23511.0</v>
      </c>
      <c r="C2237" s="2" t="s">
        <v>2550</v>
      </c>
      <c r="D2237" s="2">
        <v>2.08</v>
      </c>
      <c r="E2237" s="2">
        <v>286.0</v>
      </c>
      <c r="F2237" s="2">
        <v>628.08</v>
      </c>
      <c r="G2237" s="4">
        <f t="shared" si="3"/>
        <v>9012018.42</v>
      </c>
      <c r="H2237" s="4">
        <f t="shared" si="1"/>
        <v>0.9442187476</v>
      </c>
      <c r="I2237" s="4" t="str">
        <f t="shared" si="2"/>
        <v>B</v>
      </c>
    </row>
    <row r="2238">
      <c r="A2238" s="2">
        <v>2237.0</v>
      </c>
      <c r="B2238" s="2">
        <v>22280.0</v>
      </c>
      <c r="C2238" s="2" t="s">
        <v>2551</v>
      </c>
      <c r="D2238" s="2">
        <v>1.25</v>
      </c>
      <c r="E2238" s="2">
        <v>440.0</v>
      </c>
      <c r="F2238" s="2">
        <v>627.29</v>
      </c>
      <c r="G2238" s="4">
        <f t="shared" si="3"/>
        <v>9012645.71</v>
      </c>
      <c r="H2238" s="4">
        <f t="shared" si="1"/>
        <v>0.9442844708</v>
      </c>
      <c r="I2238" s="4" t="str">
        <f t="shared" si="2"/>
        <v>B</v>
      </c>
    </row>
    <row r="2239">
      <c r="A2239" s="2">
        <v>2238.0</v>
      </c>
      <c r="B2239" s="2">
        <v>40003.0</v>
      </c>
      <c r="C2239" s="2" t="s">
        <v>2026</v>
      </c>
      <c r="D2239" s="2">
        <v>1.25</v>
      </c>
      <c r="E2239" s="2">
        <v>574.0</v>
      </c>
      <c r="F2239" s="2">
        <v>627.26</v>
      </c>
      <c r="G2239" s="4">
        <f t="shared" si="3"/>
        <v>9013272.97</v>
      </c>
      <c r="H2239" s="4">
        <f t="shared" si="1"/>
        <v>0.9443501909</v>
      </c>
      <c r="I2239" s="4" t="str">
        <f t="shared" si="2"/>
        <v>B</v>
      </c>
    </row>
    <row r="2240">
      <c r="A2240" s="2">
        <v>2239.0</v>
      </c>
      <c r="B2240" s="2">
        <v>20731.0</v>
      </c>
      <c r="C2240" s="2" t="s">
        <v>2552</v>
      </c>
      <c r="D2240" s="2">
        <v>1.25</v>
      </c>
      <c r="E2240" s="2">
        <v>2071.0</v>
      </c>
      <c r="F2240" s="2">
        <v>626.46</v>
      </c>
      <c r="G2240" s="4">
        <f t="shared" si="3"/>
        <v>9013899.43</v>
      </c>
      <c r="H2240" s="4">
        <f t="shared" si="1"/>
        <v>0.9444158272</v>
      </c>
      <c r="I2240" s="4" t="str">
        <f t="shared" si="2"/>
        <v>B</v>
      </c>
    </row>
    <row r="2241">
      <c r="A2241" s="2">
        <v>2240.0</v>
      </c>
      <c r="B2241" s="2">
        <v>35648.0</v>
      </c>
      <c r="C2241" s="2" t="s">
        <v>2553</v>
      </c>
      <c r="D2241" s="2">
        <v>1.63</v>
      </c>
      <c r="E2241" s="2">
        <v>510.0</v>
      </c>
      <c r="F2241" s="2">
        <v>626.34</v>
      </c>
      <c r="G2241" s="4">
        <f t="shared" si="3"/>
        <v>9014525.77</v>
      </c>
      <c r="H2241" s="4">
        <f t="shared" si="1"/>
        <v>0.9444814509</v>
      </c>
      <c r="I2241" s="4" t="str">
        <f t="shared" si="2"/>
        <v>B</v>
      </c>
    </row>
    <row r="2242">
      <c r="A2242" s="2">
        <v>2241.0</v>
      </c>
      <c r="B2242" s="2">
        <v>22232.0</v>
      </c>
      <c r="C2242" s="2" t="s">
        <v>2554</v>
      </c>
      <c r="D2242" s="2">
        <v>1.65</v>
      </c>
      <c r="E2242" s="2">
        <v>518.0</v>
      </c>
      <c r="F2242" s="2">
        <v>625.54</v>
      </c>
      <c r="G2242" s="4">
        <f t="shared" si="3"/>
        <v>9015151.31</v>
      </c>
      <c r="H2242" s="4">
        <f t="shared" si="1"/>
        <v>0.9445469908</v>
      </c>
      <c r="I2242" s="4" t="str">
        <f t="shared" si="2"/>
        <v>B</v>
      </c>
    </row>
    <row r="2243">
      <c r="A2243" s="2">
        <v>2242.0</v>
      </c>
      <c r="B2243" s="2">
        <v>22919.0</v>
      </c>
      <c r="C2243" s="2" t="s">
        <v>2555</v>
      </c>
      <c r="D2243" s="2">
        <v>0.65</v>
      </c>
      <c r="E2243" s="2">
        <v>896.0</v>
      </c>
      <c r="F2243" s="2">
        <v>625.12</v>
      </c>
      <c r="G2243" s="4">
        <f t="shared" si="3"/>
        <v>9015776.43</v>
      </c>
      <c r="H2243" s="4">
        <f t="shared" si="1"/>
        <v>0.9446124866</v>
      </c>
      <c r="I2243" s="4" t="str">
        <f t="shared" si="2"/>
        <v>B</v>
      </c>
    </row>
    <row r="2244">
      <c r="A2244" s="2">
        <v>2243.0</v>
      </c>
      <c r="B2244" s="2" t="s">
        <v>2556</v>
      </c>
      <c r="C2244" s="2" t="s">
        <v>2557</v>
      </c>
      <c r="D2244" s="2">
        <v>79.95</v>
      </c>
      <c r="E2244" s="2">
        <v>12.0</v>
      </c>
      <c r="F2244" s="2">
        <v>624.72</v>
      </c>
      <c r="G2244" s="4">
        <f t="shared" si="3"/>
        <v>9016401.15</v>
      </c>
      <c r="H2244" s="4">
        <f t="shared" si="1"/>
        <v>0.9446779406</v>
      </c>
      <c r="I2244" s="4" t="str">
        <f t="shared" si="2"/>
        <v>B</v>
      </c>
    </row>
    <row r="2245">
      <c r="A2245" s="2">
        <v>2244.0</v>
      </c>
      <c r="B2245" s="2">
        <v>23067.0</v>
      </c>
      <c r="C2245" s="2" t="s">
        <v>2558</v>
      </c>
      <c r="D2245" s="2">
        <v>4.15</v>
      </c>
      <c r="E2245" s="2">
        <v>148.0</v>
      </c>
      <c r="F2245" s="2">
        <v>624.56</v>
      </c>
      <c r="G2245" s="4">
        <f t="shared" si="3"/>
        <v>9017025.71</v>
      </c>
      <c r="H2245" s="4">
        <f t="shared" si="1"/>
        <v>0.9447433778</v>
      </c>
      <c r="I2245" s="4" t="str">
        <f t="shared" si="2"/>
        <v>B</v>
      </c>
    </row>
    <row r="2246">
      <c r="A2246" s="2">
        <v>2245.0</v>
      </c>
      <c r="B2246" s="2">
        <v>23057.0</v>
      </c>
      <c r="C2246" s="2" t="s">
        <v>2559</v>
      </c>
      <c r="D2246" s="2">
        <v>4.95</v>
      </c>
      <c r="E2246" s="2">
        <v>220.0</v>
      </c>
      <c r="F2246" s="2">
        <v>624.16</v>
      </c>
      <c r="G2246" s="4">
        <f t="shared" si="3"/>
        <v>9017649.87</v>
      </c>
      <c r="H2246" s="4">
        <f t="shared" si="1"/>
        <v>0.9448087731</v>
      </c>
      <c r="I2246" s="4" t="str">
        <f t="shared" si="2"/>
        <v>B</v>
      </c>
    </row>
    <row r="2247">
      <c r="A2247" s="2">
        <v>2246.0</v>
      </c>
      <c r="B2247" s="2">
        <v>22924.0</v>
      </c>
      <c r="C2247" s="2" t="s">
        <v>2560</v>
      </c>
      <c r="D2247" s="2">
        <v>0.85</v>
      </c>
      <c r="E2247" s="2">
        <v>696.0</v>
      </c>
      <c r="F2247" s="2">
        <v>623.61</v>
      </c>
      <c r="G2247" s="4">
        <f t="shared" si="3"/>
        <v>9018273.48</v>
      </c>
      <c r="H2247" s="4">
        <f t="shared" si="1"/>
        <v>0.9448741108</v>
      </c>
      <c r="I2247" s="4" t="str">
        <f t="shared" si="2"/>
        <v>B</v>
      </c>
    </row>
    <row r="2248">
      <c r="A2248" s="2">
        <v>2247.0</v>
      </c>
      <c r="B2248" s="2">
        <v>21088.0</v>
      </c>
      <c r="C2248" s="2" t="s">
        <v>2561</v>
      </c>
      <c r="D2248" s="2">
        <v>0.19</v>
      </c>
      <c r="E2248" s="2">
        <v>4744.0</v>
      </c>
      <c r="F2248" s="2">
        <v>623.24</v>
      </c>
      <c r="G2248" s="4">
        <f t="shared" si="3"/>
        <v>9018896.72</v>
      </c>
      <c r="H2248" s="4">
        <f t="shared" si="1"/>
        <v>0.9449394097</v>
      </c>
      <c r="I2248" s="4" t="str">
        <f t="shared" si="2"/>
        <v>B</v>
      </c>
    </row>
    <row r="2249">
      <c r="A2249" s="2">
        <v>2248.0</v>
      </c>
      <c r="B2249" s="2">
        <v>84665.0</v>
      </c>
      <c r="C2249" s="2" t="s">
        <v>2562</v>
      </c>
      <c r="D2249" s="2">
        <v>5.95</v>
      </c>
      <c r="E2249" s="2">
        <v>103.0</v>
      </c>
      <c r="F2249" s="2">
        <v>622.85</v>
      </c>
      <c r="G2249" s="4">
        <f t="shared" si="3"/>
        <v>9019519.57</v>
      </c>
      <c r="H2249" s="4">
        <f t="shared" si="1"/>
        <v>0.9450046677</v>
      </c>
      <c r="I2249" s="4" t="str">
        <f t="shared" si="2"/>
        <v>B</v>
      </c>
    </row>
    <row r="2250">
      <c r="A2250" s="2">
        <v>2249.0</v>
      </c>
      <c r="B2250" s="2">
        <v>20866.0</v>
      </c>
      <c r="C2250" s="2" t="s">
        <v>2563</v>
      </c>
      <c r="D2250" s="2">
        <v>1.25</v>
      </c>
      <c r="E2250" s="2">
        <v>582.0</v>
      </c>
      <c r="F2250" s="2">
        <v>622.73</v>
      </c>
      <c r="G2250" s="4">
        <f t="shared" si="3"/>
        <v>9020142.3</v>
      </c>
      <c r="H2250" s="4">
        <f t="shared" si="1"/>
        <v>0.9450699132</v>
      </c>
      <c r="I2250" s="4" t="str">
        <f t="shared" si="2"/>
        <v>B</v>
      </c>
    </row>
    <row r="2251">
      <c r="A2251" s="2">
        <v>2250.0</v>
      </c>
      <c r="B2251" s="2">
        <v>20707.0</v>
      </c>
      <c r="C2251" s="2" t="s">
        <v>2564</v>
      </c>
      <c r="D2251" s="2">
        <v>0.83</v>
      </c>
      <c r="E2251" s="2">
        <v>807.0</v>
      </c>
      <c r="F2251" s="2">
        <v>622.46</v>
      </c>
      <c r="G2251" s="4">
        <f t="shared" si="3"/>
        <v>9020764.76</v>
      </c>
      <c r="H2251" s="4">
        <f t="shared" si="1"/>
        <v>0.9451351304</v>
      </c>
      <c r="I2251" s="4" t="str">
        <f t="shared" si="2"/>
        <v>B</v>
      </c>
    </row>
    <row r="2252">
      <c r="A2252" s="2">
        <v>2251.0</v>
      </c>
      <c r="B2252" s="2">
        <v>22808.0</v>
      </c>
      <c r="C2252" s="2" t="s">
        <v>2565</v>
      </c>
      <c r="D2252" s="2">
        <v>2.95</v>
      </c>
      <c r="E2252" s="2">
        <v>210.0</v>
      </c>
      <c r="F2252" s="2">
        <v>621.94</v>
      </c>
      <c r="G2252" s="4">
        <f t="shared" si="3"/>
        <v>9021386.7</v>
      </c>
      <c r="H2252" s="4">
        <f t="shared" si="1"/>
        <v>0.945200293</v>
      </c>
      <c r="I2252" s="4" t="str">
        <f t="shared" si="2"/>
        <v>B</v>
      </c>
    </row>
    <row r="2253">
      <c r="A2253" s="2">
        <v>2252.0</v>
      </c>
      <c r="B2253" s="2">
        <v>35957.0</v>
      </c>
      <c r="C2253" s="2" t="s">
        <v>2566</v>
      </c>
      <c r="D2253" s="2">
        <v>1.66</v>
      </c>
      <c r="E2253" s="2">
        <v>1740.0</v>
      </c>
      <c r="F2253" s="2">
        <v>620.85</v>
      </c>
      <c r="G2253" s="4">
        <f t="shared" si="3"/>
        <v>9022007.55</v>
      </c>
      <c r="H2253" s="4">
        <f t="shared" si="1"/>
        <v>0.9452653415</v>
      </c>
      <c r="I2253" s="4" t="str">
        <f t="shared" si="2"/>
        <v>B</v>
      </c>
    </row>
    <row r="2254">
      <c r="A2254" s="2">
        <v>2253.0</v>
      </c>
      <c r="B2254" s="2">
        <v>21145.0</v>
      </c>
      <c r="C2254" s="2" t="s">
        <v>2567</v>
      </c>
      <c r="D2254" s="2">
        <v>1.25</v>
      </c>
      <c r="E2254" s="2">
        <v>428.0</v>
      </c>
      <c r="F2254" s="2">
        <v>620.6</v>
      </c>
      <c r="G2254" s="4">
        <f t="shared" si="3"/>
        <v>9022628.15</v>
      </c>
      <c r="H2254" s="4">
        <f t="shared" si="1"/>
        <v>0.9453303638</v>
      </c>
      <c r="I2254" s="4" t="str">
        <f t="shared" si="2"/>
        <v>B</v>
      </c>
    </row>
    <row r="2255">
      <c r="A2255" s="2">
        <v>2254.0</v>
      </c>
      <c r="B2255" s="2">
        <v>79163.0</v>
      </c>
      <c r="C2255" s="2" t="s">
        <v>2568</v>
      </c>
      <c r="D2255" s="2">
        <v>1.45</v>
      </c>
      <c r="E2255" s="2">
        <v>916.0</v>
      </c>
      <c r="F2255" s="2">
        <v>620.42</v>
      </c>
      <c r="G2255" s="4">
        <f t="shared" si="3"/>
        <v>9023248.57</v>
      </c>
      <c r="H2255" s="4">
        <f t="shared" si="1"/>
        <v>0.9453953673</v>
      </c>
      <c r="I2255" s="4" t="str">
        <f t="shared" si="2"/>
        <v>B</v>
      </c>
    </row>
    <row r="2256">
      <c r="A2256" s="2">
        <v>2255.0</v>
      </c>
      <c r="B2256" s="2">
        <v>20733.0</v>
      </c>
      <c r="C2256" s="2" t="s">
        <v>2569</v>
      </c>
      <c r="D2256" s="2">
        <v>0.83</v>
      </c>
      <c r="E2256" s="2">
        <v>815.0</v>
      </c>
      <c r="F2256" s="2">
        <v>619.38</v>
      </c>
      <c r="G2256" s="4">
        <f t="shared" si="3"/>
        <v>9023867.95</v>
      </c>
      <c r="H2256" s="4">
        <f t="shared" si="1"/>
        <v>0.9454602618</v>
      </c>
      <c r="I2256" s="4" t="str">
        <f t="shared" si="2"/>
        <v>B</v>
      </c>
    </row>
    <row r="2257">
      <c r="A2257" s="2">
        <v>2256.0</v>
      </c>
      <c r="B2257" s="2">
        <v>84688.0</v>
      </c>
      <c r="C2257" s="2" t="s">
        <v>2570</v>
      </c>
      <c r="D2257" s="2">
        <v>4.25</v>
      </c>
      <c r="E2257" s="2">
        <v>194.0</v>
      </c>
      <c r="F2257" s="2">
        <v>617.84</v>
      </c>
      <c r="G2257" s="4">
        <f t="shared" si="3"/>
        <v>9024485.79</v>
      </c>
      <c r="H2257" s="4">
        <f t="shared" si="1"/>
        <v>0.9455249949</v>
      </c>
      <c r="I2257" s="4" t="str">
        <f t="shared" si="2"/>
        <v>B</v>
      </c>
    </row>
    <row r="2258">
      <c r="A2258" s="2">
        <v>2257.0</v>
      </c>
      <c r="B2258" s="2">
        <v>22923.0</v>
      </c>
      <c r="C2258" s="2" t="s">
        <v>2571</v>
      </c>
      <c r="D2258" s="2">
        <v>0.85</v>
      </c>
      <c r="E2258" s="2">
        <v>734.0</v>
      </c>
      <c r="F2258" s="2">
        <v>616.79</v>
      </c>
      <c r="G2258" s="4">
        <f t="shared" si="3"/>
        <v>9025102.58</v>
      </c>
      <c r="H2258" s="4">
        <f t="shared" si="1"/>
        <v>0.945589618</v>
      </c>
      <c r="I2258" s="4" t="str">
        <f t="shared" si="2"/>
        <v>B</v>
      </c>
    </row>
    <row r="2259">
      <c r="A2259" s="2">
        <v>2258.0</v>
      </c>
      <c r="B2259" s="2">
        <v>21438.0</v>
      </c>
      <c r="C2259" s="2" t="s">
        <v>2572</v>
      </c>
      <c r="D2259" s="2">
        <v>3.75</v>
      </c>
      <c r="E2259" s="2">
        <v>187.0</v>
      </c>
      <c r="F2259" s="2">
        <v>616.79</v>
      </c>
      <c r="G2259" s="4">
        <f t="shared" si="3"/>
        <v>9025719.37</v>
      </c>
      <c r="H2259" s="4">
        <f t="shared" si="1"/>
        <v>0.9456542411</v>
      </c>
      <c r="I2259" s="4" t="str">
        <f t="shared" si="2"/>
        <v>B</v>
      </c>
    </row>
    <row r="2260">
      <c r="A2260" s="2">
        <v>2259.0</v>
      </c>
      <c r="B2260" s="2">
        <v>20825.0</v>
      </c>
      <c r="C2260" s="2" t="s">
        <v>2573</v>
      </c>
      <c r="D2260" s="2">
        <v>3.75</v>
      </c>
      <c r="E2260" s="2">
        <v>178.0</v>
      </c>
      <c r="F2260" s="2">
        <v>616.29</v>
      </c>
      <c r="G2260" s="4">
        <f t="shared" si="3"/>
        <v>9026335.66</v>
      </c>
      <c r="H2260" s="4">
        <f t="shared" si="1"/>
        <v>0.9457188118</v>
      </c>
      <c r="I2260" s="4" t="str">
        <f t="shared" si="2"/>
        <v>B</v>
      </c>
    </row>
    <row r="2261">
      <c r="A2261" s="2">
        <v>2260.0</v>
      </c>
      <c r="B2261" s="2">
        <v>21253.0</v>
      </c>
      <c r="C2261" s="2" t="s">
        <v>2574</v>
      </c>
      <c r="D2261" s="2">
        <v>5.79</v>
      </c>
      <c r="E2261" s="2">
        <v>167.0</v>
      </c>
      <c r="F2261" s="2">
        <v>615.54</v>
      </c>
      <c r="G2261" s="4">
        <f t="shared" si="3"/>
        <v>9026951.2</v>
      </c>
      <c r="H2261" s="4">
        <f t="shared" si="1"/>
        <v>0.945783304</v>
      </c>
      <c r="I2261" s="4" t="str">
        <f t="shared" si="2"/>
        <v>B</v>
      </c>
    </row>
    <row r="2262">
      <c r="A2262" s="2">
        <v>2261.0</v>
      </c>
      <c r="B2262" s="2" t="s">
        <v>2575</v>
      </c>
      <c r="C2262" s="2" t="s">
        <v>2576</v>
      </c>
      <c r="D2262" s="2">
        <v>5.95</v>
      </c>
      <c r="E2262" s="2">
        <v>216.0</v>
      </c>
      <c r="F2262" s="2">
        <v>615.2</v>
      </c>
      <c r="G2262" s="4">
        <f t="shared" si="3"/>
        <v>9027566.4</v>
      </c>
      <c r="H2262" s="4">
        <f t="shared" si="1"/>
        <v>0.9458477605</v>
      </c>
      <c r="I2262" s="4" t="str">
        <f t="shared" si="2"/>
        <v>B</v>
      </c>
    </row>
    <row r="2263">
      <c r="A2263" s="2">
        <v>2262.0</v>
      </c>
      <c r="B2263" s="2">
        <v>21752.0</v>
      </c>
      <c r="C2263" s="2" t="s">
        <v>2577</v>
      </c>
      <c r="D2263" s="2">
        <v>14.95</v>
      </c>
      <c r="E2263" s="2">
        <v>38.0</v>
      </c>
      <c r="F2263" s="2">
        <v>614.93</v>
      </c>
      <c r="G2263" s="4">
        <f t="shared" si="3"/>
        <v>9028181.33</v>
      </c>
      <c r="H2263" s="4">
        <f t="shared" si="1"/>
        <v>0.9459121887</v>
      </c>
      <c r="I2263" s="4" t="str">
        <f t="shared" si="2"/>
        <v>B</v>
      </c>
    </row>
    <row r="2264">
      <c r="A2264" s="2">
        <v>2263.0</v>
      </c>
      <c r="B2264" s="2">
        <v>23539.0</v>
      </c>
      <c r="C2264" s="2" t="s">
        <v>2578</v>
      </c>
      <c r="D2264" s="2">
        <v>5.95</v>
      </c>
      <c r="E2264" s="2">
        <v>124.0</v>
      </c>
      <c r="F2264" s="2">
        <v>613.98</v>
      </c>
      <c r="G2264" s="4">
        <f t="shared" si="3"/>
        <v>9028795.31</v>
      </c>
      <c r="H2264" s="4">
        <f t="shared" si="1"/>
        <v>0.9459765174</v>
      </c>
      <c r="I2264" s="4" t="str">
        <f t="shared" si="2"/>
        <v>B</v>
      </c>
    </row>
    <row r="2265">
      <c r="A2265" s="2">
        <v>2264.0</v>
      </c>
      <c r="B2265" s="2">
        <v>84658.0</v>
      </c>
      <c r="C2265" s="2" t="s">
        <v>2579</v>
      </c>
      <c r="D2265" s="2">
        <v>6.95</v>
      </c>
      <c r="E2265" s="2">
        <v>109.0</v>
      </c>
      <c r="F2265" s="2">
        <v>613.73</v>
      </c>
      <c r="G2265" s="4">
        <f t="shared" si="3"/>
        <v>9029409.04</v>
      </c>
      <c r="H2265" s="4">
        <f t="shared" si="1"/>
        <v>0.9460408199</v>
      </c>
      <c r="I2265" s="4" t="str">
        <f t="shared" si="2"/>
        <v>B</v>
      </c>
    </row>
    <row r="2266">
      <c r="A2266" s="2">
        <v>2265.0</v>
      </c>
      <c r="B2266" s="2">
        <v>22921.0</v>
      </c>
      <c r="C2266" s="2" t="s">
        <v>2580</v>
      </c>
      <c r="D2266" s="2">
        <v>0.65</v>
      </c>
      <c r="E2266" s="2">
        <v>882.0</v>
      </c>
      <c r="F2266" s="2">
        <v>611.08</v>
      </c>
      <c r="G2266" s="4">
        <f t="shared" si="3"/>
        <v>9030020.12</v>
      </c>
      <c r="H2266" s="4">
        <f t="shared" si="1"/>
        <v>0.9461048448</v>
      </c>
      <c r="I2266" s="4" t="str">
        <f t="shared" si="2"/>
        <v>B</v>
      </c>
    </row>
    <row r="2267">
      <c r="A2267" s="2">
        <v>2266.0</v>
      </c>
      <c r="B2267" s="2">
        <v>23138.0</v>
      </c>
      <c r="C2267" s="2" t="s">
        <v>2581</v>
      </c>
      <c r="D2267" s="2">
        <v>1.45</v>
      </c>
      <c r="E2267" s="2">
        <v>436.0</v>
      </c>
      <c r="F2267" s="2">
        <v>610.68</v>
      </c>
      <c r="G2267" s="4">
        <f t="shared" si="3"/>
        <v>9030630.8</v>
      </c>
      <c r="H2267" s="4">
        <f t="shared" si="1"/>
        <v>0.9461688277</v>
      </c>
      <c r="I2267" s="4" t="str">
        <f t="shared" si="2"/>
        <v>B</v>
      </c>
    </row>
    <row r="2268">
      <c r="A2268" s="2">
        <v>2267.0</v>
      </c>
      <c r="B2268" s="2">
        <v>21425.0</v>
      </c>
      <c r="C2268" s="2" t="s">
        <v>2582</v>
      </c>
      <c r="D2268" s="2">
        <v>2.95</v>
      </c>
      <c r="E2268" s="2">
        <v>243.0</v>
      </c>
      <c r="F2268" s="2">
        <v>609.44</v>
      </c>
      <c r="G2268" s="4">
        <f t="shared" si="3"/>
        <v>9031240.24</v>
      </c>
      <c r="H2268" s="4">
        <f t="shared" si="1"/>
        <v>0.9462326808</v>
      </c>
      <c r="I2268" s="4" t="str">
        <f t="shared" si="2"/>
        <v>B</v>
      </c>
    </row>
    <row r="2269">
      <c r="A2269" s="2">
        <v>2268.0</v>
      </c>
      <c r="B2269" s="2" t="s">
        <v>2583</v>
      </c>
      <c r="C2269" s="2" t="s">
        <v>2584</v>
      </c>
      <c r="D2269" s="2">
        <v>7.95</v>
      </c>
      <c r="E2269" s="2">
        <v>75.0</v>
      </c>
      <c r="F2269" s="2">
        <v>609.28</v>
      </c>
      <c r="G2269" s="4">
        <f t="shared" si="3"/>
        <v>9031849.52</v>
      </c>
      <c r="H2269" s="4">
        <f t="shared" si="1"/>
        <v>0.946296517</v>
      </c>
      <c r="I2269" s="4" t="str">
        <f t="shared" si="2"/>
        <v>B</v>
      </c>
    </row>
    <row r="2270">
      <c r="A2270" s="2">
        <v>2269.0</v>
      </c>
      <c r="B2270" s="2">
        <v>23598.0</v>
      </c>
      <c r="C2270" s="2" t="s">
        <v>2585</v>
      </c>
      <c r="D2270" s="2">
        <v>2.95</v>
      </c>
      <c r="E2270" s="2">
        <v>214.0</v>
      </c>
      <c r="F2270" s="2">
        <v>609.24</v>
      </c>
      <c r="G2270" s="4">
        <f t="shared" si="3"/>
        <v>9032458.76</v>
      </c>
      <c r="H2270" s="4">
        <f t="shared" si="1"/>
        <v>0.9463603491</v>
      </c>
      <c r="I2270" s="4" t="str">
        <f t="shared" si="2"/>
        <v>B</v>
      </c>
    </row>
    <row r="2271">
      <c r="A2271" s="2">
        <v>2270.0</v>
      </c>
      <c r="B2271" s="2" t="s">
        <v>2586</v>
      </c>
      <c r="C2271" s="2" t="s">
        <v>2587</v>
      </c>
      <c r="D2271" s="2">
        <v>1.65</v>
      </c>
      <c r="E2271" s="2">
        <v>355.0</v>
      </c>
      <c r="F2271" s="2">
        <v>608.77</v>
      </c>
      <c r="G2271" s="4">
        <f t="shared" si="3"/>
        <v>9033067.53</v>
      </c>
      <c r="H2271" s="4">
        <f t="shared" si="1"/>
        <v>0.9464241319</v>
      </c>
      <c r="I2271" s="4" t="str">
        <f t="shared" si="2"/>
        <v>B</v>
      </c>
    </row>
    <row r="2272">
      <c r="A2272" s="2">
        <v>2271.0</v>
      </c>
      <c r="B2272" s="2">
        <v>22216.0</v>
      </c>
      <c r="C2272" s="2" t="s">
        <v>2588</v>
      </c>
      <c r="D2272" s="2">
        <v>0.85</v>
      </c>
      <c r="E2272" s="2">
        <v>698.0</v>
      </c>
      <c r="F2272" s="2">
        <v>607.92</v>
      </c>
      <c r="G2272" s="4">
        <f t="shared" si="3"/>
        <v>9033675.45</v>
      </c>
      <c r="H2272" s="4">
        <f t="shared" si="1"/>
        <v>0.9464878257</v>
      </c>
      <c r="I2272" s="4" t="str">
        <f t="shared" si="2"/>
        <v>B</v>
      </c>
    </row>
    <row r="2273">
      <c r="A2273" s="2">
        <v>2272.0</v>
      </c>
      <c r="B2273" s="2">
        <v>21490.0</v>
      </c>
      <c r="C2273" s="2" t="s">
        <v>2589</v>
      </c>
      <c r="D2273" s="2">
        <v>1.95</v>
      </c>
      <c r="E2273" s="2">
        <v>320.0</v>
      </c>
      <c r="F2273" s="2">
        <v>607.25</v>
      </c>
      <c r="G2273" s="4">
        <f t="shared" si="3"/>
        <v>9034282.7</v>
      </c>
      <c r="H2273" s="4">
        <f t="shared" si="1"/>
        <v>0.9465514493</v>
      </c>
      <c r="I2273" s="4" t="str">
        <f t="shared" si="2"/>
        <v>B</v>
      </c>
    </row>
    <row r="2274">
      <c r="A2274" s="2">
        <v>2273.0</v>
      </c>
      <c r="B2274" s="2" t="s">
        <v>2590</v>
      </c>
      <c r="C2274" s="2" t="s">
        <v>2591</v>
      </c>
      <c r="D2274" s="2">
        <v>1.95</v>
      </c>
      <c r="E2274" s="2">
        <v>302.0</v>
      </c>
      <c r="F2274" s="2">
        <v>607.18</v>
      </c>
      <c r="G2274" s="4">
        <f t="shared" si="3"/>
        <v>9034889.88</v>
      </c>
      <c r="H2274" s="4">
        <f t="shared" si="1"/>
        <v>0.9466150655</v>
      </c>
      <c r="I2274" s="4" t="str">
        <f t="shared" si="2"/>
        <v>B</v>
      </c>
    </row>
    <row r="2275">
      <c r="A2275" s="2">
        <v>2274.0</v>
      </c>
      <c r="B2275" s="2">
        <v>21279.0</v>
      </c>
      <c r="C2275" s="2" t="s">
        <v>2592</v>
      </c>
      <c r="D2275" s="2">
        <v>2.55</v>
      </c>
      <c r="E2275" s="2">
        <v>948.0</v>
      </c>
      <c r="F2275" s="2">
        <v>606.92</v>
      </c>
      <c r="G2275" s="4">
        <f t="shared" si="3"/>
        <v>9035496.8</v>
      </c>
      <c r="H2275" s="4">
        <f t="shared" si="1"/>
        <v>0.9466786545</v>
      </c>
      <c r="I2275" s="4" t="str">
        <f t="shared" si="2"/>
        <v>B</v>
      </c>
    </row>
    <row r="2276">
      <c r="A2276" s="2">
        <v>2275.0</v>
      </c>
      <c r="B2276" s="2">
        <v>22265.0</v>
      </c>
      <c r="C2276" s="2" t="s">
        <v>2593</v>
      </c>
      <c r="D2276" s="2">
        <v>0.65</v>
      </c>
      <c r="E2276" s="2">
        <v>924.0</v>
      </c>
      <c r="F2276" s="2">
        <v>605.85</v>
      </c>
      <c r="G2276" s="4">
        <f t="shared" si="3"/>
        <v>9036102.65</v>
      </c>
      <c r="H2276" s="4">
        <f t="shared" si="1"/>
        <v>0.9467421314</v>
      </c>
      <c r="I2276" s="4" t="str">
        <f t="shared" si="2"/>
        <v>B</v>
      </c>
    </row>
    <row r="2277">
      <c r="A2277" s="2">
        <v>2276.0</v>
      </c>
      <c r="B2277" s="2">
        <v>23142.0</v>
      </c>
      <c r="C2277" s="2" t="s">
        <v>2594</v>
      </c>
      <c r="D2277" s="2">
        <v>10.4</v>
      </c>
      <c r="E2277" s="2">
        <v>60.0</v>
      </c>
      <c r="F2277" s="2">
        <v>605.21</v>
      </c>
      <c r="G2277" s="4">
        <f t="shared" si="3"/>
        <v>9036707.86</v>
      </c>
      <c r="H2277" s="4">
        <f t="shared" si="1"/>
        <v>0.9468055413</v>
      </c>
      <c r="I2277" s="4" t="str">
        <f t="shared" si="2"/>
        <v>B</v>
      </c>
    </row>
    <row r="2278">
      <c r="A2278" s="2">
        <v>2277.0</v>
      </c>
      <c r="B2278" s="2">
        <v>84823.0</v>
      </c>
      <c r="C2278" s="2" t="s">
        <v>2595</v>
      </c>
      <c r="D2278" s="2">
        <v>7.95</v>
      </c>
      <c r="E2278" s="2">
        <v>60.0</v>
      </c>
      <c r="F2278" s="2">
        <v>605.0</v>
      </c>
      <c r="G2278" s="4">
        <f t="shared" si="3"/>
        <v>9037312.86</v>
      </c>
      <c r="H2278" s="4">
        <f t="shared" si="1"/>
        <v>0.9468689291</v>
      </c>
      <c r="I2278" s="4" t="str">
        <f t="shared" si="2"/>
        <v>B</v>
      </c>
    </row>
    <row r="2279">
      <c r="A2279" s="2">
        <v>2278.0</v>
      </c>
      <c r="B2279" s="2">
        <v>20771.0</v>
      </c>
      <c r="C2279" s="2" t="s">
        <v>2596</v>
      </c>
      <c r="D2279" s="2">
        <v>2.55</v>
      </c>
      <c r="E2279" s="2">
        <v>310.0</v>
      </c>
      <c r="F2279" s="2">
        <v>603.39</v>
      </c>
      <c r="G2279" s="4">
        <f t="shared" si="3"/>
        <v>9037916.25</v>
      </c>
      <c r="H2279" s="4">
        <f t="shared" si="1"/>
        <v>0.9469321482</v>
      </c>
      <c r="I2279" s="4" t="str">
        <f t="shared" si="2"/>
        <v>B</v>
      </c>
    </row>
    <row r="2280">
      <c r="A2280" s="2">
        <v>2279.0</v>
      </c>
      <c r="B2280" s="2">
        <v>21904.0</v>
      </c>
      <c r="C2280" s="2" t="s">
        <v>2597</v>
      </c>
      <c r="D2280" s="2">
        <v>2.1</v>
      </c>
      <c r="E2280" s="2">
        <v>380.0</v>
      </c>
      <c r="F2280" s="2">
        <v>602.86</v>
      </c>
      <c r="G2280" s="4">
        <f t="shared" si="3"/>
        <v>9038519.11</v>
      </c>
      <c r="H2280" s="4">
        <f t="shared" si="1"/>
        <v>0.9469953119</v>
      </c>
      <c r="I2280" s="4" t="str">
        <f t="shared" si="2"/>
        <v>B</v>
      </c>
    </row>
    <row r="2281">
      <c r="A2281" s="2">
        <v>2280.0</v>
      </c>
      <c r="B2281" s="2">
        <v>21396.0</v>
      </c>
      <c r="C2281" s="2" t="s">
        <v>2598</v>
      </c>
      <c r="D2281" s="2">
        <v>1.25</v>
      </c>
      <c r="E2281" s="2">
        <v>474.0</v>
      </c>
      <c r="F2281" s="2">
        <v>602.62</v>
      </c>
      <c r="G2281" s="4">
        <f t="shared" si="3"/>
        <v>9039121.73</v>
      </c>
      <c r="H2281" s="4">
        <f t="shared" si="1"/>
        <v>0.9470584503</v>
      </c>
      <c r="I2281" s="4" t="str">
        <f t="shared" si="2"/>
        <v>B</v>
      </c>
    </row>
    <row r="2282">
      <c r="A2282" s="2">
        <v>2281.0</v>
      </c>
      <c r="B2282" s="2">
        <v>21130.0</v>
      </c>
      <c r="C2282" s="2" t="s">
        <v>2599</v>
      </c>
      <c r="D2282" s="2">
        <v>3.45</v>
      </c>
      <c r="E2282" s="2">
        <v>361.0</v>
      </c>
      <c r="F2282" s="2">
        <v>602.19</v>
      </c>
      <c r="G2282" s="4">
        <f t="shared" si="3"/>
        <v>9039723.92</v>
      </c>
      <c r="H2282" s="4">
        <f t="shared" si="1"/>
        <v>0.9471215438</v>
      </c>
      <c r="I2282" s="4" t="str">
        <f t="shared" si="2"/>
        <v>B</v>
      </c>
    </row>
    <row r="2283">
      <c r="A2283" s="2">
        <v>2282.0</v>
      </c>
      <c r="B2283" s="2" t="s">
        <v>2600</v>
      </c>
      <c r="C2283" s="2" t="s">
        <v>2601</v>
      </c>
      <c r="D2283" s="2">
        <v>1.95</v>
      </c>
      <c r="E2283" s="2">
        <v>234.0</v>
      </c>
      <c r="F2283" s="2">
        <v>601.09</v>
      </c>
      <c r="G2283" s="4">
        <f t="shared" si="3"/>
        <v>9040325.01</v>
      </c>
      <c r="H2283" s="4">
        <f t="shared" si="1"/>
        <v>0.9471845219</v>
      </c>
      <c r="I2283" s="4" t="str">
        <f t="shared" si="2"/>
        <v>B</v>
      </c>
    </row>
    <row r="2284">
      <c r="A2284" s="2">
        <v>2283.0</v>
      </c>
      <c r="B2284" s="2">
        <v>84687.0</v>
      </c>
      <c r="C2284" s="2" t="s">
        <v>2602</v>
      </c>
      <c r="D2284" s="2">
        <v>5.95</v>
      </c>
      <c r="E2284" s="2">
        <v>156.0</v>
      </c>
      <c r="F2284" s="2">
        <v>601.05</v>
      </c>
      <c r="G2284" s="4">
        <f t="shared" si="3"/>
        <v>9040926.06</v>
      </c>
      <c r="H2284" s="4">
        <f t="shared" si="1"/>
        <v>0.9472474959</v>
      </c>
      <c r="I2284" s="4" t="str">
        <f t="shared" si="2"/>
        <v>B</v>
      </c>
    </row>
    <row r="2285">
      <c r="A2285" s="2">
        <v>2284.0</v>
      </c>
      <c r="B2285" s="2" t="s">
        <v>2603</v>
      </c>
      <c r="C2285" s="2" t="s">
        <v>2604</v>
      </c>
      <c r="D2285" s="2">
        <v>0.85</v>
      </c>
      <c r="E2285" s="2">
        <v>689.0</v>
      </c>
      <c r="F2285" s="2">
        <v>600.55</v>
      </c>
      <c r="G2285" s="4">
        <f t="shared" si="3"/>
        <v>9041526.61</v>
      </c>
      <c r="H2285" s="4">
        <f t="shared" si="1"/>
        <v>0.9473104175</v>
      </c>
      <c r="I2285" s="4" t="str">
        <f t="shared" si="2"/>
        <v>B</v>
      </c>
    </row>
    <row r="2286">
      <c r="A2286" s="2">
        <v>2285.0</v>
      </c>
      <c r="B2286" s="2">
        <v>84815.0</v>
      </c>
      <c r="C2286" s="2" t="s">
        <v>2605</v>
      </c>
      <c r="D2286" s="2">
        <v>4.25</v>
      </c>
      <c r="E2286" s="2">
        <v>465.0</v>
      </c>
      <c r="F2286" s="2">
        <v>600.41</v>
      </c>
      <c r="G2286" s="4">
        <f t="shared" si="3"/>
        <v>9042127.02</v>
      </c>
      <c r="H2286" s="4">
        <f t="shared" si="1"/>
        <v>0.9473733244</v>
      </c>
      <c r="I2286" s="4" t="str">
        <f t="shared" si="2"/>
        <v>B</v>
      </c>
    </row>
    <row r="2287">
      <c r="A2287" s="2">
        <v>2286.0</v>
      </c>
      <c r="B2287" s="2">
        <v>21883.0</v>
      </c>
      <c r="C2287" s="2" t="s">
        <v>2606</v>
      </c>
      <c r="D2287" s="2">
        <v>0.65</v>
      </c>
      <c r="E2287" s="2">
        <v>1174.0</v>
      </c>
      <c r="F2287" s="2">
        <v>600.07</v>
      </c>
      <c r="G2287" s="4">
        <f t="shared" si="3"/>
        <v>9042727.09</v>
      </c>
      <c r="H2287" s="4">
        <f t="shared" si="1"/>
        <v>0.9474361957</v>
      </c>
      <c r="I2287" s="4" t="str">
        <f t="shared" si="2"/>
        <v>B</v>
      </c>
    </row>
    <row r="2288">
      <c r="A2288" s="2">
        <v>2287.0</v>
      </c>
      <c r="B2288" s="2" t="s">
        <v>2607</v>
      </c>
      <c r="C2288" s="2" t="s">
        <v>2608</v>
      </c>
      <c r="D2288" s="2">
        <v>2.46</v>
      </c>
      <c r="E2288" s="2">
        <v>398.0</v>
      </c>
      <c r="F2288" s="2">
        <v>598.66</v>
      </c>
      <c r="G2288" s="4">
        <f t="shared" si="3"/>
        <v>9043325.75</v>
      </c>
      <c r="H2288" s="4">
        <f t="shared" si="1"/>
        <v>0.9474989193</v>
      </c>
      <c r="I2288" s="4" t="str">
        <f t="shared" si="2"/>
        <v>B</v>
      </c>
    </row>
    <row r="2289">
      <c r="A2289" s="2">
        <v>2288.0</v>
      </c>
      <c r="B2289" s="2">
        <v>72232.0</v>
      </c>
      <c r="C2289" s="2" t="s">
        <v>2609</v>
      </c>
      <c r="D2289" s="2">
        <v>0.19</v>
      </c>
      <c r="E2289" s="2">
        <v>3146.0</v>
      </c>
      <c r="F2289" s="2">
        <v>597.74</v>
      </c>
      <c r="G2289" s="4">
        <f t="shared" si="3"/>
        <v>9043923.49</v>
      </c>
      <c r="H2289" s="4">
        <f t="shared" si="1"/>
        <v>0.9475615465</v>
      </c>
      <c r="I2289" s="4" t="str">
        <f t="shared" si="2"/>
        <v>B</v>
      </c>
    </row>
    <row r="2290">
      <c r="A2290" s="2">
        <v>2289.0</v>
      </c>
      <c r="B2290" s="2">
        <v>22403.0</v>
      </c>
      <c r="C2290" s="2" t="s">
        <v>2610</v>
      </c>
      <c r="D2290" s="2">
        <v>1.25</v>
      </c>
      <c r="E2290" s="2">
        <v>858.0</v>
      </c>
      <c r="F2290" s="2">
        <v>597.52</v>
      </c>
      <c r="G2290" s="4">
        <f t="shared" si="3"/>
        <v>9044521.01</v>
      </c>
      <c r="H2290" s="4">
        <f t="shared" si="1"/>
        <v>0.9476241506</v>
      </c>
      <c r="I2290" s="4" t="str">
        <f t="shared" si="2"/>
        <v>B</v>
      </c>
    </row>
    <row r="2291">
      <c r="A2291" s="2">
        <v>2290.0</v>
      </c>
      <c r="B2291" s="2" t="s">
        <v>2611</v>
      </c>
      <c r="C2291" s="2" t="s">
        <v>2612</v>
      </c>
      <c r="D2291" s="2">
        <v>0.85</v>
      </c>
      <c r="E2291" s="2">
        <v>662.0</v>
      </c>
      <c r="F2291" s="2">
        <v>596.36</v>
      </c>
      <c r="G2291" s="4">
        <f t="shared" si="3"/>
        <v>9045117.37</v>
      </c>
      <c r="H2291" s="4">
        <f t="shared" si="1"/>
        <v>0.9476866332</v>
      </c>
      <c r="I2291" s="4" t="str">
        <f t="shared" si="2"/>
        <v>B</v>
      </c>
    </row>
    <row r="2292">
      <c r="A2292" s="2">
        <v>2291.0</v>
      </c>
      <c r="B2292" s="2">
        <v>22256.0</v>
      </c>
      <c r="C2292" s="2" t="s">
        <v>2613</v>
      </c>
      <c r="D2292" s="2">
        <v>1.25</v>
      </c>
      <c r="E2292" s="2">
        <v>464.0</v>
      </c>
      <c r="F2292" s="2">
        <v>596.28</v>
      </c>
      <c r="G2292" s="4">
        <f t="shared" si="3"/>
        <v>9045713.65</v>
      </c>
      <c r="H2292" s="4">
        <f t="shared" si="1"/>
        <v>0.9477491074</v>
      </c>
      <c r="I2292" s="4" t="str">
        <f t="shared" si="2"/>
        <v>B</v>
      </c>
    </row>
    <row r="2293">
      <c r="A2293" s="2">
        <v>2292.0</v>
      </c>
      <c r="B2293" s="2">
        <v>21650.0</v>
      </c>
      <c r="C2293" s="2" t="s">
        <v>2614</v>
      </c>
      <c r="D2293" s="2">
        <v>0.65</v>
      </c>
      <c r="E2293" s="2">
        <v>1615.0</v>
      </c>
      <c r="F2293" s="2">
        <v>595.87</v>
      </c>
      <c r="G2293" s="4">
        <f t="shared" si="3"/>
        <v>9046309.52</v>
      </c>
      <c r="H2293" s="4">
        <f t="shared" si="1"/>
        <v>0.9478115387</v>
      </c>
      <c r="I2293" s="4" t="str">
        <f t="shared" si="2"/>
        <v>B</v>
      </c>
    </row>
    <row r="2294">
      <c r="A2294" s="2">
        <v>2293.0</v>
      </c>
      <c r="B2294" s="2" t="s">
        <v>2615</v>
      </c>
      <c r="C2294" s="2" t="s">
        <v>2616</v>
      </c>
      <c r="D2294" s="2">
        <v>1.25</v>
      </c>
      <c r="E2294" s="2">
        <v>3421.0</v>
      </c>
      <c r="F2294" s="2">
        <v>593.45</v>
      </c>
      <c r="G2294" s="4">
        <f t="shared" si="3"/>
        <v>9046902.97</v>
      </c>
      <c r="H2294" s="4">
        <f t="shared" si="1"/>
        <v>0.9478737164</v>
      </c>
      <c r="I2294" s="4" t="str">
        <f t="shared" si="2"/>
        <v>B</v>
      </c>
    </row>
    <row r="2295">
      <c r="A2295" s="2">
        <v>2294.0</v>
      </c>
      <c r="B2295" s="2">
        <v>21312.0</v>
      </c>
      <c r="C2295" s="2" t="s">
        <v>2617</v>
      </c>
      <c r="D2295" s="2">
        <v>6.75</v>
      </c>
      <c r="E2295" s="2">
        <v>150.0</v>
      </c>
      <c r="F2295" s="2">
        <v>592.96</v>
      </c>
      <c r="G2295" s="4">
        <f t="shared" si="3"/>
        <v>9047495.93</v>
      </c>
      <c r="H2295" s="4">
        <f t="shared" si="1"/>
        <v>0.9479358428</v>
      </c>
      <c r="I2295" s="4" t="str">
        <f t="shared" si="2"/>
        <v>B</v>
      </c>
    </row>
    <row r="2296">
      <c r="A2296" s="2">
        <v>2295.0</v>
      </c>
      <c r="B2296" s="2">
        <v>23444.0</v>
      </c>
      <c r="C2296" s="2" t="s">
        <v>2618</v>
      </c>
      <c r="D2296" s="2">
        <v>15.0</v>
      </c>
      <c r="E2296" s="2">
        <v>39.0</v>
      </c>
      <c r="F2296" s="2">
        <v>592.5</v>
      </c>
      <c r="G2296" s="4">
        <f t="shared" si="3"/>
        <v>9048088.43</v>
      </c>
      <c r="H2296" s="4">
        <f t="shared" si="1"/>
        <v>0.9479979209</v>
      </c>
      <c r="I2296" s="4" t="str">
        <f t="shared" si="2"/>
        <v>B</v>
      </c>
    </row>
    <row r="2297">
      <c r="A2297" s="2">
        <v>2296.0</v>
      </c>
      <c r="B2297" s="2">
        <v>22252.0</v>
      </c>
      <c r="C2297" s="2" t="s">
        <v>2619</v>
      </c>
      <c r="D2297" s="2">
        <v>1.25</v>
      </c>
      <c r="E2297" s="2">
        <v>482.0</v>
      </c>
      <c r="F2297" s="2">
        <v>592.16</v>
      </c>
      <c r="G2297" s="4">
        <f t="shared" si="3"/>
        <v>9048680.59</v>
      </c>
      <c r="H2297" s="4">
        <f t="shared" si="1"/>
        <v>0.9480599635</v>
      </c>
      <c r="I2297" s="4" t="str">
        <f t="shared" si="2"/>
        <v>B</v>
      </c>
    </row>
    <row r="2298">
      <c r="A2298" s="2">
        <v>2297.0</v>
      </c>
      <c r="B2298" s="2">
        <v>21806.0</v>
      </c>
      <c r="C2298" s="2" t="s">
        <v>2620</v>
      </c>
      <c r="D2298" s="2">
        <v>0.42</v>
      </c>
      <c r="E2298" s="2">
        <v>1358.0</v>
      </c>
      <c r="F2298" s="2">
        <v>591.81</v>
      </c>
      <c r="G2298" s="4">
        <f t="shared" si="3"/>
        <v>9049272.4</v>
      </c>
      <c r="H2298" s="4">
        <f t="shared" si="1"/>
        <v>0.9481219694</v>
      </c>
      <c r="I2298" s="4" t="str">
        <f t="shared" si="2"/>
        <v>B</v>
      </c>
    </row>
    <row r="2299">
      <c r="A2299" s="2">
        <v>2298.0</v>
      </c>
      <c r="B2299" s="2">
        <v>22761.0</v>
      </c>
      <c r="C2299" s="2" t="s">
        <v>2621</v>
      </c>
      <c r="D2299" s="2">
        <v>24.95</v>
      </c>
      <c r="E2299" s="2">
        <v>24.0</v>
      </c>
      <c r="F2299" s="2">
        <v>591.39</v>
      </c>
      <c r="G2299" s="4">
        <f t="shared" si="3"/>
        <v>9049863.79</v>
      </c>
      <c r="H2299" s="4">
        <f t="shared" si="1"/>
        <v>0.9481839312</v>
      </c>
      <c r="I2299" s="4" t="str">
        <f t="shared" si="2"/>
        <v>B</v>
      </c>
    </row>
    <row r="2300">
      <c r="A2300" s="2">
        <v>2299.0</v>
      </c>
      <c r="B2300" s="2">
        <v>72819.0</v>
      </c>
      <c r="C2300" s="2" t="s">
        <v>2622</v>
      </c>
      <c r="D2300" s="2">
        <v>2.55</v>
      </c>
      <c r="E2300" s="2">
        <v>348.0</v>
      </c>
      <c r="F2300" s="2">
        <v>588.28</v>
      </c>
      <c r="G2300" s="4">
        <f t="shared" si="3"/>
        <v>9050452.07</v>
      </c>
      <c r="H2300" s="4">
        <f t="shared" si="1"/>
        <v>0.9482455673</v>
      </c>
      <c r="I2300" s="4" t="str">
        <f t="shared" si="2"/>
        <v>B</v>
      </c>
    </row>
    <row r="2301">
      <c r="A2301" s="2">
        <v>2300.0</v>
      </c>
      <c r="B2301" s="2">
        <v>23026.0</v>
      </c>
      <c r="C2301" s="2" t="s">
        <v>2623</v>
      </c>
      <c r="D2301" s="2">
        <v>2.08</v>
      </c>
      <c r="E2301" s="2">
        <v>272.0</v>
      </c>
      <c r="F2301" s="2">
        <v>588.04</v>
      </c>
      <c r="G2301" s="4">
        <f t="shared" si="3"/>
        <v>9051040.11</v>
      </c>
      <c r="H2301" s="4">
        <f t="shared" si="1"/>
        <v>0.9483071781</v>
      </c>
      <c r="I2301" s="4" t="str">
        <f t="shared" si="2"/>
        <v>B</v>
      </c>
    </row>
    <row r="2302">
      <c r="A2302" s="2">
        <v>2301.0</v>
      </c>
      <c r="B2302" s="2" t="s">
        <v>2624</v>
      </c>
      <c r="C2302" s="2" t="s">
        <v>2625</v>
      </c>
      <c r="D2302" s="2">
        <v>2.95</v>
      </c>
      <c r="E2302" s="2">
        <v>416.0</v>
      </c>
      <c r="F2302" s="2">
        <v>587.65</v>
      </c>
      <c r="G2302" s="4">
        <f t="shared" si="3"/>
        <v>9051627.76</v>
      </c>
      <c r="H2302" s="4">
        <f t="shared" si="1"/>
        <v>0.9483687482</v>
      </c>
      <c r="I2302" s="4" t="str">
        <f t="shared" si="2"/>
        <v>B</v>
      </c>
    </row>
    <row r="2303">
      <c r="A2303" s="2">
        <v>2302.0</v>
      </c>
      <c r="B2303" s="2">
        <v>22903.0</v>
      </c>
      <c r="C2303" s="2" t="s">
        <v>2626</v>
      </c>
      <c r="D2303" s="2">
        <v>2.95</v>
      </c>
      <c r="E2303" s="2">
        <v>212.0</v>
      </c>
      <c r="F2303" s="2">
        <v>586.98</v>
      </c>
      <c r="G2303" s="4">
        <f t="shared" si="3"/>
        <v>9052214.74</v>
      </c>
      <c r="H2303" s="4">
        <f t="shared" si="1"/>
        <v>0.948430248</v>
      </c>
      <c r="I2303" s="4" t="str">
        <f t="shared" si="2"/>
        <v>B</v>
      </c>
    </row>
    <row r="2304">
      <c r="A2304" s="2">
        <v>2303.0</v>
      </c>
      <c r="B2304" s="2">
        <v>37475.0</v>
      </c>
      <c r="C2304" s="2" t="s">
        <v>2627</v>
      </c>
      <c r="D2304" s="2">
        <v>9.95</v>
      </c>
      <c r="E2304" s="2">
        <v>58.0</v>
      </c>
      <c r="F2304" s="2">
        <v>585.26</v>
      </c>
      <c r="G2304" s="4">
        <f t="shared" si="3"/>
        <v>9052800</v>
      </c>
      <c r="H2304" s="4">
        <f t="shared" si="1"/>
        <v>0.9484915676</v>
      </c>
      <c r="I2304" s="4" t="str">
        <f t="shared" si="2"/>
        <v>B</v>
      </c>
    </row>
    <row r="2305">
      <c r="A2305" s="2">
        <v>2304.0</v>
      </c>
      <c r="B2305" s="2">
        <v>23418.0</v>
      </c>
      <c r="C2305" s="2" t="s">
        <v>2628</v>
      </c>
      <c r="D2305" s="2">
        <v>2.08</v>
      </c>
      <c r="E2305" s="2">
        <v>279.0</v>
      </c>
      <c r="F2305" s="2">
        <v>584.04</v>
      </c>
      <c r="G2305" s="4">
        <f t="shared" si="3"/>
        <v>9053384.04</v>
      </c>
      <c r="H2305" s="4">
        <f t="shared" si="1"/>
        <v>0.9485527594</v>
      </c>
      <c r="I2305" s="4" t="str">
        <f t="shared" si="2"/>
        <v>B</v>
      </c>
    </row>
    <row r="2306">
      <c r="A2306" s="2">
        <v>2305.0</v>
      </c>
      <c r="B2306" s="2">
        <v>84674.0</v>
      </c>
      <c r="C2306" s="2" t="s">
        <v>2629</v>
      </c>
      <c r="D2306" s="2">
        <v>2.95</v>
      </c>
      <c r="E2306" s="2">
        <v>228.0</v>
      </c>
      <c r="F2306" s="2">
        <v>583.54</v>
      </c>
      <c r="G2306" s="4">
        <f t="shared" si="3"/>
        <v>9053967.58</v>
      </c>
      <c r="H2306" s="4">
        <f t="shared" si="1"/>
        <v>0.9486138988</v>
      </c>
      <c r="I2306" s="4" t="str">
        <f t="shared" si="2"/>
        <v>B</v>
      </c>
    </row>
    <row r="2307">
      <c r="A2307" s="2">
        <v>2306.0</v>
      </c>
      <c r="B2307" s="2">
        <v>23431.0</v>
      </c>
      <c r="C2307" s="2" t="s">
        <v>2630</v>
      </c>
      <c r="D2307" s="2">
        <v>0.83</v>
      </c>
      <c r="E2307" s="2">
        <v>721.0</v>
      </c>
      <c r="F2307" s="2">
        <v>582.71</v>
      </c>
      <c r="G2307" s="4">
        <f t="shared" si="3"/>
        <v>9054550.29</v>
      </c>
      <c r="H2307" s="4">
        <f t="shared" si="1"/>
        <v>0.9486749512</v>
      </c>
      <c r="I2307" s="4" t="str">
        <f t="shared" si="2"/>
        <v>B</v>
      </c>
    </row>
    <row r="2308">
      <c r="A2308" s="2">
        <v>2307.0</v>
      </c>
      <c r="B2308" s="2">
        <v>23508.0</v>
      </c>
      <c r="C2308" s="2" t="s">
        <v>2631</v>
      </c>
      <c r="D2308" s="2">
        <v>0.42</v>
      </c>
      <c r="E2308" s="2">
        <v>1316.0</v>
      </c>
      <c r="F2308" s="2">
        <v>582.57</v>
      </c>
      <c r="G2308" s="4">
        <f t="shared" si="3"/>
        <v>9055132.86</v>
      </c>
      <c r="H2308" s="4">
        <f t="shared" si="1"/>
        <v>0.948735989</v>
      </c>
      <c r="I2308" s="4" t="str">
        <f t="shared" si="2"/>
        <v>B</v>
      </c>
    </row>
    <row r="2309">
      <c r="A2309" s="2">
        <v>2308.0</v>
      </c>
      <c r="B2309" s="2">
        <v>23515.0</v>
      </c>
      <c r="C2309" s="2" t="s">
        <v>2632</v>
      </c>
      <c r="D2309" s="2">
        <v>2.08</v>
      </c>
      <c r="E2309" s="2">
        <v>290.0</v>
      </c>
      <c r="F2309" s="2">
        <v>582.49</v>
      </c>
      <c r="G2309" s="4">
        <f t="shared" si="3"/>
        <v>9055715.35</v>
      </c>
      <c r="H2309" s="4">
        <f t="shared" si="1"/>
        <v>0.9487970184</v>
      </c>
      <c r="I2309" s="4" t="str">
        <f t="shared" si="2"/>
        <v>B</v>
      </c>
    </row>
    <row r="2310">
      <c r="A2310" s="2">
        <v>2309.0</v>
      </c>
      <c r="B2310" s="2">
        <v>22253.0</v>
      </c>
      <c r="C2310" s="2" t="s">
        <v>2633</v>
      </c>
      <c r="D2310" s="2">
        <v>1.25</v>
      </c>
      <c r="E2310" s="2">
        <v>484.0</v>
      </c>
      <c r="F2310" s="2">
        <v>582.26</v>
      </c>
      <c r="G2310" s="4">
        <f t="shared" si="3"/>
        <v>9056297.61</v>
      </c>
      <c r="H2310" s="4">
        <f t="shared" si="1"/>
        <v>0.9488580237</v>
      </c>
      <c r="I2310" s="4" t="str">
        <f t="shared" si="2"/>
        <v>B</v>
      </c>
    </row>
    <row r="2311">
      <c r="A2311" s="2">
        <v>2310.0</v>
      </c>
      <c r="B2311" s="2" t="s">
        <v>2634</v>
      </c>
      <c r="C2311" s="2" t="s">
        <v>2635</v>
      </c>
      <c r="D2311" s="2">
        <v>4.25</v>
      </c>
      <c r="E2311" s="2">
        <v>114.0</v>
      </c>
      <c r="F2311" s="2">
        <v>582.02</v>
      </c>
      <c r="G2311" s="4">
        <f t="shared" si="3"/>
        <v>9056879.63</v>
      </c>
      <c r="H2311" s="4">
        <f t="shared" si="1"/>
        <v>0.9489190038</v>
      </c>
      <c r="I2311" s="4" t="str">
        <f t="shared" si="2"/>
        <v>B</v>
      </c>
    </row>
    <row r="2312">
      <c r="A2312" s="2">
        <v>2311.0</v>
      </c>
      <c r="B2312" s="2">
        <v>23269.0</v>
      </c>
      <c r="C2312" s="2" t="s">
        <v>2636</v>
      </c>
      <c r="D2312" s="2">
        <v>1.45</v>
      </c>
      <c r="E2312" s="2">
        <v>393.0</v>
      </c>
      <c r="F2312" s="2">
        <v>581.56</v>
      </c>
      <c r="G2312" s="4">
        <f t="shared" si="3"/>
        <v>9057461.19</v>
      </c>
      <c r="H2312" s="4">
        <f t="shared" si="1"/>
        <v>0.9489799358</v>
      </c>
      <c r="I2312" s="4" t="str">
        <f t="shared" si="2"/>
        <v>B</v>
      </c>
    </row>
    <row r="2313">
      <c r="A2313" s="2">
        <v>2312.0</v>
      </c>
      <c r="B2313" s="2">
        <v>21649.0</v>
      </c>
      <c r="C2313" s="2" t="s">
        <v>2637</v>
      </c>
      <c r="D2313" s="2">
        <v>2.95</v>
      </c>
      <c r="E2313" s="2">
        <v>210.0</v>
      </c>
      <c r="F2313" s="2">
        <v>581.45</v>
      </c>
      <c r="G2313" s="4">
        <f t="shared" si="3"/>
        <v>9058042.64</v>
      </c>
      <c r="H2313" s="4">
        <f t="shared" si="1"/>
        <v>0.9490408562</v>
      </c>
      <c r="I2313" s="4" t="str">
        <f t="shared" si="2"/>
        <v>B</v>
      </c>
    </row>
    <row r="2314">
      <c r="A2314" s="2">
        <v>2313.0</v>
      </c>
      <c r="B2314" s="2">
        <v>22264.0</v>
      </c>
      <c r="C2314" s="2" t="s">
        <v>2638</v>
      </c>
      <c r="D2314" s="2">
        <v>0.85</v>
      </c>
      <c r="E2314" s="2">
        <v>1012.0</v>
      </c>
      <c r="F2314" s="2">
        <v>579.93</v>
      </c>
      <c r="G2314" s="4">
        <f t="shared" si="3"/>
        <v>9058622.57</v>
      </c>
      <c r="H2314" s="4">
        <f t="shared" si="1"/>
        <v>0.9491016174</v>
      </c>
      <c r="I2314" s="4" t="str">
        <f t="shared" si="2"/>
        <v>B</v>
      </c>
    </row>
    <row r="2315">
      <c r="A2315" s="2">
        <v>2314.0</v>
      </c>
      <c r="B2315" s="2">
        <v>23566.0</v>
      </c>
      <c r="C2315" s="2" t="s">
        <v>2639</v>
      </c>
      <c r="D2315" s="2">
        <v>1.25</v>
      </c>
      <c r="E2315" s="2">
        <v>442.0</v>
      </c>
      <c r="F2315" s="2">
        <v>579.72</v>
      </c>
      <c r="G2315" s="4">
        <f t="shared" si="3"/>
        <v>9059202.29</v>
      </c>
      <c r="H2315" s="4">
        <f t="shared" si="1"/>
        <v>0.9491623565</v>
      </c>
      <c r="I2315" s="4" t="str">
        <f t="shared" si="2"/>
        <v>B</v>
      </c>
    </row>
    <row r="2316">
      <c r="A2316" s="2">
        <v>2315.0</v>
      </c>
      <c r="B2316" s="2" t="s">
        <v>2640</v>
      </c>
      <c r="C2316" s="2" t="s">
        <v>2641</v>
      </c>
      <c r="D2316" s="2">
        <v>0.39</v>
      </c>
      <c r="E2316" s="2">
        <v>878.0</v>
      </c>
      <c r="F2316" s="2">
        <v>579.62</v>
      </c>
      <c r="G2316" s="4">
        <f t="shared" si="3"/>
        <v>9059781.91</v>
      </c>
      <c r="H2316" s="4">
        <f t="shared" si="1"/>
        <v>0.9492230852</v>
      </c>
      <c r="I2316" s="4" t="str">
        <f t="shared" si="2"/>
        <v>B</v>
      </c>
    </row>
    <row r="2317">
      <c r="A2317" s="2">
        <v>2316.0</v>
      </c>
      <c r="B2317" s="2">
        <v>23507.0</v>
      </c>
      <c r="C2317" s="2" t="s">
        <v>2642</v>
      </c>
      <c r="D2317" s="2">
        <v>0.42</v>
      </c>
      <c r="E2317" s="2">
        <v>1442.0</v>
      </c>
      <c r="F2317" s="2">
        <v>578.26</v>
      </c>
      <c r="G2317" s="4">
        <f t="shared" si="3"/>
        <v>9060360.17</v>
      </c>
      <c r="H2317" s="4">
        <f t="shared" si="1"/>
        <v>0.9492836714</v>
      </c>
      <c r="I2317" s="4" t="str">
        <f t="shared" si="2"/>
        <v>B</v>
      </c>
    </row>
    <row r="2318">
      <c r="A2318" s="2">
        <v>2317.0</v>
      </c>
      <c r="B2318" s="2">
        <v>22048.0</v>
      </c>
      <c r="C2318" s="2" t="s">
        <v>2643</v>
      </c>
      <c r="D2318" s="2">
        <v>0.42</v>
      </c>
      <c r="E2318" s="2">
        <v>1395.0</v>
      </c>
      <c r="F2318" s="2">
        <v>577.9</v>
      </c>
      <c r="G2318" s="4">
        <f t="shared" si="3"/>
        <v>9060938.07</v>
      </c>
      <c r="H2318" s="4">
        <f t="shared" si="1"/>
        <v>0.9493442199</v>
      </c>
      <c r="I2318" s="4" t="str">
        <f t="shared" si="2"/>
        <v>B</v>
      </c>
    </row>
    <row r="2319">
      <c r="A2319" s="2">
        <v>2318.0</v>
      </c>
      <c r="B2319" s="2">
        <v>22814.0</v>
      </c>
      <c r="C2319" s="2" t="s">
        <v>2644</v>
      </c>
      <c r="D2319" s="2">
        <v>0.42</v>
      </c>
      <c r="E2319" s="2">
        <v>1370.0</v>
      </c>
      <c r="F2319" s="2">
        <v>576.4</v>
      </c>
      <c r="G2319" s="4">
        <f t="shared" si="3"/>
        <v>9061514.47</v>
      </c>
      <c r="H2319" s="4">
        <f t="shared" si="1"/>
        <v>0.9494046112</v>
      </c>
      <c r="I2319" s="4" t="str">
        <f t="shared" si="2"/>
        <v>B</v>
      </c>
    </row>
    <row r="2320">
      <c r="A2320" s="2">
        <v>2319.0</v>
      </c>
      <c r="B2320" s="2">
        <v>23523.0</v>
      </c>
      <c r="C2320" s="2" t="s">
        <v>2645</v>
      </c>
      <c r="D2320" s="2">
        <v>3.75</v>
      </c>
      <c r="E2320" s="2">
        <v>177.0</v>
      </c>
      <c r="F2320" s="2">
        <v>575.66</v>
      </c>
      <c r="G2320" s="4">
        <f t="shared" si="3"/>
        <v>9062090.13</v>
      </c>
      <c r="H2320" s="4">
        <f t="shared" si="1"/>
        <v>0.949464925</v>
      </c>
      <c r="I2320" s="4" t="str">
        <f t="shared" si="2"/>
        <v>B</v>
      </c>
    </row>
    <row r="2321">
      <c r="A2321" s="2">
        <v>2320.0</v>
      </c>
      <c r="B2321" s="2">
        <v>23402.0</v>
      </c>
      <c r="C2321" s="2" t="s">
        <v>2646</v>
      </c>
      <c r="D2321" s="2">
        <v>3.75</v>
      </c>
      <c r="E2321" s="2">
        <v>148.0</v>
      </c>
      <c r="F2321" s="2">
        <v>575.52</v>
      </c>
      <c r="G2321" s="4">
        <f t="shared" si="3"/>
        <v>9062665.65</v>
      </c>
      <c r="H2321" s="4">
        <f t="shared" si="1"/>
        <v>0.9495252241</v>
      </c>
      <c r="I2321" s="4" t="str">
        <f t="shared" si="2"/>
        <v>B</v>
      </c>
    </row>
    <row r="2322">
      <c r="A2322" s="2">
        <v>2321.0</v>
      </c>
      <c r="B2322" s="2">
        <v>21316.0</v>
      </c>
      <c r="C2322" s="2" t="s">
        <v>2647</v>
      </c>
      <c r="D2322" s="2">
        <v>2.95</v>
      </c>
      <c r="E2322" s="2">
        <v>347.0</v>
      </c>
      <c r="F2322" s="2">
        <v>574.53</v>
      </c>
      <c r="G2322" s="4">
        <f t="shared" si="3"/>
        <v>9063240.18</v>
      </c>
      <c r="H2322" s="4">
        <f t="shared" si="1"/>
        <v>0.9495854195</v>
      </c>
      <c r="I2322" s="4" t="str">
        <f t="shared" si="2"/>
        <v>B</v>
      </c>
    </row>
    <row r="2323">
      <c r="A2323" s="2">
        <v>2322.0</v>
      </c>
      <c r="B2323" s="2">
        <v>20932.0</v>
      </c>
      <c r="C2323" s="2" t="s">
        <v>2648</v>
      </c>
      <c r="D2323" s="2">
        <v>3.75</v>
      </c>
      <c r="E2323" s="2">
        <v>167.0</v>
      </c>
      <c r="F2323" s="2">
        <v>573.86</v>
      </c>
      <c r="G2323" s="4">
        <f t="shared" si="3"/>
        <v>9063814.04</v>
      </c>
      <c r="H2323" s="4">
        <f t="shared" si="1"/>
        <v>0.9496455447</v>
      </c>
      <c r="I2323" s="4" t="str">
        <f t="shared" si="2"/>
        <v>B</v>
      </c>
    </row>
    <row r="2324">
      <c r="A2324" s="2">
        <v>2323.0</v>
      </c>
      <c r="B2324" s="2">
        <v>21261.0</v>
      </c>
      <c r="C2324" s="2" t="s">
        <v>2649</v>
      </c>
      <c r="D2324" s="2">
        <v>7.46</v>
      </c>
      <c r="E2324" s="2">
        <v>142.0</v>
      </c>
      <c r="F2324" s="2">
        <v>573.06</v>
      </c>
      <c r="G2324" s="4">
        <f t="shared" si="3"/>
        <v>9064387.1</v>
      </c>
      <c r="H2324" s="4">
        <f t="shared" si="1"/>
        <v>0.9497055861</v>
      </c>
      <c r="I2324" s="4" t="str">
        <f t="shared" si="2"/>
        <v>B</v>
      </c>
    </row>
    <row r="2325">
      <c r="A2325" s="2">
        <v>2324.0</v>
      </c>
      <c r="B2325" s="2">
        <v>72598.0</v>
      </c>
      <c r="C2325" s="2" t="s">
        <v>2650</v>
      </c>
      <c r="D2325" s="2">
        <v>0.85</v>
      </c>
      <c r="E2325" s="2">
        <v>622.0</v>
      </c>
      <c r="F2325" s="2">
        <v>572.88</v>
      </c>
      <c r="G2325" s="4">
        <f t="shared" si="3"/>
        <v>9064959.98</v>
      </c>
      <c r="H2325" s="4">
        <f t="shared" si="1"/>
        <v>0.9497656086</v>
      </c>
      <c r="I2325" s="4" t="str">
        <f t="shared" si="2"/>
        <v>B</v>
      </c>
    </row>
    <row r="2326">
      <c r="A2326" s="2">
        <v>2325.0</v>
      </c>
      <c r="B2326" s="2">
        <v>84830.0</v>
      </c>
      <c r="C2326" s="2" t="s">
        <v>2651</v>
      </c>
      <c r="D2326" s="2">
        <v>16.95</v>
      </c>
      <c r="E2326" s="2">
        <v>55.0</v>
      </c>
      <c r="F2326" s="2">
        <v>572.15</v>
      </c>
      <c r="G2326" s="4">
        <f t="shared" si="3"/>
        <v>9065532.13</v>
      </c>
      <c r="H2326" s="4">
        <f t="shared" si="1"/>
        <v>0.9498255546</v>
      </c>
      <c r="I2326" s="4" t="str">
        <f t="shared" si="2"/>
        <v>B</v>
      </c>
    </row>
    <row r="2327">
      <c r="A2327" s="2">
        <v>2326.0</v>
      </c>
      <c r="B2327" s="2">
        <v>22040.0</v>
      </c>
      <c r="C2327" s="2" t="s">
        <v>2652</v>
      </c>
      <c r="D2327" s="2">
        <v>0.42</v>
      </c>
      <c r="E2327" s="2">
        <v>1408.0</v>
      </c>
      <c r="F2327" s="2">
        <v>572.15</v>
      </c>
      <c r="G2327" s="4">
        <f t="shared" si="3"/>
        <v>9066104.28</v>
      </c>
      <c r="H2327" s="4">
        <f t="shared" si="1"/>
        <v>0.9498855007</v>
      </c>
      <c r="I2327" s="4" t="str">
        <f t="shared" si="2"/>
        <v>B</v>
      </c>
    </row>
    <row r="2328">
      <c r="A2328" s="2">
        <v>2327.0</v>
      </c>
      <c r="B2328" s="2" t="s">
        <v>2653</v>
      </c>
      <c r="C2328" s="2" t="s">
        <v>2654</v>
      </c>
      <c r="D2328" s="2">
        <v>3.08</v>
      </c>
      <c r="E2328" s="2">
        <v>260.0</v>
      </c>
      <c r="F2328" s="2">
        <v>571.21</v>
      </c>
      <c r="G2328" s="4">
        <f t="shared" si="3"/>
        <v>9066675.49</v>
      </c>
      <c r="H2328" s="4">
        <f t="shared" si="1"/>
        <v>0.9499453482</v>
      </c>
      <c r="I2328" s="4" t="str">
        <f t="shared" si="2"/>
        <v>B</v>
      </c>
    </row>
    <row r="2329">
      <c r="A2329" s="2">
        <v>2328.0</v>
      </c>
      <c r="B2329" s="2">
        <v>22615.0</v>
      </c>
      <c r="C2329" s="2" t="s">
        <v>2655</v>
      </c>
      <c r="D2329" s="2">
        <v>0.29</v>
      </c>
      <c r="E2329" s="2">
        <v>1854.0</v>
      </c>
      <c r="F2329" s="2">
        <v>571.04</v>
      </c>
      <c r="G2329" s="4">
        <f t="shared" si="3"/>
        <v>9067246.53</v>
      </c>
      <c r="H2329" s="4">
        <f t="shared" si="1"/>
        <v>0.9500051779</v>
      </c>
      <c r="I2329" s="4" t="str">
        <f t="shared" si="2"/>
        <v>C</v>
      </c>
    </row>
    <row r="2330">
      <c r="A2330" s="2">
        <v>2329.0</v>
      </c>
      <c r="B2330" s="2" t="s">
        <v>2656</v>
      </c>
      <c r="C2330" s="2" t="s">
        <v>2657</v>
      </c>
      <c r="D2330" s="2">
        <v>1.25</v>
      </c>
      <c r="E2330" s="2">
        <v>566.0</v>
      </c>
      <c r="F2330" s="2">
        <v>571.0</v>
      </c>
      <c r="G2330" s="4">
        <f t="shared" si="3"/>
        <v>9067817.53</v>
      </c>
      <c r="H2330" s="4">
        <f t="shared" si="1"/>
        <v>0.9500650035</v>
      </c>
      <c r="I2330" s="4" t="str">
        <f t="shared" si="2"/>
        <v>C</v>
      </c>
    </row>
    <row r="2331">
      <c r="A2331" s="2">
        <v>2330.0</v>
      </c>
      <c r="B2331" s="2" t="s">
        <v>2658</v>
      </c>
      <c r="C2331" s="2" t="s">
        <v>2659</v>
      </c>
      <c r="D2331" s="2">
        <v>1.95</v>
      </c>
      <c r="E2331" s="2">
        <v>304.0</v>
      </c>
      <c r="F2331" s="2">
        <v>570.04</v>
      </c>
      <c r="G2331" s="4">
        <f t="shared" si="3"/>
        <v>9068387.57</v>
      </c>
      <c r="H2331" s="4">
        <f t="shared" si="1"/>
        <v>0.9501247285</v>
      </c>
      <c r="I2331" s="4" t="str">
        <f t="shared" si="2"/>
        <v>C</v>
      </c>
    </row>
    <row r="2332">
      <c r="A2332" s="2">
        <v>2331.0</v>
      </c>
      <c r="B2332" s="2">
        <v>21366.0</v>
      </c>
      <c r="C2332" s="2" t="s">
        <v>2660</v>
      </c>
      <c r="D2332" s="2">
        <v>4.25</v>
      </c>
      <c r="E2332" s="2">
        <v>119.0</v>
      </c>
      <c r="F2332" s="2">
        <v>570.0</v>
      </c>
      <c r="G2332" s="4">
        <f t="shared" si="3"/>
        <v>9068957.57</v>
      </c>
      <c r="H2332" s="4">
        <f t="shared" si="1"/>
        <v>0.9501844492</v>
      </c>
      <c r="I2332" s="4" t="str">
        <f t="shared" si="2"/>
        <v>C</v>
      </c>
    </row>
    <row r="2333">
      <c r="A2333" s="2">
        <v>2332.0</v>
      </c>
      <c r="B2333" s="2">
        <v>23506.0</v>
      </c>
      <c r="C2333" s="2" t="s">
        <v>2661</v>
      </c>
      <c r="D2333" s="2">
        <v>0.42</v>
      </c>
      <c r="E2333" s="2">
        <v>1374.0</v>
      </c>
      <c r="F2333" s="2">
        <v>569.6</v>
      </c>
      <c r="G2333" s="4">
        <f t="shared" si="3"/>
        <v>9069527.17</v>
      </c>
      <c r="H2333" s="4">
        <f t="shared" si="1"/>
        <v>0.9502441281</v>
      </c>
      <c r="I2333" s="4" t="str">
        <f t="shared" si="2"/>
        <v>C</v>
      </c>
    </row>
    <row r="2334">
      <c r="A2334" s="2">
        <v>2333.0</v>
      </c>
      <c r="B2334" s="2">
        <v>22715.0</v>
      </c>
      <c r="C2334" s="2" t="s">
        <v>2662</v>
      </c>
      <c r="D2334" s="2">
        <v>0.42</v>
      </c>
      <c r="E2334" s="2">
        <v>1364.0</v>
      </c>
      <c r="F2334" s="2">
        <v>569.48</v>
      </c>
      <c r="G2334" s="4">
        <f t="shared" si="3"/>
        <v>9070096.65</v>
      </c>
      <c r="H2334" s="4">
        <f t="shared" si="1"/>
        <v>0.9503037944</v>
      </c>
      <c r="I2334" s="4" t="str">
        <f t="shared" si="2"/>
        <v>C</v>
      </c>
    </row>
    <row r="2335">
      <c r="A2335" s="2">
        <v>2334.0</v>
      </c>
      <c r="B2335" s="2">
        <v>22718.0</v>
      </c>
      <c r="C2335" s="2" t="s">
        <v>2663</v>
      </c>
      <c r="D2335" s="2">
        <v>0.42</v>
      </c>
      <c r="E2335" s="2">
        <v>1296.0</v>
      </c>
      <c r="F2335" s="2">
        <v>568.16</v>
      </c>
      <c r="G2335" s="4">
        <f t="shared" si="3"/>
        <v>9070664.81</v>
      </c>
      <c r="H2335" s="4">
        <f t="shared" si="1"/>
        <v>0.9503633224</v>
      </c>
      <c r="I2335" s="4" t="str">
        <f t="shared" si="2"/>
        <v>C</v>
      </c>
    </row>
    <row r="2336">
      <c r="A2336" s="2">
        <v>2335.0</v>
      </c>
      <c r="B2336" s="2">
        <v>20622.0</v>
      </c>
      <c r="C2336" s="2" t="s">
        <v>2664</v>
      </c>
      <c r="D2336" s="2">
        <v>2.1</v>
      </c>
      <c r="E2336" s="2">
        <v>293.0</v>
      </c>
      <c r="F2336" s="2">
        <v>568.0</v>
      </c>
      <c r="G2336" s="4">
        <f t="shared" si="3"/>
        <v>9071232.81</v>
      </c>
      <c r="H2336" s="4">
        <f t="shared" si="1"/>
        <v>0.9504228336</v>
      </c>
      <c r="I2336" s="4" t="str">
        <f t="shared" si="2"/>
        <v>C</v>
      </c>
    </row>
    <row r="2337">
      <c r="A2337" s="2">
        <v>2336.0</v>
      </c>
      <c r="B2337" s="2">
        <v>21413.0</v>
      </c>
      <c r="C2337" s="2" t="s">
        <v>2665</v>
      </c>
      <c r="D2337" s="2">
        <v>1.25</v>
      </c>
      <c r="E2337" s="2">
        <v>1582.0</v>
      </c>
      <c r="F2337" s="2">
        <v>567.45</v>
      </c>
      <c r="G2337" s="4">
        <f t="shared" si="3"/>
        <v>9071800.26</v>
      </c>
      <c r="H2337" s="4">
        <f t="shared" si="1"/>
        <v>0.9504822872</v>
      </c>
      <c r="I2337" s="4" t="str">
        <f t="shared" si="2"/>
        <v>C</v>
      </c>
    </row>
    <row r="2338">
      <c r="A2338" s="2">
        <v>2337.0</v>
      </c>
      <c r="B2338" s="2">
        <v>21555.0</v>
      </c>
      <c r="C2338" s="2" t="s">
        <v>2666</v>
      </c>
      <c r="D2338" s="2">
        <v>2.55</v>
      </c>
      <c r="E2338" s="2">
        <v>212.0</v>
      </c>
      <c r="F2338" s="2">
        <v>565.68</v>
      </c>
      <c r="G2338" s="4">
        <f t="shared" si="3"/>
        <v>9072365.94</v>
      </c>
      <c r="H2338" s="4">
        <f t="shared" si="1"/>
        <v>0.9505415553</v>
      </c>
      <c r="I2338" s="4" t="str">
        <f t="shared" si="2"/>
        <v>C</v>
      </c>
    </row>
    <row r="2339">
      <c r="A2339" s="2">
        <v>2338.0</v>
      </c>
      <c r="B2339" s="2">
        <v>85224.0</v>
      </c>
      <c r="C2339" s="2" t="s">
        <v>2667</v>
      </c>
      <c r="D2339" s="2">
        <v>2.1</v>
      </c>
      <c r="E2339" s="2">
        <v>1004.0</v>
      </c>
      <c r="F2339" s="2">
        <v>564.68</v>
      </c>
      <c r="G2339" s="4">
        <f t="shared" si="3"/>
        <v>9072930.62</v>
      </c>
      <c r="H2339" s="4">
        <f t="shared" si="1"/>
        <v>0.9506007187</v>
      </c>
      <c r="I2339" s="4" t="str">
        <f t="shared" si="2"/>
        <v>C</v>
      </c>
    </row>
    <row r="2340">
      <c r="A2340" s="2">
        <v>2339.0</v>
      </c>
      <c r="B2340" s="2">
        <v>20832.0</v>
      </c>
      <c r="C2340" s="2" t="s">
        <v>2668</v>
      </c>
      <c r="D2340" s="2">
        <v>0.85</v>
      </c>
      <c r="E2340" s="2">
        <v>850.0</v>
      </c>
      <c r="F2340" s="2">
        <v>564.3</v>
      </c>
      <c r="G2340" s="4">
        <f t="shared" si="3"/>
        <v>9073494.92</v>
      </c>
      <c r="H2340" s="4">
        <f t="shared" si="1"/>
        <v>0.9506598423</v>
      </c>
      <c r="I2340" s="4" t="str">
        <f t="shared" si="2"/>
        <v>C</v>
      </c>
    </row>
    <row r="2341">
      <c r="A2341" s="2">
        <v>2340.0</v>
      </c>
      <c r="B2341" s="2">
        <v>85212.0</v>
      </c>
      <c r="C2341" s="2" t="s">
        <v>2669</v>
      </c>
      <c r="D2341" s="2">
        <v>0.85</v>
      </c>
      <c r="E2341" s="2">
        <v>1434.0</v>
      </c>
      <c r="F2341" s="2">
        <v>564.0</v>
      </c>
      <c r="G2341" s="4">
        <f t="shared" si="3"/>
        <v>9074058.92</v>
      </c>
      <c r="H2341" s="4">
        <f t="shared" si="1"/>
        <v>0.9507189344</v>
      </c>
      <c r="I2341" s="4" t="str">
        <f t="shared" si="2"/>
        <v>C</v>
      </c>
    </row>
    <row r="2342">
      <c r="A2342" s="2">
        <v>2341.0</v>
      </c>
      <c r="B2342" s="2">
        <v>21763.0</v>
      </c>
      <c r="C2342" s="2" t="s">
        <v>2670</v>
      </c>
      <c r="D2342" s="2">
        <v>29.95</v>
      </c>
      <c r="E2342" s="2">
        <v>21.0</v>
      </c>
      <c r="F2342" s="2">
        <v>563.98</v>
      </c>
      <c r="G2342" s="4">
        <f t="shared" si="3"/>
        <v>9074622.9</v>
      </c>
      <c r="H2342" s="4">
        <f t="shared" si="1"/>
        <v>0.9507780244</v>
      </c>
      <c r="I2342" s="4" t="str">
        <f t="shared" si="2"/>
        <v>C</v>
      </c>
    </row>
    <row r="2343">
      <c r="A2343" s="2">
        <v>2342.0</v>
      </c>
      <c r="B2343" s="2" t="s">
        <v>2671</v>
      </c>
      <c r="C2343" s="2" t="s">
        <v>2672</v>
      </c>
      <c r="D2343" s="2">
        <v>2.55</v>
      </c>
      <c r="E2343" s="2">
        <v>626.0</v>
      </c>
      <c r="F2343" s="2">
        <v>563.95</v>
      </c>
      <c r="G2343" s="4">
        <f t="shared" si="3"/>
        <v>9075186.85</v>
      </c>
      <c r="H2343" s="4">
        <f t="shared" si="1"/>
        <v>0.9508371113</v>
      </c>
      <c r="I2343" s="4" t="str">
        <f t="shared" si="2"/>
        <v>C</v>
      </c>
    </row>
    <row r="2344">
      <c r="A2344" s="2">
        <v>2343.0</v>
      </c>
      <c r="B2344" s="2">
        <v>22598.0</v>
      </c>
      <c r="C2344" s="2" t="s">
        <v>2673</v>
      </c>
      <c r="D2344" s="2">
        <v>0.83</v>
      </c>
      <c r="E2344" s="2">
        <v>894.0</v>
      </c>
      <c r="F2344" s="2">
        <v>563.95</v>
      </c>
      <c r="G2344" s="4">
        <f t="shared" si="3"/>
        <v>9075750.8</v>
      </c>
      <c r="H2344" s="4">
        <f t="shared" si="1"/>
        <v>0.9508961982</v>
      </c>
      <c r="I2344" s="4" t="str">
        <f t="shared" si="2"/>
        <v>C</v>
      </c>
    </row>
    <row r="2345">
      <c r="A2345" s="2">
        <v>2344.0</v>
      </c>
      <c r="B2345" s="2">
        <v>21040.0</v>
      </c>
      <c r="C2345" s="2" t="s">
        <v>2674</v>
      </c>
      <c r="D2345" s="2">
        <v>2.55</v>
      </c>
      <c r="E2345" s="2">
        <v>447.0</v>
      </c>
      <c r="F2345" s="2">
        <v>562.92</v>
      </c>
      <c r="G2345" s="4">
        <f t="shared" si="3"/>
        <v>9076313.72</v>
      </c>
      <c r="H2345" s="4">
        <f t="shared" si="1"/>
        <v>0.9509551772</v>
      </c>
      <c r="I2345" s="4" t="str">
        <f t="shared" si="2"/>
        <v>C</v>
      </c>
    </row>
    <row r="2346">
      <c r="A2346" s="2">
        <v>2345.0</v>
      </c>
      <c r="B2346" s="2">
        <v>85118.0</v>
      </c>
      <c r="C2346" s="2" t="s">
        <v>2675</v>
      </c>
      <c r="D2346" s="2">
        <v>1.25</v>
      </c>
      <c r="E2346" s="2">
        <v>1007.0</v>
      </c>
      <c r="F2346" s="2">
        <v>562.72</v>
      </c>
      <c r="G2346" s="4">
        <f t="shared" si="3"/>
        <v>9076876.44</v>
      </c>
      <c r="H2346" s="4">
        <f t="shared" si="1"/>
        <v>0.9510141352</v>
      </c>
      <c r="I2346" s="4" t="str">
        <f t="shared" si="2"/>
        <v>C</v>
      </c>
    </row>
    <row r="2347">
      <c r="A2347" s="2">
        <v>2346.0</v>
      </c>
      <c r="B2347" s="2">
        <v>20700.0</v>
      </c>
      <c r="C2347" s="2" t="s">
        <v>2676</v>
      </c>
      <c r="D2347" s="2">
        <v>4.13</v>
      </c>
      <c r="E2347" s="2">
        <v>210.0</v>
      </c>
      <c r="F2347" s="2">
        <v>562.52</v>
      </c>
      <c r="G2347" s="4">
        <f t="shared" si="3"/>
        <v>9077438.96</v>
      </c>
      <c r="H2347" s="4">
        <f t="shared" si="1"/>
        <v>0.9510730723</v>
      </c>
      <c r="I2347" s="4" t="str">
        <f t="shared" si="2"/>
        <v>C</v>
      </c>
    </row>
    <row r="2348">
      <c r="A2348" s="2">
        <v>2347.0</v>
      </c>
      <c r="B2348" s="2" t="s">
        <v>2677</v>
      </c>
      <c r="C2348" s="2" t="s">
        <v>2678</v>
      </c>
      <c r="D2348" s="2">
        <v>2.55</v>
      </c>
      <c r="E2348" s="2">
        <v>213.0</v>
      </c>
      <c r="F2348" s="2">
        <v>561.94</v>
      </c>
      <c r="G2348" s="4">
        <f t="shared" si="3"/>
        <v>9078000.9</v>
      </c>
      <c r="H2348" s="4">
        <f t="shared" si="1"/>
        <v>0.9511319486</v>
      </c>
      <c r="I2348" s="4" t="str">
        <f t="shared" si="2"/>
        <v>C</v>
      </c>
    </row>
    <row r="2349">
      <c r="A2349" s="2">
        <v>2348.0</v>
      </c>
      <c r="B2349" s="2" t="s">
        <v>2679</v>
      </c>
      <c r="C2349" s="2" t="s">
        <v>241</v>
      </c>
      <c r="D2349" s="2">
        <v>16.98</v>
      </c>
      <c r="E2349" s="2">
        <v>35.0</v>
      </c>
      <c r="F2349" s="2">
        <v>561.78</v>
      </c>
      <c r="G2349" s="4">
        <f t="shared" si="3"/>
        <v>9078562.68</v>
      </c>
      <c r="H2349" s="4">
        <f t="shared" si="1"/>
        <v>0.9511908081</v>
      </c>
      <c r="I2349" s="4" t="str">
        <f t="shared" si="2"/>
        <v>C</v>
      </c>
    </row>
    <row r="2350">
      <c r="A2350" s="2">
        <v>2349.0</v>
      </c>
      <c r="B2350" s="2">
        <v>21010.0</v>
      </c>
      <c r="C2350" s="2" t="s">
        <v>2680</v>
      </c>
      <c r="D2350" s="2">
        <v>1.25</v>
      </c>
      <c r="E2350" s="2">
        <v>428.0</v>
      </c>
      <c r="F2350" s="2">
        <v>561.13</v>
      </c>
      <c r="G2350" s="4">
        <f t="shared" si="3"/>
        <v>9079123.81</v>
      </c>
      <c r="H2350" s="4">
        <f t="shared" si="1"/>
        <v>0.9512495996</v>
      </c>
      <c r="I2350" s="4" t="str">
        <f t="shared" si="2"/>
        <v>C</v>
      </c>
    </row>
    <row r="2351">
      <c r="A2351" s="2">
        <v>2350.0</v>
      </c>
      <c r="B2351" s="2" t="s">
        <v>2681</v>
      </c>
      <c r="C2351" s="2" t="s">
        <v>2682</v>
      </c>
      <c r="D2351" s="2">
        <v>7.95</v>
      </c>
      <c r="E2351" s="2">
        <v>69.0</v>
      </c>
      <c r="F2351" s="2">
        <v>560.64</v>
      </c>
      <c r="G2351" s="4">
        <f t="shared" si="3"/>
        <v>9079684.45</v>
      </c>
      <c r="H2351" s="4">
        <f t="shared" si="1"/>
        <v>0.9513083396</v>
      </c>
      <c r="I2351" s="4" t="str">
        <f t="shared" si="2"/>
        <v>C</v>
      </c>
    </row>
    <row r="2352">
      <c r="A2352" s="2">
        <v>2351.0</v>
      </c>
      <c r="B2352" s="2">
        <v>22233.0</v>
      </c>
      <c r="C2352" s="2" t="s">
        <v>2683</v>
      </c>
      <c r="D2352" s="2">
        <v>1.65</v>
      </c>
      <c r="E2352" s="2">
        <v>448.0</v>
      </c>
      <c r="F2352" s="2">
        <v>559.97</v>
      </c>
      <c r="G2352" s="4">
        <f t="shared" si="3"/>
        <v>9080244.42</v>
      </c>
      <c r="H2352" s="4">
        <f t="shared" si="1"/>
        <v>0.9513670095</v>
      </c>
      <c r="I2352" s="4" t="str">
        <f t="shared" si="2"/>
        <v>C</v>
      </c>
    </row>
    <row r="2353">
      <c r="A2353" s="2">
        <v>2352.0</v>
      </c>
      <c r="B2353" s="2">
        <v>20934.0</v>
      </c>
      <c r="C2353" s="2" t="s">
        <v>2684</v>
      </c>
      <c r="D2353" s="2">
        <v>5.45</v>
      </c>
      <c r="E2353" s="2">
        <v>92.0</v>
      </c>
      <c r="F2353" s="2">
        <v>559.84</v>
      </c>
      <c r="G2353" s="4">
        <f t="shared" si="3"/>
        <v>9080804.26</v>
      </c>
      <c r="H2353" s="4">
        <f t="shared" si="1"/>
        <v>0.9514256658</v>
      </c>
      <c r="I2353" s="4" t="str">
        <f t="shared" si="2"/>
        <v>C</v>
      </c>
    </row>
    <row r="2354">
      <c r="A2354" s="2">
        <v>2353.0</v>
      </c>
      <c r="B2354" s="2">
        <v>20669.0</v>
      </c>
      <c r="C2354" s="2" t="s">
        <v>2685</v>
      </c>
      <c r="D2354" s="2">
        <v>1.25</v>
      </c>
      <c r="E2354" s="2">
        <v>402.0</v>
      </c>
      <c r="F2354" s="2">
        <v>559.7</v>
      </c>
      <c r="G2354" s="4">
        <f t="shared" si="3"/>
        <v>9081363.96</v>
      </c>
      <c r="H2354" s="4">
        <f t="shared" si="1"/>
        <v>0.9514843074</v>
      </c>
      <c r="I2354" s="4" t="str">
        <f t="shared" si="2"/>
        <v>C</v>
      </c>
    </row>
    <row r="2355">
      <c r="A2355" s="2">
        <v>2354.0</v>
      </c>
      <c r="B2355" s="2">
        <v>23510.0</v>
      </c>
      <c r="C2355" s="2" t="s">
        <v>2686</v>
      </c>
      <c r="D2355" s="2">
        <v>0.42</v>
      </c>
      <c r="E2355" s="2">
        <v>1261.0</v>
      </c>
      <c r="F2355" s="2">
        <v>559.61</v>
      </c>
      <c r="G2355" s="4">
        <f t="shared" si="3"/>
        <v>9081923.57</v>
      </c>
      <c r="H2355" s="4">
        <f t="shared" si="1"/>
        <v>0.9515429396</v>
      </c>
      <c r="I2355" s="4" t="str">
        <f t="shared" si="2"/>
        <v>C</v>
      </c>
    </row>
    <row r="2356">
      <c r="A2356" s="2">
        <v>2355.0</v>
      </c>
      <c r="B2356" s="2">
        <v>17096.0</v>
      </c>
      <c r="C2356" s="2" t="s">
        <v>2687</v>
      </c>
      <c r="D2356" s="2">
        <v>0.42</v>
      </c>
      <c r="E2356" s="2">
        <v>3121.0</v>
      </c>
      <c r="F2356" s="2">
        <v>558.76</v>
      </c>
      <c r="G2356" s="4">
        <f t="shared" si="3"/>
        <v>9082482.33</v>
      </c>
      <c r="H2356" s="4">
        <f t="shared" si="1"/>
        <v>0.9516014827</v>
      </c>
      <c r="I2356" s="4" t="str">
        <f t="shared" si="2"/>
        <v>C</v>
      </c>
    </row>
    <row r="2357">
      <c r="A2357" s="2">
        <v>2356.0</v>
      </c>
      <c r="B2357" s="2">
        <v>23225.0</v>
      </c>
      <c r="C2357" s="2" t="s">
        <v>2688</v>
      </c>
      <c r="D2357" s="2">
        <v>0.83</v>
      </c>
      <c r="E2357" s="2">
        <v>642.0</v>
      </c>
      <c r="F2357" s="2">
        <v>558.62</v>
      </c>
      <c r="G2357" s="4">
        <f t="shared" si="3"/>
        <v>9083040.95</v>
      </c>
      <c r="H2357" s="4">
        <f t="shared" si="1"/>
        <v>0.9516600112</v>
      </c>
      <c r="I2357" s="4" t="str">
        <f t="shared" si="2"/>
        <v>C</v>
      </c>
    </row>
    <row r="2358">
      <c r="A2358" s="2">
        <v>2357.0</v>
      </c>
      <c r="B2358" s="2">
        <v>84678.0</v>
      </c>
      <c r="C2358" s="2" t="s">
        <v>2689</v>
      </c>
      <c r="D2358" s="2">
        <v>2.55</v>
      </c>
      <c r="E2358" s="2">
        <v>284.0</v>
      </c>
      <c r="F2358" s="2">
        <v>557.96</v>
      </c>
      <c r="G2358" s="4">
        <f t="shared" si="3"/>
        <v>9083598.91</v>
      </c>
      <c r="H2358" s="4">
        <f t="shared" si="1"/>
        <v>0.9517184705</v>
      </c>
      <c r="I2358" s="4" t="str">
        <f t="shared" si="2"/>
        <v>C</v>
      </c>
    </row>
    <row r="2359">
      <c r="A2359" s="2">
        <v>2358.0</v>
      </c>
      <c r="B2359" s="2">
        <v>21942.0</v>
      </c>
      <c r="C2359" s="2" t="s">
        <v>2690</v>
      </c>
      <c r="D2359" s="2">
        <v>1.63</v>
      </c>
      <c r="E2359" s="2">
        <v>824.0</v>
      </c>
      <c r="F2359" s="2">
        <v>557.94</v>
      </c>
      <c r="G2359" s="4">
        <f t="shared" si="3"/>
        <v>9084156.85</v>
      </c>
      <c r="H2359" s="4">
        <f t="shared" si="1"/>
        <v>0.9517769277</v>
      </c>
      <c r="I2359" s="4" t="str">
        <f t="shared" si="2"/>
        <v>C</v>
      </c>
    </row>
    <row r="2360">
      <c r="A2360" s="2">
        <v>2359.0</v>
      </c>
      <c r="B2360" s="2">
        <v>23411.0</v>
      </c>
      <c r="C2360" s="2" t="s">
        <v>2691</v>
      </c>
      <c r="D2360" s="2">
        <v>4.95</v>
      </c>
      <c r="E2360" s="2">
        <v>113.0</v>
      </c>
      <c r="F2360" s="2">
        <v>556.83</v>
      </c>
      <c r="G2360" s="4">
        <f t="shared" si="3"/>
        <v>9084713.68</v>
      </c>
      <c r="H2360" s="4">
        <f t="shared" si="1"/>
        <v>0.9518352686</v>
      </c>
      <c r="I2360" s="4" t="str">
        <f t="shared" si="2"/>
        <v>C</v>
      </c>
    </row>
    <row r="2361">
      <c r="A2361" s="2">
        <v>2360.0</v>
      </c>
      <c r="B2361" s="2" t="s">
        <v>2692</v>
      </c>
      <c r="C2361" s="2" t="s">
        <v>2693</v>
      </c>
      <c r="D2361" s="2">
        <v>1.6</v>
      </c>
      <c r="E2361" s="2">
        <v>514.0</v>
      </c>
      <c r="F2361" s="2">
        <v>556.54</v>
      </c>
      <c r="G2361" s="4">
        <f t="shared" si="3"/>
        <v>9085270.22</v>
      </c>
      <c r="H2361" s="4">
        <f t="shared" si="1"/>
        <v>0.9518935791</v>
      </c>
      <c r="I2361" s="4" t="str">
        <f t="shared" si="2"/>
        <v>C</v>
      </c>
    </row>
    <row r="2362">
      <c r="A2362" s="2">
        <v>2361.0</v>
      </c>
      <c r="B2362" s="2">
        <v>21666.0</v>
      </c>
      <c r="C2362" s="2" t="s">
        <v>2694</v>
      </c>
      <c r="D2362" s="2">
        <v>0.65</v>
      </c>
      <c r="E2362" s="2">
        <v>883.0</v>
      </c>
      <c r="F2362" s="2">
        <v>554.53</v>
      </c>
      <c r="G2362" s="4">
        <f t="shared" si="3"/>
        <v>9085824.75</v>
      </c>
      <c r="H2362" s="4">
        <f t="shared" si="1"/>
        <v>0.951951679</v>
      </c>
      <c r="I2362" s="4" t="str">
        <f t="shared" si="2"/>
        <v>C</v>
      </c>
    </row>
    <row r="2363">
      <c r="A2363" s="2">
        <v>2362.0</v>
      </c>
      <c r="B2363" s="2">
        <v>23375.0</v>
      </c>
      <c r="C2363" s="2" t="s">
        <v>2695</v>
      </c>
      <c r="D2363" s="2">
        <v>0.82</v>
      </c>
      <c r="E2363" s="2">
        <v>676.0</v>
      </c>
      <c r="F2363" s="2">
        <v>554.44</v>
      </c>
      <c r="G2363" s="4">
        <f t="shared" si="3"/>
        <v>9086379.19</v>
      </c>
      <c r="H2363" s="4">
        <f t="shared" si="1"/>
        <v>0.9520097695</v>
      </c>
      <c r="I2363" s="4" t="str">
        <f t="shared" si="2"/>
        <v>C</v>
      </c>
    </row>
    <row r="2364">
      <c r="A2364" s="2">
        <v>2363.0</v>
      </c>
      <c r="B2364" s="2">
        <v>21944.0</v>
      </c>
      <c r="C2364" s="2" t="s">
        <v>2696</v>
      </c>
      <c r="D2364" s="2">
        <v>0.85</v>
      </c>
      <c r="E2364" s="2">
        <v>895.0</v>
      </c>
      <c r="F2364" s="2">
        <v>553.43</v>
      </c>
      <c r="G2364" s="4">
        <f t="shared" si="3"/>
        <v>9086932.62</v>
      </c>
      <c r="H2364" s="4">
        <f t="shared" si="1"/>
        <v>0.9520677542</v>
      </c>
      <c r="I2364" s="4" t="str">
        <f t="shared" si="2"/>
        <v>C</v>
      </c>
    </row>
    <row r="2365">
      <c r="A2365" s="2">
        <v>2364.0</v>
      </c>
      <c r="B2365" s="2">
        <v>22230.0</v>
      </c>
      <c r="C2365" s="2" t="s">
        <v>2697</v>
      </c>
      <c r="D2365" s="2">
        <v>0.85</v>
      </c>
      <c r="E2365" s="2">
        <v>812.0</v>
      </c>
      <c r="F2365" s="2">
        <v>552.59</v>
      </c>
      <c r="G2365" s="4">
        <f t="shared" si="3"/>
        <v>9087485.21</v>
      </c>
      <c r="H2365" s="4">
        <f t="shared" si="1"/>
        <v>0.9521256509</v>
      </c>
      <c r="I2365" s="4" t="str">
        <f t="shared" si="2"/>
        <v>C</v>
      </c>
    </row>
    <row r="2366">
      <c r="A2366" s="2">
        <v>2365.0</v>
      </c>
      <c r="B2366" s="2">
        <v>23513.0</v>
      </c>
      <c r="C2366" s="2" t="s">
        <v>2698</v>
      </c>
      <c r="D2366" s="2">
        <v>2.08</v>
      </c>
      <c r="E2366" s="2">
        <v>280.0</v>
      </c>
      <c r="F2366" s="2">
        <v>550.89</v>
      </c>
      <c r="G2366" s="4">
        <f t="shared" si="3"/>
        <v>9088036.1</v>
      </c>
      <c r="H2366" s="4">
        <f t="shared" si="1"/>
        <v>0.9521833694</v>
      </c>
      <c r="I2366" s="4" t="str">
        <f t="shared" si="2"/>
        <v>C</v>
      </c>
    </row>
    <row r="2367">
      <c r="A2367" s="2">
        <v>2366.0</v>
      </c>
      <c r="B2367" s="2">
        <v>84638.0</v>
      </c>
      <c r="C2367" s="2" t="s">
        <v>2699</v>
      </c>
      <c r="D2367" s="2">
        <v>6.95</v>
      </c>
      <c r="E2367" s="2">
        <v>200.0</v>
      </c>
      <c r="F2367" s="2">
        <v>550.78</v>
      </c>
      <c r="G2367" s="4">
        <f t="shared" si="3"/>
        <v>9088586.88</v>
      </c>
      <c r="H2367" s="4">
        <f t="shared" si="1"/>
        <v>0.9522410765</v>
      </c>
      <c r="I2367" s="4" t="str">
        <f t="shared" si="2"/>
        <v>C</v>
      </c>
    </row>
    <row r="2368">
      <c r="A2368" s="2">
        <v>2367.0</v>
      </c>
      <c r="B2368" s="2">
        <v>22532.0</v>
      </c>
      <c r="C2368" s="2" t="s">
        <v>2700</v>
      </c>
      <c r="D2368" s="2">
        <v>0.42</v>
      </c>
      <c r="E2368" s="2">
        <v>1431.0</v>
      </c>
      <c r="F2368" s="2">
        <v>550.55</v>
      </c>
      <c r="G2368" s="4">
        <f t="shared" si="3"/>
        <v>9089137.43</v>
      </c>
      <c r="H2368" s="4">
        <f t="shared" si="1"/>
        <v>0.9522987594</v>
      </c>
      <c r="I2368" s="4" t="str">
        <f t="shared" si="2"/>
        <v>C</v>
      </c>
    </row>
    <row r="2369">
      <c r="A2369" s="2">
        <v>2368.0</v>
      </c>
      <c r="B2369" s="2">
        <v>21131.0</v>
      </c>
      <c r="C2369" s="2" t="s">
        <v>2701</v>
      </c>
      <c r="D2369" s="2">
        <v>4.25</v>
      </c>
      <c r="E2369" s="2">
        <v>138.0</v>
      </c>
      <c r="F2369" s="2">
        <v>549.43</v>
      </c>
      <c r="G2369" s="4">
        <f t="shared" si="3"/>
        <v>9089686.86</v>
      </c>
      <c r="H2369" s="4">
        <f t="shared" si="1"/>
        <v>0.952356325</v>
      </c>
      <c r="I2369" s="4" t="str">
        <f t="shared" si="2"/>
        <v>C</v>
      </c>
    </row>
    <row r="2370">
      <c r="A2370" s="2">
        <v>2369.0</v>
      </c>
      <c r="B2370" s="2">
        <v>22255.0</v>
      </c>
      <c r="C2370" s="2" t="s">
        <v>2702</v>
      </c>
      <c r="D2370" s="2">
        <v>0.85</v>
      </c>
      <c r="E2370" s="2">
        <v>576.0</v>
      </c>
      <c r="F2370" s="2">
        <v>549.1</v>
      </c>
      <c r="G2370" s="4">
        <f t="shared" si="3"/>
        <v>9090235.96</v>
      </c>
      <c r="H2370" s="4">
        <f t="shared" si="1"/>
        <v>0.952413856</v>
      </c>
      <c r="I2370" s="4" t="str">
        <f t="shared" si="2"/>
        <v>C</v>
      </c>
    </row>
    <row r="2371">
      <c r="A2371" s="2">
        <v>2370.0</v>
      </c>
      <c r="B2371" s="2">
        <v>84631.0</v>
      </c>
      <c r="C2371" s="2" t="s">
        <v>2703</v>
      </c>
      <c r="D2371" s="2">
        <v>7.95</v>
      </c>
      <c r="E2371" s="2">
        <v>144.0</v>
      </c>
      <c r="F2371" s="2">
        <v>549.1</v>
      </c>
      <c r="G2371" s="4">
        <f t="shared" si="3"/>
        <v>9090785.06</v>
      </c>
      <c r="H2371" s="4">
        <f t="shared" si="1"/>
        <v>0.952471387</v>
      </c>
      <c r="I2371" s="4" t="str">
        <f t="shared" si="2"/>
        <v>C</v>
      </c>
    </row>
    <row r="2372">
      <c r="A2372" s="2">
        <v>2371.0</v>
      </c>
      <c r="B2372" s="2">
        <v>21779.0</v>
      </c>
      <c r="C2372" s="2" t="s">
        <v>2704</v>
      </c>
      <c r="D2372" s="2">
        <v>2.95</v>
      </c>
      <c r="E2372" s="2">
        <v>150.0</v>
      </c>
      <c r="F2372" s="2">
        <v>548.9</v>
      </c>
      <c r="G2372" s="4">
        <f t="shared" si="3"/>
        <v>9091333.96</v>
      </c>
      <c r="H2372" s="4">
        <f t="shared" si="1"/>
        <v>0.952528897</v>
      </c>
      <c r="I2372" s="4" t="str">
        <f t="shared" si="2"/>
        <v>C</v>
      </c>
    </row>
    <row r="2373">
      <c r="A2373" s="2">
        <v>2372.0</v>
      </c>
      <c r="B2373" s="2">
        <v>84358.0</v>
      </c>
      <c r="C2373" s="2" t="s">
        <v>2705</v>
      </c>
      <c r="D2373" s="2">
        <v>9.95</v>
      </c>
      <c r="E2373" s="2">
        <v>60.0</v>
      </c>
      <c r="F2373" s="2">
        <v>548.74</v>
      </c>
      <c r="G2373" s="4">
        <f t="shared" si="3"/>
        <v>9091882.7</v>
      </c>
      <c r="H2373" s="4">
        <f t="shared" si="1"/>
        <v>0.9525863903</v>
      </c>
      <c r="I2373" s="4" t="str">
        <f t="shared" si="2"/>
        <v>C</v>
      </c>
    </row>
    <row r="2374">
      <c r="A2374" s="2">
        <v>2373.0</v>
      </c>
      <c r="B2374" s="2">
        <v>20893.0</v>
      </c>
      <c r="C2374" s="2" t="s">
        <v>2706</v>
      </c>
      <c r="D2374" s="2">
        <v>2.55</v>
      </c>
      <c r="E2374" s="2">
        <v>228.0</v>
      </c>
      <c r="F2374" s="2">
        <v>548.54</v>
      </c>
      <c r="G2374" s="4">
        <f t="shared" si="3"/>
        <v>9092431.24</v>
      </c>
      <c r="H2374" s="4">
        <f t="shared" si="1"/>
        <v>0.9526438627</v>
      </c>
      <c r="I2374" s="4" t="str">
        <f t="shared" si="2"/>
        <v>C</v>
      </c>
    </row>
    <row r="2375">
      <c r="A2375" s="2">
        <v>2374.0</v>
      </c>
      <c r="B2375" s="2" t="s">
        <v>2707</v>
      </c>
      <c r="C2375" s="2" t="s">
        <v>2708</v>
      </c>
      <c r="D2375" s="2">
        <v>0.82</v>
      </c>
      <c r="E2375" s="2">
        <v>626.0</v>
      </c>
      <c r="F2375" s="2">
        <v>547.92</v>
      </c>
      <c r="G2375" s="4">
        <f t="shared" si="3"/>
        <v>9092979.16</v>
      </c>
      <c r="H2375" s="4">
        <f t="shared" si="1"/>
        <v>0.95270127</v>
      </c>
      <c r="I2375" s="4" t="str">
        <f t="shared" si="2"/>
        <v>C</v>
      </c>
    </row>
    <row r="2376">
      <c r="A2376" s="2">
        <v>2375.0</v>
      </c>
      <c r="B2376" s="2">
        <v>22997.0</v>
      </c>
      <c r="C2376" s="2" t="s">
        <v>2709</v>
      </c>
      <c r="D2376" s="2">
        <v>0.42</v>
      </c>
      <c r="E2376" s="2">
        <v>1274.0</v>
      </c>
      <c r="F2376" s="2">
        <v>547.88</v>
      </c>
      <c r="G2376" s="4">
        <f t="shared" si="3"/>
        <v>9093527.04</v>
      </c>
      <c r="H2376" s="4">
        <f t="shared" si="1"/>
        <v>0.9527586732</v>
      </c>
      <c r="I2376" s="4" t="str">
        <f t="shared" si="2"/>
        <v>C</v>
      </c>
    </row>
    <row r="2377">
      <c r="A2377" s="2">
        <v>2376.0</v>
      </c>
      <c r="B2377" s="2" t="s">
        <v>2710</v>
      </c>
      <c r="C2377" s="2" t="s">
        <v>2711</v>
      </c>
      <c r="D2377" s="2">
        <v>0.55</v>
      </c>
      <c r="E2377" s="2">
        <v>1062.0</v>
      </c>
      <c r="F2377" s="2">
        <v>547.54</v>
      </c>
      <c r="G2377" s="4">
        <f t="shared" si="3"/>
        <v>9094074.58</v>
      </c>
      <c r="H2377" s="4">
        <f t="shared" si="1"/>
        <v>0.9528160408</v>
      </c>
      <c r="I2377" s="4" t="str">
        <f t="shared" si="2"/>
        <v>C</v>
      </c>
    </row>
    <row r="2378">
      <c r="A2378" s="2">
        <v>2377.0</v>
      </c>
      <c r="B2378" s="2">
        <v>20867.0</v>
      </c>
      <c r="C2378" s="2" t="s">
        <v>2712</v>
      </c>
      <c r="D2378" s="2">
        <v>1.25</v>
      </c>
      <c r="E2378" s="2">
        <v>550.0</v>
      </c>
      <c r="F2378" s="2">
        <v>547.2</v>
      </c>
      <c r="G2378" s="4">
        <f t="shared" si="3"/>
        <v>9094621.78</v>
      </c>
      <c r="H2378" s="4">
        <f t="shared" si="1"/>
        <v>0.9528733727</v>
      </c>
      <c r="I2378" s="4" t="str">
        <f t="shared" si="2"/>
        <v>C</v>
      </c>
    </row>
    <row r="2379">
      <c r="A2379" s="2">
        <v>2378.0</v>
      </c>
      <c r="B2379" s="2" t="s">
        <v>2713</v>
      </c>
      <c r="C2379" s="2" t="s">
        <v>2714</v>
      </c>
      <c r="D2379" s="2">
        <v>0.83</v>
      </c>
      <c r="E2379" s="2">
        <v>722.0</v>
      </c>
      <c r="F2379" s="2">
        <v>546.98</v>
      </c>
      <c r="G2379" s="4">
        <f t="shared" si="3"/>
        <v>9095168.76</v>
      </c>
      <c r="H2379" s="4">
        <f t="shared" si="1"/>
        <v>0.9529306816</v>
      </c>
      <c r="I2379" s="4" t="str">
        <f t="shared" si="2"/>
        <v>C</v>
      </c>
    </row>
    <row r="2380">
      <c r="A2380" s="2">
        <v>2379.0</v>
      </c>
      <c r="B2380" s="2">
        <v>85093.0</v>
      </c>
      <c r="C2380" s="2" t="s">
        <v>2715</v>
      </c>
      <c r="D2380" s="2">
        <v>0.83</v>
      </c>
      <c r="E2380" s="2">
        <v>681.0</v>
      </c>
      <c r="F2380" s="2">
        <v>546.23</v>
      </c>
      <c r="G2380" s="4">
        <f t="shared" si="3"/>
        <v>9095714.99</v>
      </c>
      <c r="H2380" s="4">
        <f t="shared" si="1"/>
        <v>0.9529879119</v>
      </c>
      <c r="I2380" s="4" t="str">
        <f t="shared" si="2"/>
        <v>C</v>
      </c>
    </row>
    <row r="2381">
      <c r="A2381" s="2">
        <v>2380.0</v>
      </c>
      <c r="B2381" s="2">
        <v>21839.0</v>
      </c>
      <c r="C2381" s="2" t="s">
        <v>2716</v>
      </c>
      <c r="D2381" s="2">
        <v>5.45</v>
      </c>
      <c r="E2381" s="2">
        <v>101.0</v>
      </c>
      <c r="F2381" s="2">
        <v>545.52</v>
      </c>
      <c r="G2381" s="4">
        <f t="shared" si="3"/>
        <v>9096260.51</v>
      </c>
      <c r="H2381" s="4">
        <f t="shared" si="1"/>
        <v>0.9530450679</v>
      </c>
      <c r="I2381" s="4" t="str">
        <f t="shared" si="2"/>
        <v>C</v>
      </c>
    </row>
    <row r="2382">
      <c r="A2382" s="2">
        <v>2381.0</v>
      </c>
      <c r="B2382" s="2">
        <v>23087.0</v>
      </c>
      <c r="C2382" s="2" t="s">
        <v>2717</v>
      </c>
      <c r="D2382" s="2">
        <v>1.25</v>
      </c>
      <c r="E2382" s="2">
        <v>434.0</v>
      </c>
      <c r="F2382" s="2">
        <v>545.33</v>
      </c>
      <c r="G2382" s="4">
        <f t="shared" si="3"/>
        <v>9096805.84</v>
      </c>
      <c r="H2382" s="4">
        <f t="shared" si="1"/>
        <v>0.9531022039</v>
      </c>
      <c r="I2382" s="4" t="str">
        <f t="shared" si="2"/>
        <v>C</v>
      </c>
    </row>
    <row r="2383">
      <c r="A2383" s="2">
        <v>2382.0</v>
      </c>
      <c r="B2383" s="2">
        <v>20755.0</v>
      </c>
      <c r="C2383" s="2" t="s">
        <v>2718</v>
      </c>
      <c r="D2383" s="2">
        <v>0.85</v>
      </c>
      <c r="E2383" s="2">
        <v>2573.0</v>
      </c>
      <c r="F2383" s="2">
        <v>545.29</v>
      </c>
      <c r="G2383" s="4">
        <f t="shared" si="3"/>
        <v>9097351.13</v>
      </c>
      <c r="H2383" s="4">
        <f t="shared" si="1"/>
        <v>0.9531593357</v>
      </c>
      <c r="I2383" s="4" t="str">
        <f t="shared" si="2"/>
        <v>C</v>
      </c>
    </row>
    <row r="2384">
      <c r="A2384" s="2">
        <v>2383.0</v>
      </c>
      <c r="B2384" s="2">
        <v>23432.0</v>
      </c>
      <c r="C2384" s="2" t="s">
        <v>2719</v>
      </c>
      <c r="D2384" s="2">
        <v>0.83</v>
      </c>
      <c r="E2384" s="2">
        <v>639.0</v>
      </c>
      <c r="F2384" s="2">
        <v>545.01</v>
      </c>
      <c r="G2384" s="4">
        <f t="shared" si="3"/>
        <v>9097896.14</v>
      </c>
      <c r="H2384" s="4">
        <f t="shared" si="1"/>
        <v>0.9532164382</v>
      </c>
      <c r="I2384" s="4" t="str">
        <f t="shared" si="2"/>
        <v>C</v>
      </c>
    </row>
    <row r="2385">
      <c r="A2385" s="2">
        <v>2384.0</v>
      </c>
      <c r="B2385" s="2" t="s">
        <v>2720</v>
      </c>
      <c r="C2385" s="2" t="s">
        <v>2721</v>
      </c>
      <c r="D2385" s="2">
        <v>3.75</v>
      </c>
      <c r="E2385" s="2">
        <v>139.0</v>
      </c>
      <c r="F2385" s="2">
        <v>544.86</v>
      </c>
      <c r="G2385" s="4">
        <f t="shared" si="3"/>
        <v>9098441</v>
      </c>
      <c r="H2385" s="4">
        <f t="shared" si="1"/>
        <v>0.953273525</v>
      </c>
      <c r="I2385" s="4" t="str">
        <f t="shared" si="2"/>
        <v>C</v>
      </c>
    </row>
    <row r="2386">
      <c r="A2386" s="2">
        <v>2385.0</v>
      </c>
      <c r="B2386" s="2">
        <v>22709.0</v>
      </c>
      <c r="C2386" s="2" t="s">
        <v>2722</v>
      </c>
      <c r="D2386" s="2">
        <v>0.42</v>
      </c>
      <c r="E2386" s="2">
        <v>1387.0</v>
      </c>
      <c r="F2386" s="2">
        <v>544.54</v>
      </c>
      <c r="G2386" s="4">
        <f t="shared" si="3"/>
        <v>9098985.54</v>
      </c>
      <c r="H2386" s="4">
        <f t="shared" si="1"/>
        <v>0.9533305782</v>
      </c>
      <c r="I2386" s="4" t="str">
        <f t="shared" si="2"/>
        <v>C</v>
      </c>
    </row>
    <row r="2387">
      <c r="A2387" s="2">
        <v>2386.0</v>
      </c>
      <c r="B2387" s="2">
        <v>23102.0</v>
      </c>
      <c r="C2387" s="2" t="s">
        <v>2723</v>
      </c>
      <c r="D2387" s="2">
        <v>0.83</v>
      </c>
      <c r="E2387" s="2">
        <v>644.0</v>
      </c>
      <c r="F2387" s="2">
        <v>543.32</v>
      </c>
      <c r="G2387" s="4">
        <f t="shared" si="3"/>
        <v>9099528.86</v>
      </c>
      <c r="H2387" s="4">
        <f t="shared" si="1"/>
        <v>0.9533875036</v>
      </c>
      <c r="I2387" s="4" t="str">
        <f t="shared" si="2"/>
        <v>C</v>
      </c>
    </row>
    <row r="2388">
      <c r="A2388" s="2">
        <v>2387.0</v>
      </c>
      <c r="B2388" s="2">
        <v>21817.0</v>
      </c>
      <c r="C2388" s="2" t="s">
        <v>2724</v>
      </c>
      <c r="D2388" s="2">
        <v>0.85</v>
      </c>
      <c r="E2388" s="2">
        <v>850.0</v>
      </c>
      <c r="F2388" s="2">
        <v>543.0</v>
      </c>
      <c r="G2388" s="4">
        <f t="shared" si="3"/>
        <v>9100071.86</v>
      </c>
      <c r="H2388" s="4">
        <f t="shared" si="1"/>
        <v>0.9534443955</v>
      </c>
      <c r="I2388" s="4" t="str">
        <f t="shared" si="2"/>
        <v>C</v>
      </c>
    </row>
    <row r="2389">
      <c r="A2389" s="2">
        <v>2388.0</v>
      </c>
      <c r="B2389" s="2">
        <v>23113.0</v>
      </c>
      <c r="C2389" s="2" t="s">
        <v>2725</v>
      </c>
      <c r="D2389" s="2">
        <v>4.95</v>
      </c>
      <c r="E2389" s="2">
        <v>106.0</v>
      </c>
      <c r="F2389" s="2">
        <v>542.62</v>
      </c>
      <c r="G2389" s="4">
        <f t="shared" si="3"/>
        <v>9100614.48</v>
      </c>
      <c r="H2389" s="4">
        <f t="shared" si="1"/>
        <v>0.9535012476</v>
      </c>
      <c r="I2389" s="4" t="str">
        <f t="shared" si="2"/>
        <v>C</v>
      </c>
    </row>
    <row r="2390">
      <c r="A2390" s="2">
        <v>2389.0</v>
      </c>
      <c r="B2390" s="2">
        <v>20892.0</v>
      </c>
      <c r="C2390" s="2" t="s">
        <v>2726</v>
      </c>
      <c r="D2390" s="2">
        <v>12.75</v>
      </c>
      <c r="E2390" s="2">
        <v>50.0</v>
      </c>
      <c r="F2390" s="2">
        <v>541.3</v>
      </c>
      <c r="G2390" s="4">
        <f t="shared" si="3"/>
        <v>9101155.78</v>
      </c>
      <c r="H2390" s="4">
        <f t="shared" si="1"/>
        <v>0.9535579614</v>
      </c>
      <c r="I2390" s="4" t="str">
        <f t="shared" si="2"/>
        <v>C</v>
      </c>
    </row>
    <row r="2391">
      <c r="A2391" s="2">
        <v>2390.0</v>
      </c>
      <c r="B2391" s="2">
        <v>21815.0</v>
      </c>
      <c r="C2391" s="2" t="s">
        <v>2727</v>
      </c>
      <c r="D2391" s="2">
        <v>1.45</v>
      </c>
      <c r="E2391" s="2">
        <v>346.0</v>
      </c>
      <c r="F2391" s="2">
        <v>540.27</v>
      </c>
      <c r="G2391" s="4">
        <f t="shared" si="3"/>
        <v>9101696.05</v>
      </c>
      <c r="H2391" s="4">
        <f t="shared" si="1"/>
        <v>0.9536145672</v>
      </c>
      <c r="I2391" s="4" t="str">
        <f t="shared" si="2"/>
        <v>C</v>
      </c>
    </row>
    <row r="2392">
      <c r="A2392" s="2">
        <v>2391.0</v>
      </c>
      <c r="B2392" s="2">
        <v>23041.0</v>
      </c>
      <c r="C2392" s="2" t="s">
        <v>2403</v>
      </c>
      <c r="D2392" s="2">
        <v>4.15</v>
      </c>
      <c r="E2392" s="2">
        <v>124.0</v>
      </c>
      <c r="F2392" s="2">
        <v>539.44</v>
      </c>
      <c r="G2392" s="4">
        <f t="shared" si="3"/>
        <v>9102235.49</v>
      </c>
      <c r="H2392" s="4">
        <f t="shared" si="1"/>
        <v>0.9536710861</v>
      </c>
      <c r="I2392" s="4" t="str">
        <f t="shared" si="2"/>
        <v>C</v>
      </c>
    </row>
    <row r="2393">
      <c r="A2393" s="2">
        <v>2392.0</v>
      </c>
      <c r="B2393" s="2">
        <v>23433.0</v>
      </c>
      <c r="C2393" s="2" t="s">
        <v>2728</v>
      </c>
      <c r="D2393" s="2">
        <v>0.83</v>
      </c>
      <c r="E2393" s="2">
        <v>611.0</v>
      </c>
      <c r="F2393" s="2">
        <v>539.35</v>
      </c>
      <c r="G2393" s="4">
        <f t="shared" si="3"/>
        <v>9102774.84</v>
      </c>
      <c r="H2393" s="4">
        <f t="shared" si="1"/>
        <v>0.9537275956</v>
      </c>
      <c r="I2393" s="4" t="str">
        <f t="shared" si="2"/>
        <v>C</v>
      </c>
    </row>
    <row r="2394">
      <c r="A2394" s="2">
        <v>2393.0</v>
      </c>
      <c r="B2394" s="2">
        <v>84816.0</v>
      </c>
      <c r="C2394" s="2" t="s">
        <v>2729</v>
      </c>
      <c r="D2394" s="2">
        <v>39.95</v>
      </c>
      <c r="E2394" s="2">
        <v>14.0</v>
      </c>
      <c r="F2394" s="2">
        <v>539.3</v>
      </c>
      <c r="G2394" s="4">
        <f t="shared" si="3"/>
        <v>9103314.14</v>
      </c>
      <c r="H2394" s="4">
        <f t="shared" si="1"/>
        <v>0.9537840998</v>
      </c>
      <c r="I2394" s="4" t="str">
        <f t="shared" si="2"/>
        <v>C</v>
      </c>
    </row>
    <row r="2395">
      <c r="A2395" s="2">
        <v>2394.0</v>
      </c>
      <c r="B2395" s="2">
        <v>20615.0</v>
      </c>
      <c r="C2395" s="2" t="s">
        <v>2730</v>
      </c>
      <c r="D2395" s="2">
        <v>2.1</v>
      </c>
      <c r="E2395" s="2">
        <v>318.0</v>
      </c>
      <c r="F2395" s="2">
        <v>538.9</v>
      </c>
      <c r="G2395" s="4">
        <f t="shared" si="3"/>
        <v>9103853.04</v>
      </c>
      <c r="H2395" s="4">
        <f t="shared" si="1"/>
        <v>0.9538405621</v>
      </c>
      <c r="I2395" s="4" t="str">
        <f t="shared" si="2"/>
        <v>C</v>
      </c>
    </row>
    <row r="2396">
      <c r="A2396" s="2">
        <v>2395.0</v>
      </c>
      <c r="B2396" s="2">
        <v>84791.0</v>
      </c>
      <c r="C2396" s="2" t="s">
        <v>560</v>
      </c>
      <c r="D2396" s="2">
        <v>2.95</v>
      </c>
      <c r="E2396" s="2">
        <v>166.0</v>
      </c>
      <c r="F2396" s="2">
        <v>538.64</v>
      </c>
      <c r="G2396" s="4">
        <f t="shared" si="3"/>
        <v>9104391.68</v>
      </c>
      <c r="H2396" s="4">
        <f t="shared" si="1"/>
        <v>0.9538969972</v>
      </c>
      <c r="I2396" s="4" t="str">
        <f t="shared" si="2"/>
        <v>C</v>
      </c>
    </row>
    <row r="2397">
      <c r="A2397" s="2">
        <v>2396.0</v>
      </c>
      <c r="B2397" s="2">
        <v>21632.0</v>
      </c>
      <c r="C2397" s="2" t="s">
        <v>2731</v>
      </c>
      <c r="D2397" s="2">
        <v>12.75</v>
      </c>
      <c r="E2397" s="2">
        <v>66.0</v>
      </c>
      <c r="F2397" s="2">
        <v>538.11</v>
      </c>
      <c r="G2397" s="4">
        <f t="shared" si="3"/>
        <v>9104929.79</v>
      </c>
      <c r="H2397" s="4">
        <f t="shared" si="1"/>
        <v>0.9539533768</v>
      </c>
      <c r="I2397" s="4" t="str">
        <f t="shared" si="2"/>
        <v>C</v>
      </c>
    </row>
    <row r="2398">
      <c r="A2398" s="2">
        <v>2397.0</v>
      </c>
      <c r="B2398" s="2">
        <v>22116.0</v>
      </c>
      <c r="C2398" s="2" t="s">
        <v>2732</v>
      </c>
      <c r="D2398" s="2">
        <v>1.63</v>
      </c>
      <c r="E2398" s="2">
        <v>402.0</v>
      </c>
      <c r="F2398" s="2">
        <v>537.99</v>
      </c>
      <c r="G2398" s="4">
        <f t="shared" si="3"/>
        <v>9105467.78</v>
      </c>
      <c r="H2398" s="4">
        <f t="shared" si="1"/>
        <v>0.9540097438</v>
      </c>
      <c r="I2398" s="4" t="str">
        <f t="shared" si="2"/>
        <v>C</v>
      </c>
    </row>
    <row r="2399">
      <c r="A2399" s="2">
        <v>2398.0</v>
      </c>
      <c r="B2399" s="2">
        <v>21827.0</v>
      </c>
      <c r="C2399" s="2" t="s">
        <v>2733</v>
      </c>
      <c r="D2399" s="2">
        <v>1.25</v>
      </c>
      <c r="E2399" s="2">
        <v>419.0</v>
      </c>
      <c r="F2399" s="2">
        <v>536.32</v>
      </c>
      <c r="G2399" s="4">
        <f t="shared" si="3"/>
        <v>9106004.1</v>
      </c>
      <c r="H2399" s="4">
        <f t="shared" si="1"/>
        <v>0.9540659358</v>
      </c>
      <c r="I2399" s="4" t="str">
        <f t="shared" si="2"/>
        <v>C</v>
      </c>
    </row>
    <row r="2400">
      <c r="A2400" s="2">
        <v>2399.0</v>
      </c>
      <c r="B2400" s="2" t="s">
        <v>2734</v>
      </c>
      <c r="C2400" s="2" t="s">
        <v>2735</v>
      </c>
      <c r="D2400" s="2">
        <v>12.75</v>
      </c>
      <c r="E2400" s="2">
        <v>52.0</v>
      </c>
      <c r="F2400" s="2">
        <v>535.46</v>
      </c>
      <c r="G2400" s="4">
        <f t="shared" si="3"/>
        <v>9106539.56</v>
      </c>
      <c r="H2400" s="4">
        <f t="shared" si="1"/>
        <v>0.9541220377</v>
      </c>
      <c r="I2400" s="4" t="str">
        <f t="shared" si="2"/>
        <v>C</v>
      </c>
    </row>
    <row r="2401">
      <c r="A2401" s="2">
        <v>2400.0</v>
      </c>
      <c r="B2401" s="2">
        <v>21758.0</v>
      </c>
      <c r="C2401" s="2" t="s">
        <v>2736</v>
      </c>
      <c r="D2401" s="2">
        <v>6.45</v>
      </c>
      <c r="E2401" s="2">
        <v>68.0</v>
      </c>
      <c r="F2401" s="2">
        <v>534.88</v>
      </c>
      <c r="G2401" s="4">
        <f t="shared" si="3"/>
        <v>9107074.44</v>
      </c>
      <c r="H2401" s="4">
        <f t="shared" si="1"/>
        <v>0.9541780788</v>
      </c>
      <c r="I2401" s="4" t="str">
        <f t="shared" si="2"/>
        <v>C</v>
      </c>
    </row>
    <row r="2402">
      <c r="A2402" s="2">
        <v>2401.0</v>
      </c>
      <c r="B2402" s="2">
        <v>72815.0</v>
      </c>
      <c r="C2402" s="2" t="s">
        <v>2737</v>
      </c>
      <c r="D2402" s="2">
        <v>3.75</v>
      </c>
      <c r="E2402" s="2">
        <v>139.0</v>
      </c>
      <c r="F2402" s="2">
        <v>534.18</v>
      </c>
      <c r="G2402" s="4">
        <f t="shared" si="3"/>
        <v>9107608.62</v>
      </c>
      <c r="H2402" s="4">
        <f t="shared" si="1"/>
        <v>0.9542340466</v>
      </c>
      <c r="I2402" s="4" t="str">
        <f t="shared" si="2"/>
        <v>C</v>
      </c>
    </row>
    <row r="2403">
      <c r="A2403" s="2">
        <v>2402.0</v>
      </c>
      <c r="B2403" s="2" t="s">
        <v>2738</v>
      </c>
      <c r="C2403" s="2" t="s">
        <v>2739</v>
      </c>
      <c r="D2403" s="2">
        <v>2.55</v>
      </c>
      <c r="E2403" s="2">
        <v>412.0</v>
      </c>
      <c r="F2403" s="2">
        <v>533.92</v>
      </c>
      <c r="G2403" s="4">
        <f t="shared" si="3"/>
        <v>9108142.54</v>
      </c>
      <c r="H2403" s="4">
        <f t="shared" si="1"/>
        <v>0.9542899871</v>
      </c>
      <c r="I2403" s="4" t="str">
        <f t="shared" si="2"/>
        <v>C</v>
      </c>
    </row>
    <row r="2404">
      <c r="A2404" s="2">
        <v>2403.0</v>
      </c>
      <c r="B2404" s="2">
        <v>23033.0</v>
      </c>
      <c r="C2404" s="2" t="s">
        <v>2740</v>
      </c>
      <c r="D2404" s="2">
        <v>1.45</v>
      </c>
      <c r="E2404" s="2">
        <v>360.0</v>
      </c>
      <c r="F2404" s="2">
        <v>533.8</v>
      </c>
      <c r="G2404" s="4">
        <f t="shared" si="3"/>
        <v>9108676.34</v>
      </c>
      <c r="H2404" s="4">
        <f t="shared" si="1"/>
        <v>0.9543459151</v>
      </c>
      <c r="I2404" s="4" t="str">
        <f t="shared" si="2"/>
        <v>C</v>
      </c>
    </row>
    <row r="2405">
      <c r="A2405" s="2">
        <v>2404.0</v>
      </c>
      <c r="B2405" s="2">
        <v>22860.0</v>
      </c>
      <c r="C2405" s="2" t="s">
        <v>2741</v>
      </c>
      <c r="D2405" s="2">
        <v>1.65</v>
      </c>
      <c r="E2405" s="2">
        <v>308.0</v>
      </c>
      <c r="F2405" s="2">
        <v>532.9</v>
      </c>
      <c r="G2405" s="4">
        <f t="shared" si="3"/>
        <v>9109209.24</v>
      </c>
      <c r="H2405" s="4">
        <f t="shared" si="1"/>
        <v>0.9544017488</v>
      </c>
      <c r="I2405" s="4" t="str">
        <f t="shared" si="2"/>
        <v>C</v>
      </c>
    </row>
    <row r="2406">
      <c r="A2406" s="2">
        <v>2405.0</v>
      </c>
      <c r="B2406" s="2" t="s">
        <v>2742</v>
      </c>
      <c r="C2406" s="2" t="s">
        <v>2743</v>
      </c>
      <c r="D2406" s="2">
        <v>0.85</v>
      </c>
      <c r="E2406" s="2">
        <v>600.0</v>
      </c>
      <c r="F2406" s="2">
        <v>532.78</v>
      </c>
      <c r="G2406" s="4">
        <f t="shared" si="3"/>
        <v>9109742.02</v>
      </c>
      <c r="H2406" s="4">
        <f t="shared" si="1"/>
        <v>0.9544575699</v>
      </c>
      <c r="I2406" s="4" t="str">
        <f t="shared" si="2"/>
        <v>C</v>
      </c>
    </row>
    <row r="2407">
      <c r="A2407" s="2">
        <v>2406.0</v>
      </c>
      <c r="B2407" s="2">
        <v>22105.0</v>
      </c>
      <c r="C2407" s="2" t="s">
        <v>2744</v>
      </c>
      <c r="D2407" s="2">
        <v>4.21</v>
      </c>
      <c r="E2407" s="2">
        <v>226.0</v>
      </c>
      <c r="F2407" s="2">
        <v>531.22</v>
      </c>
      <c r="G2407" s="4">
        <f t="shared" si="3"/>
        <v>9110273.24</v>
      </c>
      <c r="H2407" s="4">
        <f t="shared" si="1"/>
        <v>0.9545132276</v>
      </c>
      <c r="I2407" s="4" t="str">
        <f t="shared" si="2"/>
        <v>C</v>
      </c>
    </row>
    <row r="2408">
      <c r="A2408" s="2">
        <v>2407.0</v>
      </c>
      <c r="B2408" s="2">
        <v>23516.0</v>
      </c>
      <c r="C2408" s="2" t="s">
        <v>2745</v>
      </c>
      <c r="D2408" s="2">
        <v>3.75</v>
      </c>
      <c r="E2408" s="2">
        <v>148.0</v>
      </c>
      <c r="F2408" s="2">
        <v>531.17</v>
      </c>
      <c r="G2408" s="4">
        <f t="shared" si="3"/>
        <v>9110804.41</v>
      </c>
      <c r="H2408" s="4">
        <f t="shared" si="1"/>
        <v>0.95456888</v>
      </c>
      <c r="I2408" s="4" t="str">
        <f t="shared" si="2"/>
        <v>C</v>
      </c>
    </row>
    <row r="2409">
      <c r="A2409" s="2">
        <v>2408.0</v>
      </c>
      <c r="B2409" s="2">
        <v>23331.0</v>
      </c>
      <c r="C2409" s="2" t="s">
        <v>2746</v>
      </c>
      <c r="D2409" s="2">
        <v>0.63</v>
      </c>
      <c r="E2409" s="2">
        <v>798.0</v>
      </c>
      <c r="F2409" s="2">
        <v>531.14</v>
      </c>
      <c r="G2409" s="4">
        <f t="shared" si="3"/>
        <v>9111335.55</v>
      </c>
      <c r="H2409" s="4">
        <f t="shared" si="1"/>
        <v>0.9546245293</v>
      </c>
      <c r="I2409" s="4" t="str">
        <f t="shared" si="2"/>
        <v>C</v>
      </c>
    </row>
    <row r="2410">
      <c r="A2410" s="2">
        <v>2409.0</v>
      </c>
      <c r="B2410" s="2" t="s">
        <v>2747</v>
      </c>
      <c r="C2410" s="2" t="s">
        <v>2748</v>
      </c>
      <c r="D2410" s="2">
        <v>4.65</v>
      </c>
      <c r="E2410" s="2">
        <v>124.0</v>
      </c>
      <c r="F2410" s="2">
        <v>530.62</v>
      </c>
      <c r="G2410" s="4">
        <f t="shared" si="3"/>
        <v>9111866.17</v>
      </c>
      <c r="H2410" s="4">
        <f t="shared" si="1"/>
        <v>0.9546801241</v>
      </c>
      <c r="I2410" s="4" t="str">
        <f t="shared" si="2"/>
        <v>C</v>
      </c>
    </row>
    <row r="2411">
      <c r="A2411" s="2">
        <v>2410.0</v>
      </c>
      <c r="B2411" s="2" t="s">
        <v>2749</v>
      </c>
      <c r="C2411" s="2" t="s">
        <v>2750</v>
      </c>
      <c r="D2411" s="2">
        <v>0.85</v>
      </c>
      <c r="E2411" s="2">
        <v>672.0</v>
      </c>
      <c r="F2411" s="2">
        <v>530.43</v>
      </c>
      <c r="G2411" s="4">
        <f t="shared" si="3"/>
        <v>9112396.6</v>
      </c>
      <c r="H2411" s="4">
        <f t="shared" si="1"/>
        <v>0.954735699</v>
      </c>
      <c r="I2411" s="4" t="str">
        <f t="shared" si="2"/>
        <v>C</v>
      </c>
    </row>
    <row r="2412">
      <c r="A2412" s="2">
        <v>2411.0</v>
      </c>
      <c r="B2412" s="2">
        <v>22857.0</v>
      </c>
      <c r="C2412" s="2" t="s">
        <v>2751</v>
      </c>
      <c r="D2412" s="2">
        <v>0.85</v>
      </c>
      <c r="E2412" s="2">
        <v>622.0</v>
      </c>
      <c r="F2412" s="2">
        <v>530.09</v>
      </c>
      <c r="G2412" s="4">
        <f t="shared" si="3"/>
        <v>9112926.69</v>
      </c>
      <c r="H2412" s="4">
        <f t="shared" si="1"/>
        <v>0.9547912382</v>
      </c>
      <c r="I2412" s="4" t="str">
        <f t="shared" si="2"/>
        <v>C</v>
      </c>
    </row>
    <row r="2413">
      <c r="A2413" s="2">
        <v>2412.0</v>
      </c>
      <c r="B2413" s="2">
        <v>85008.0</v>
      </c>
      <c r="C2413" s="2" t="s">
        <v>2752</v>
      </c>
      <c r="D2413" s="2">
        <v>4.95</v>
      </c>
      <c r="E2413" s="2">
        <v>134.0</v>
      </c>
      <c r="F2413" s="2">
        <v>529.36</v>
      </c>
      <c r="G2413" s="4">
        <f t="shared" si="3"/>
        <v>9113456.05</v>
      </c>
      <c r="H2413" s="4">
        <f t="shared" si="1"/>
        <v>0.954846701</v>
      </c>
      <c r="I2413" s="4" t="str">
        <f t="shared" si="2"/>
        <v>C</v>
      </c>
    </row>
    <row r="2414">
      <c r="A2414" s="2">
        <v>2413.0</v>
      </c>
      <c r="B2414" s="2" t="s">
        <v>2753</v>
      </c>
      <c r="C2414" s="2" t="s">
        <v>2754</v>
      </c>
      <c r="D2414" s="2">
        <v>9.95</v>
      </c>
      <c r="E2414" s="2">
        <v>63.0</v>
      </c>
      <c r="F2414" s="2">
        <v>527.92</v>
      </c>
      <c r="G2414" s="4">
        <f t="shared" si="3"/>
        <v>9113983.97</v>
      </c>
      <c r="H2414" s="4">
        <f t="shared" si="1"/>
        <v>0.9549020129</v>
      </c>
      <c r="I2414" s="4" t="str">
        <f t="shared" si="2"/>
        <v>C</v>
      </c>
    </row>
    <row r="2415">
      <c r="A2415" s="2">
        <v>2414.0</v>
      </c>
      <c r="B2415" s="2">
        <v>21825.0</v>
      </c>
      <c r="C2415" s="2" t="s">
        <v>2755</v>
      </c>
      <c r="D2415" s="2">
        <v>1.45</v>
      </c>
      <c r="E2415" s="2">
        <v>367.0</v>
      </c>
      <c r="F2415" s="2">
        <v>527.32</v>
      </c>
      <c r="G2415" s="4">
        <f t="shared" si="3"/>
        <v>9114511.29</v>
      </c>
      <c r="H2415" s="4">
        <f t="shared" si="1"/>
        <v>0.954957262</v>
      </c>
      <c r="I2415" s="4" t="str">
        <f t="shared" si="2"/>
        <v>C</v>
      </c>
    </row>
    <row r="2416">
      <c r="A2416" s="2">
        <v>2415.0</v>
      </c>
      <c r="B2416" s="2">
        <v>22511.0</v>
      </c>
      <c r="C2416" s="2" t="s">
        <v>2756</v>
      </c>
      <c r="D2416" s="2">
        <v>3.75</v>
      </c>
      <c r="E2416" s="2">
        <v>200.0</v>
      </c>
      <c r="F2416" s="2">
        <v>527.08</v>
      </c>
      <c r="G2416" s="4">
        <f t="shared" si="3"/>
        <v>9115038.37</v>
      </c>
      <c r="H2416" s="4">
        <f t="shared" si="1"/>
        <v>0.9550124859</v>
      </c>
      <c r="I2416" s="4" t="str">
        <f t="shared" si="2"/>
        <v>C</v>
      </c>
    </row>
    <row r="2417">
      <c r="A2417" s="2">
        <v>2416.0</v>
      </c>
      <c r="B2417" s="2">
        <v>21269.0</v>
      </c>
      <c r="C2417" s="2" t="s">
        <v>2757</v>
      </c>
      <c r="D2417" s="2">
        <v>8.5</v>
      </c>
      <c r="E2417" s="2">
        <v>58.0</v>
      </c>
      <c r="F2417" s="2">
        <v>526.92</v>
      </c>
      <c r="G2417" s="4">
        <f t="shared" si="3"/>
        <v>9115565.29</v>
      </c>
      <c r="H2417" s="4">
        <f t="shared" si="1"/>
        <v>0.955067693</v>
      </c>
      <c r="I2417" s="4" t="str">
        <f t="shared" si="2"/>
        <v>C</v>
      </c>
    </row>
    <row r="2418">
      <c r="A2418" s="2">
        <v>2417.0</v>
      </c>
      <c r="B2418" s="2" t="s">
        <v>2758</v>
      </c>
      <c r="C2418" s="2" t="s">
        <v>2759</v>
      </c>
      <c r="D2418" s="2">
        <v>5.91</v>
      </c>
      <c r="E2418" s="2">
        <v>218.0</v>
      </c>
      <c r="F2418" s="2">
        <v>526.14</v>
      </c>
      <c r="G2418" s="4">
        <f t="shared" si="3"/>
        <v>9116091.43</v>
      </c>
      <c r="H2418" s="4">
        <f t="shared" si="1"/>
        <v>0.9551228184</v>
      </c>
      <c r="I2418" s="4" t="str">
        <f t="shared" si="2"/>
        <v>C</v>
      </c>
    </row>
    <row r="2419">
      <c r="A2419" s="2">
        <v>2418.0</v>
      </c>
      <c r="B2419" s="2">
        <v>37327.0</v>
      </c>
      <c r="C2419" s="2" t="s">
        <v>2760</v>
      </c>
      <c r="D2419" s="2">
        <v>0.42</v>
      </c>
      <c r="E2419" s="2">
        <v>870.0</v>
      </c>
      <c r="F2419" s="2">
        <v>526.04</v>
      </c>
      <c r="G2419" s="4">
        <f t="shared" si="3"/>
        <v>9116617.47</v>
      </c>
      <c r="H2419" s="4">
        <f t="shared" si="1"/>
        <v>0.9551779334</v>
      </c>
      <c r="I2419" s="4" t="str">
        <f t="shared" si="2"/>
        <v>C</v>
      </c>
    </row>
    <row r="2420">
      <c r="A2420" s="2">
        <v>2419.0</v>
      </c>
      <c r="B2420" s="2">
        <v>85078.0</v>
      </c>
      <c r="C2420" s="2" t="s">
        <v>2761</v>
      </c>
      <c r="D2420" s="2">
        <v>0.65</v>
      </c>
      <c r="E2420" s="2">
        <v>1129.0</v>
      </c>
      <c r="F2420" s="2">
        <v>526.01</v>
      </c>
      <c r="G2420" s="4">
        <f t="shared" si="3"/>
        <v>9117143.48</v>
      </c>
      <c r="H2420" s="4">
        <f t="shared" si="1"/>
        <v>0.9552330452</v>
      </c>
      <c r="I2420" s="4" t="str">
        <f t="shared" si="2"/>
        <v>C</v>
      </c>
    </row>
    <row r="2421">
      <c r="A2421" s="2">
        <v>2420.0</v>
      </c>
      <c r="B2421" s="2">
        <v>23327.0</v>
      </c>
      <c r="C2421" s="2" t="s">
        <v>2762</v>
      </c>
      <c r="D2421" s="2">
        <v>0.63</v>
      </c>
      <c r="E2421" s="2">
        <v>867.0</v>
      </c>
      <c r="F2421" s="2">
        <v>525.57</v>
      </c>
      <c r="G2421" s="4">
        <f t="shared" si="3"/>
        <v>9117669.05</v>
      </c>
      <c r="H2421" s="4">
        <f t="shared" si="1"/>
        <v>0.9552881109</v>
      </c>
      <c r="I2421" s="4" t="str">
        <f t="shared" si="2"/>
        <v>C</v>
      </c>
    </row>
    <row r="2422">
      <c r="A2422" s="2">
        <v>2421.0</v>
      </c>
      <c r="B2422" s="2">
        <v>85144.0</v>
      </c>
      <c r="C2422" s="2" t="s">
        <v>2763</v>
      </c>
      <c r="D2422" s="2">
        <v>7.25</v>
      </c>
      <c r="E2422" s="2">
        <v>144.0</v>
      </c>
      <c r="F2422" s="2">
        <v>525.38</v>
      </c>
      <c r="G2422" s="4">
        <f t="shared" si="3"/>
        <v>9118194.43</v>
      </c>
      <c r="H2422" s="4">
        <f t="shared" si="1"/>
        <v>0.9553431566</v>
      </c>
      <c r="I2422" s="4" t="str">
        <f t="shared" si="2"/>
        <v>C</v>
      </c>
    </row>
    <row r="2423">
      <c r="A2423" s="2">
        <v>2422.0</v>
      </c>
      <c r="B2423" s="2" t="s">
        <v>2764</v>
      </c>
      <c r="C2423" s="2" t="s">
        <v>2765</v>
      </c>
      <c r="D2423" s="2">
        <v>30.0</v>
      </c>
      <c r="E2423" s="2">
        <v>10.0</v>
      </c>
      <c r="F2423" s="2">
        <v>525.0</v>
      </c>
      <c r="G2423" s="4">
        <f t="shared" si="3"/>
        <v>9118719.43</v>
      </c>
      <c r="H2423" s="4">
        <f t="shared" si="1"/>
        <v>0.9553981626</v>
      </c>
      <c r="I2423" s="4" t="str">
        <f t="shared" si="2"/>
        <v>C</v>
      </c>
    </row>
    <row r="2424">
      <c r="A2424" s="2">
        <v>2423.0</v>
      </c>
      <c r="B2424" s="2">
        <v>22821.0</v>
      </c>
      <c r="C2424" s="2" t="s">
        <v>2766</v>
      </c>
      <c r="D2424" s="2">
        <v>0.65</v>
      </c>
      <c r="E2424" s="2">
        <v>830.0</v>
      </c>
      <c r="F2424" s="2">
        <v>523.72</v>
      </c>
      <c r="G2424" s="4">
        <f t="shared" si="3"/>
        <v>9119243.15</v>
      </c>
      <c r="H2424" s="4">
        <f t="shared" si="1"/>
        <v>0.9554530345</v>
      </c>
      <c r="I2424" s="4" t="str">
        <f t="shared" si="2"/>
        <v>C</v>
      </c>
    </row>
    <row r="2425">
      <c r="A2425" s="2">
        <v>2424.0</v>
      </c>
      <c r="B2425" s="2">
        <v>21061.0</v>
      </c>
      <c r="C2425" s="2" t="s">
        <v>2767</v>
      </c>
      <c r="D2425" s="2">
        <v>0.85</v>
      </c>
      <c r="E2425" s="2">
        <v>698.0</v>
      </c>
      <c r="F2425" s="2">
        <v>523.7</v>
      </c>
      <c r="G2425" s="4">
        <f t="shared" si="3"/>
        <v>9119766.85</v>
      </c>
      <c r="H2425" s="4">
        <f t="shared" si="1"/>
        <v>0.9555079042</v>
      </c>
      <c r="I2425" s="4" t="str">
        <f t="shared" si="2"/>
        <v>C</v>
      </c>
    </row>
    <row r="2426">
      <c r="A2426" s="2">
        <v>2425.0</v>
      </c>
      <c r="B2426" s="2">
        <v>20783.0</v>
      </c>
      <c r="C2426" s="2" t="s">
        <v>2768</v>
      </c>
      <c r="D2426" s="2">
        <v>5.49</v>
      </c>
      <c r="E2426" s="2">
        <v>82.0</v>
      </c>
      <c r="F2426" s="2">
        <v>522.96</v>
      </c>
      <c r="G2426" s="4">
        <f t="shared" si="3"/>
        <v>9120289.81</v>
      </c>
      <c r="H2426" s="4">
        <f t="shared" si="1"/>
        <v>0.9555626965</v>
      </c>
      <c r="I2426" s="4" t="str">
        <f t="shared" si="2"/>
        <v>C</v>
      </c>
    </row>
    <row r="2427">
      <c r="A2427" s="2">
        <v>2426.0</v>
      </c>
      <c r="B2427" s="2" t="s">
        <v>2769</v>
      </c>
      <c r="C2427" s="2" t="s">
        <v>2770</v>
      </c>
      <c r="D2427" s="2">
        <v>5.91</v>
      </c>
      <c r="E2427" s="2">
        <v>216.0</v>
      </c>
      <c r="F2427" s="2">
        <v>522.58</v>
      </c>
      <c r="G2427" s="4">
        <f t="shared" si="3"/>
        <v>9120812.39</v>
      </c>
      <c r="H2427" s="4">
        <f t="shared" si="1"/>
        <v>0.9556174489</v>
      </c>
      <c r="I2427" s="4" t="str">
        <f t="shared" si="2"/>
        <v>C</v>
      </c>
    </row>
    <row r="2428">
      <c r="A2428" s="2">
        <v>2427.0</v>
      </c>
      <c r="B2428" s="2" t="s">
        <v>2771</v>
      </c>
      <c r="C2428" s="2" t="s">
        <v>2772</v>
      </c>
      <c r="D2428" s="2">
        <v>11.02</v>
      </c>
      <c r="E2428" s="2">
        <v>42.0</v>
      </c>
      <c r="F2428" s="2">
        <v>522.12</v>
      </c>
      <c r="G2428" s="4">
        <f t="shared" si="3"/>
        <v>9121334.51</v>
      </c>
      <c r="H2428" s="4">
        <f t="shared" si="1"/>
        <v>0.9556721531</v>
      </c>
      <c r="I2428" s="4" t="str">
        <f t="shared" si="2"/>
        <v>C</v>
      </c>
    </row>
    <row r="2429">
      <c r="A2429" s="2">
        <v>2428.0</v>
      </c>
      <c r="B2429" s="2">
        <v>22134.0</v>
      </c>
      <c r="C2429" s="2" t="s">
        <v>2773</v>
      </c>
      <c r="D2429" s="2">
        <v>0.83</v>
      </c>
      <c r="E2429" s="2">
        <v>1178.0</v>
      </c>
      <c r="F2429" s="2">
        <v>522.0</v>
      </c>
      <c r="G2429" s="4">
        <f t="shared" si="3"/>
        <v>9121856.51</v>
      </c>
      <c r="H2429" s="4">
        <f t="shared" si="1"/>
        <v>0.9557268448</v>
      </c>
      <c r="I2429" s="4" t="str">
        <f t="shared" si="2"/>
        <v>C</v>
      </c>
    </row>
    <row r="2430">
      <c r="A2430" s="2">
        <v>2429.0</v>
      </c>
      <c r="B2430" s="2">
        <v>23419.0</v>
      </c>
      <c r="C2430" s="2" t="s">
        <v>2774</v>
      </c>
      <c r="D2430" s="2">
        <v>2.08</v>
      </c>
      <c r="E2430" s="2">
        <v>236.0</v>
      </c>
      <c r="F2430" s="2">
        <v>521.86</v>
      </c>
      <c r="G2430" s="4">
        <f t="shared" si="3"/>
        <v>9122378.37</v>
      </c>
      <c r="H2430" s="4">
        <f t="shared" si="1"/>
        <v>0.9557815218</v>
      </c>
      <c r="I2430" s="4" t="str">
        <f t="shared" si="2"/>
        <v>C</v>
      </c>
    </row>
    <row r="2431">
      <c r="A2431" s="2">
        <v>2430.0</v>
      </c>
      <c r="B2431" s="2">
        <v>22856.0</v>
      </c>
      <c r="C2431" s="2" t="s">
        <v>2775</v>
      </c>
      <c r="D2431" s="2">
        <v>1.25</v>
      </c>
      <c r="E2431" s="2">
        <v>432.0</v>
      </c>
      <c r="F2431" s="2">
        <v>521.8</v>
      </c>
      <c r="G2431" s="4">
        <f t="shared" si="3"/>
        <v>9122900.17</v>
      </c>
      <c r="H2431" s="4">
        <f t="shared" si="1"/>
        <v>0.9558361925</v>
      </c>
      <c r="I2431" s="4" t="str">
        <f t="shared" si="2"/>
        <v>C</v>
      </c>
    </row>
    <row r="2432">
      <c r="A2432" s="2">
        <v>2431.0</v>
      </c>
      <c r="B2432" s="2">
        <v>35646.0</v>
      </c>
      <c r="C2432" s="2" t="s">
        <v>2776</v>
      </c>
      <c r="D2432" s="2">
        <v>2.46</v>
      </c>
      <c r="E2432" s="2">
        <v>321.0</v>
      </c>
      <c r="F2432" s="2">
        <v>521.72</v>
      </c>
      <c r="G2432" s="4">
        <f t="shared" si="3"/>
        <v>9123421.89</v>
      </c>
      <c r="H2432" s="4">
        <f t="shared" si="1"/>
        <v>0.9558908548</v>
      </c>
      <c r="I2432" s="4" t="str">
        <f t="shared" si="2"/>
        <v>C</v>
      </c>
    </row>
    <row r="2433">
      <c r="A2433" s="2">
        <v>2432.0</v>
      </c>
      <c r="B2433" s="2">
        <v>22266.0</v>
      </c>
      <c r="C2433" s="2" t="s">
        <v>2777</v>
      </c>
      <c r="D2433" s="2">
        <v>0.65</v>
      </c>
      <c r="E2433" s="2">
        <v>1273.0</v>
      </c>
      <c r="F2433" s="2">
        <v>521.36</v>
      </c>
      <c r="G2433" s="4">
        <f t="shared" si="3"/>
        <v>9123943.25</v>
      </c>
      <c r="H2433" s="4">
        <f t="shared" si="1"/>
        <v>0.9559454794</v>
      </c>
      <c r="I2433" s="4" t="str">
        <f t="shared" si="2"/>
        <v>C</v>
      </c>
    </row>
    <row r="2434">
      <c r="A2434" s="2">
        <v>2433.0</v>
      </c>
      <c r="B2434" s="2">
        <v>23347.0</v>
      </c>
      <c r="C2434" s="2" t="s">
        <v>2778</v>
      </c>
      <c r="D2434" s="2">
        <v>1.25</v>
      </c>
      <c r="E2434" s="2">
        <v>416.0</v>
      </c>
      <c r="F2434" s="2">
        <v>521.15</v>
      </c>
      <c r="G2434" s="4">
        <f t="shared" si="3"/>
        <v>9124464.4</v>
      </c>
      <c r="H2434" s="4">
        <f t="shared" si="1"/>
        <v>0.956000082</v>
      </c>
      <c r="I2434" s="4" t="str">
        <f t="shared" si="2"/>
        <v>C</v>
      </c>
    </row>
    <row r="2435">
      <c r="A2435" s="2">
        <v>2434.0</v>
      </c>
      <c r="B2435" s="2">
        <v>22995.0</v>
      </c>
      <c r="C2435" s="2" t="s">
        <v>2779</v>
      </c>
      <c r="D2435" s="2">
        <v>0.42</v>
      </c>
      <c r="E2435" s="2">
        <v>1170.0</v>
      </c>
      <c r="F2435" s="2">
        <v>520.92</v>
      </c>
      <c r="G2435" s="4">
        <f t="shared" si="3"/>
        <v>9124985.32</v>
      </c>
      <c r="H2435" s="4">
        <f t="shared" si="1"/>
        <v>0.9560546605</v>
      </c>
      <c r="I2435" s="4" t="str">
        <f t="shared" si="2"/>
        <v>C</v>
      </c>
    </row>
    <row r="2436">
      <c r="A2436" s="2">
        <v>2435.0</v>
      </c>
      <c r="B2436" s="2">
        <v>20671.0</v>
      </c>
      <c r="C2436" s="2" t="s">
        <v>2780</v>
      </c>
      <c r="D2436" s="2">
        <v>1.25</v>
      </c>
      <c r="E2436" s="2">
        <v>394.0</v>
      </c>
      <c r="F2436" s="2">
        <v>519.98</v>
      </c>
      <c r="G2436" s="4">
        <f t="shared" si="3"/>
        <v>9125505.3</v>
      </c>
      <c r="H2436" s="4">
        <f t="shared" si="1"/>
        <v>0.9561091405</v>
      </c>
      <c r="I2436" s="4" t="str">
        <f t="shared" si="2"/>
        <v>C</v>
      </c>
    </row>
    <row r="2437">
      <c r="A2437" s="2">
        <v>2436.0</v>
      </c>
      <c r="B2437" s="2">
        <v>35651.0</v>
      </c>
      <c r="C2437" s="2" t="s">
        <v>2781</v>
      </c>
      <c r="D2437" s="2">
        <v>1.65</v>
      </c>
      <c r="E2437" s="2">
        <v>224.0</v>
      </c>
      <c r="F2437" s="2">
        <v>518.91</v>
      </c>
      <c r="G2437" s="4">
        <f t="shared" si="3"/>
        <v>9126024.21</v>
      </c>
      <c r="H2437" s="4">
        <f t="shared" si="1"/>
        <v>0.9561635084</v>
      </c>
      <c r="I2437" s="4" t="str">
        <f t="shared" si="2"/>
        <v>C</v>
      </c>
    </row>
    <row r="2438">
      <c r="A2438" s="2">
        <v>2437.0</v>
      </c>
      <c r="B2438" s="2">
        <v>21725.0</v>
      </c>
      <c r="C2438" s="2" t="s">
        <v>2782</v>
      </c>
      <c r="D2438" s="2">
        <v>0.85</v>
      </c>
      <c r="E2438" s="2">
        <v>568.0</v>
      </c>
      <c r="F2438" s="2">
        <v>518.21</v>
      </c>
      <c r="G2438" s="4">
        <f t="shared" si="3"/>
        <v>9126542.42</v>
      </c>
      <c r="H2438" s="4">
        <f t="shared" si="1"/>
        <v>0.956217803</v>
      </c>
      <c r="I2438" s="4" t="str">
        <f t="shared" si="2"/>
        <v>C</v>
      </c>
    </row>
    <row r="2439">
      <c r="A2439" s="2">
        <v>2438.0</v>
      </c>
      <c r="B2439" s="2">
        <v>22389.0</v>
      </c>
      <c r="C2439" s="2" t="s">
        <v>2783</v>
      </c>
      <c r="D2439" s="2">
        <v>2.55</v>
      </c>
      <c r="E2439" s="2">
        <v>274.0</v>
      </c>
      <c r="F2439" s="2">
        <v>517.76</v>
      </c>
      <c r="G2439" s="4">
        <f t="shared" si="3"/>
        <v>9127060.18</v>
      </c>
      <c r="H2439" s="4">
        <f t="shared" si="1"/>
        <v>0.9562720504</v>
      </c>
      <c r="I2439" s="4" t="str">
        <f t="shared" si="2"/>
        <v>C</v>
      </c>
    </row>
    <row r="2440">
      <c r="A2440" s="2">
        <v>2439.0</v>
      </c>
      <c r="B2440" s="2" t="s">
        <v>2784</v>
      </c>
      <c r="C2440" s="2" t="s">
        <v>2785</v>
      </c>
      <c r="D2440" s="2">
        <v>2.55</v>
      </c>
      <c r="E2440" s="2">
        <v>318.0</v>
      </c>
      <c r="F2440" s="2">
        <v>517.76</v>
      </c>
      <c r="G2440" s="4">
        <f t="shared" si="3"/>
        <v>9127577.94</v>
      </c>
      <c r="H2440" s="4">
        <f t="shared" si="1"/>
        <v>0.9563262978</v>
      </c>
      <c r="I2440" s="4" t="str">
        <f t="shared" si="2"/>
        <v>C</v>
      </c>
    </row>
    <row r="2441">
      <c r="A2441" s="2">
        <v>2440.0</v>
      </c>
      <c r="B2441" s="2" t="s">
        <v>2786</v>
      </c>
      <c r="C2441" s="2" t="s">
        <v>2787</v>
      </c>
      <c r="D2441" s="2">
        <v>2.55</v>
      </c>
      <c r="E2441" s="2">
        <v>188.0</v>
      </c>
      <c r="F2441" s="2">
        <v>517.29</v>
      </c>
      <c r="G2441" s="4">
        <f t="shared" si="3"/>
        <v>9128095.23</v>
      </c>
      <c r="H2441" s="4">
        <f t="shared" si="1"/>
        <v>0.956380496</v>
      </c>
      <c r="I2441" s="4" t="str">
        <f t="shared" si="2"/>
        <v>C</v>
      </c>
    </row>
    <row r="2442">
      <c r="A2442" s="2">
        <v>2441.0</v>
      </c>
      <c r="B2442" s="2">
        <v>21202.0</v>
      </c>
      <c r="C2442" s="2" t="s">
        <v>2788</v>
      </c>
      <c r="D2442" s="2">
        <v>1.65</v>
      </c>
      <c r="E2442" s="2">
        <v>403.0</v>
      </c>
      <c r="F2442" s="2">
        <v>516.94</v>
      </c>
      <c r="G2442" s="4">
        <f t="shared" si="3"/>
        <v>9128612.17</v>
      </c>
      <c r="H2442" s="4">
        <f t="shared" si="1"/>
        <v>0.9564346575</v>
      </c>
      <c r="I2442" s="4" t="str">
        <f t="shared" si="2"/>
        <v>C</v>
      </c>
    </row>
    <row r="2443">
      <c r="A2443" s="2">
        <v>2442.0</v>
      </c>
      <c r="B2443" s="2">
        <v>20652.0</v>
      </c>
      <c r="C2443" s="2" t="s">
        <v>2789</v>
      </c>
      <c r="D2443" s="2">
        <v>1.25</v>
      </c>
      <c r="E2443" s="2">
        <v>760.0</v>
      </c>
      <c r="F2443" s="2">
        <v>516.77</v>
      </c>
      <c r="G2443" s="4">
        <f t="shared" si="3"/>
        <v>9129128.94</v>
      </c>
      <c r="H2443" s="4">
        <f t="shared" si="1"/>
        <v>0.9564888011</v>
      </c>
      <c r="I2443" s="4" t="str">
        <f t="shared" si="2"/>
        <v>C</v>
      </c>
    </row>
    <row r="2444">
      <c r="A2444" s="2">
        <v>2443.0</v>
      </c>
      <c r="B2444" s="2">
        <v>23088.0</v>
      </c>
      <c r="C2444" s="2" t="s">
        <v>2790</v>
      </c>
      <c r="D2444" s="2">
        <v>1.25</v>
      </c>
      <c r="E2444" s="2">
        <v>398.0</v>
      </c>
      <c r="F2444" s="2">
        <v>516.64</v>
      </c>
      <c r="G2444" s="4">
        <f t="shared" si="3"/>
        <v>9129645.58</v>
      </c>
      <c r="H2444" s="4">
        <f t="shared" si="1"/>
        <v>0.9565429312</v>
      </c>
      <c r="I2444" s="4" t="str">
        <f t="shared" si="2"/>
        <v>C</v>
      </c>
    </row>
    <row r="2445">
      <c r="A2445" s="2">
        <v>2444.0</v>
      </c>
      <c r="B2445" s="2" t="s">
        <v>2791</v>
      </c>
      <c r="C2445" s="2" t="s">
        <v>2792</v>
      </c>
      <c r="D2445" s="2">
        <v>2.46</v>
      </c>
      <c r="E2445" s="2">
        <v>317.0</v>
      </c>
      <c r="F2445" s="2">
        <v>515.0</v>
      </c>
      <c r="G2445" s="4">
        <f t="shared" si="3"/>
        <v>9130160.58</v>
      </c>
      <c r="H2445" s="4">
        <f t="shared" si="1"/>
        <v>0.9565968895</v>
      </c>
      <c r="I2445" s="4" t="str">
        <f t="shared" si="2"/>
        <v>C</v>
      </c>
    </row>
    <row r="2446">
      <c r="A2446" s="2">
        <v>2445.0</v>
      </c>
      <c r="B2446" s="2" t="s">
        <v>2793</v>
      </c>
      <c r="C2446" s="2" t="s">
        <v>2794</v>
      </c>
      <c r="D2446" s="2">
        <v>12.75</v>
      </c>
      <c r="E2446" s="2">
        <v>64.0</v>
      </c>
      <c r="F2446" s="2">
        <v>514.71</v>
      </c>
      <c r="G2446" s="4">
        <f t="shared" si="3"/>
        <v>9130675.29</v>
      </c>
      <c r="H2446" s="4">
        <f t="shared" si="1"/>
        <v>0.9566508173</v>
      </c>
      <c r="I2446" s="4" t="str">
        <f t="shared" si="2"/>
        <v>C</v>
      </c>
    </row>
    <row r="2447">
      <c r="A2447" s="2">
        <v>2446.0</v>
      </c>
      <c r="B2447" s="2">
        <v>22247.0</v>
      </c>
      <c r="C2447" s="2" t="s">
        <v>2795</v>
      </c>
      <c r="D2447" s="2">
        <v>0.85</v>
      </c>
      <c r="E2447" s="2">
        <v>595.0</v>
      </c>
      <c r="F2447" s="2">
        <v>513.94</v>
      </c>
      <c r="G2447" s="4">
        <f t="shared" si="3"/>
        <v>9131189.23</v>
      </c>
      <c r="H2447" s="4">
        <f t="shared" si="1"/>
        <v>0.9567046645</v>
      </c>
      <c r="I2447" s="4" t="str">
        <f t="shared" si="2"/>
        <v>C</v>
      </c>
    </row>
    <row r="2448">
      <c r="A2448" s="2">
        <v>2447.0</v>
      </c>
      <c r="B2448" s="2">
        <v>22806.0</v>
      </c>
      <c r="C2448" s="2" t="s">
        <v>2796</v>
      </c>
      <c r="D2448" s="2">
        <v>2.95</v>
      </c>
      <c r="E2448" s="2">
        <v>191.0</v>
      </c>
      <c r="F2448" s="2">
        <v>513.31</v>
      </c>
      <c r="G2448" s="4">
        <f t="shared" si="3"/>
        <v>9131702.54</v>
      </c>
      <c r="H2448" s="4">
        <f t="shared" si="1"/>
        <v>0.9567584457</v>
      </c>
      <c r="I2448" s="4" t="str">
        <f t="shared" si="2"/>
        <v>C</v>
      </c>
    </row>
    <row r="2449">
      <c r="A2449" s="2">
        <v>2448.0</v>
      </c>
      <c r="B2449" s="2">
        <v>84923.0</v>
      </c>
      <c r="C2449" s="2" t="s">
        <v>2797</v>
      </c>
      <c r="D2449" s="2">
        <v>4.13</v>
      </c>
      <c r="E2449" s="2">
        <v>118.0</v>
      </c>
      <c r="F2449" s="2">
        <v>513.07</v>
      </c>
      <c r="G2449" s="4">
        <f t="shared" si="3"/>
        <v>9132215.61</v>
      </c>
      <c r="H2449" s="4">
        <f t="shared" si="1"/>
        <v>0.9568122017</v>
      </c>
      <c r="I2449" s="4" t="str">
        <f t="shared" si="2"/>
        <v>C</v>
      </c>
    </row>
    <row r="2450">
      <c r="A2450" s="2">
        <v>2449.0</v>
      </c>
      <c r="B2450" s="2">
        <v>23545.0</v>
      </c>
      <c r="C2450" s="2" t="s">
        <v>2798</v>
      </c>
      <c r="D2450" s="2">
        <v>0.42</v>
      </c>
      <c r="E2450" s="2">
        <v>1240.0</v>
      </c>
      <c r="F2450" s="2">
        <v>512.8</v>
      </c>
      <c r="G2450" s="4">
        <f t="shared" si="3"/>
        <v>9132728.41</v>
      </c>
      <c r="H2450" s="4">
        <f t="shared" si="1"/>
        <v>0.9568659294</v>
      </c>
      <c r="I2450" s="4" t="str">
        <f t="shared" si="2"/>
        <v>C</v>
      </c>
    </row>
    <row r="2451">
      <c r="A2451" s="2">
        <v>2450.0</v>
      </c>
      <c r="B2451" s="2">
        <v>21814.0</v>
      </c>
      <c r="C2451" s="2" t="s">
        <v>2675</v>
      </c>
      <c r="D2451" s="2">
        <v>1.45</v>
      </c>
      <c r="E2451" s="2">
        <v>338.0</v>
      </c>
      <c r="F2451" s="2">
        <v>512.62</v>
      </c>
      <c r="G2451" s="4">
        <f t="shared" si="3"/>
        <v>9133241.03</v>
      </c>
      <c r="H2451" s="4">
        <f t="shared" si="1"/>
        <v>0.9569196383</v>
      </c>
      <c r="I2451" s="4" t="str">
        <f t="shared" si="2"/>
        <v>C</v>
      </c>
    </row>
    <row r="2452">
      <c r="A2452" s="2">
        <v>2451.0</v>
      </c>
      <c r="B2452" s="2">
        <v>21690.0</v>
      </c>
      <c r="C2452" s="2" t="s">
        <v>2799</v>
      </c>
      <c r="D2452" s="2">
        <v>3.75</v>
      </c>
      <c r="E2452" s="2">
        <v>134.0</v>
      </c>
      <c r="F2452" s="2">
        <v>512.29</v>
      </c>
      <c r="G2452" s="4">
        <f t="shared" si="3"/>
        <v>9133753.32</v>
      </c>
      <c r="H2452" s="4">
        <f t="shared" si="1"/>
        <v>0.9569733126</v>
      </c>
      <c r="I2452" s="4" t="str">
        <f t="shared" si="2"/>
        <v>C</v>
      </c>
    </row>
    <row r="2453">
      <c r="A2453" s="2">
        <v>2452.0</v>
      </c>
      <c r="B2453" s="2">
        <v>85104.0</v>
      </c>
      <c r="C2453" s="2" t="s">
        <v>2800</v>
      </c>
      <c r="D2453" s="2">
        <v>2.95</v>
      </c>
      <c r="E2453" s="2">
        <v>176.0</v>
      </c>
      <c r="F2453" s="2">
        <v>512.24</v>
      </c>
      <c r="G2453" s="4">
        <f t="shared" si="3"/>
        <v>9134265.56</v>
      </c>
      <c r="H2453" s="4">
        <f t="shared" si="1"/>
        <v>0.9570269817</v>
      </c>
      <c r="I2453" s="4" t="str">
        <f t="shared" si="2"/>
        <v>C</v>
      </c>
    </row>
    <row r="2454">
      <c r="A2454" s="2">
        <v>2453.0</v>
      </c>
      <c r="B2454" s="2">
        <v>35923.0</v>
      </c>
      <c r="C2454" s="2" t="s">
        <v>2801</v>
      </c>
      <c r="D2454" s="2">
        <v>1.25</v>
      </c>
      <c r="E2454" s="2">
        <v>772.0</v>
      </c>
      <c r="F2454" s="2">
        <v>511.88</v>
      </c>
      <c r="G2454" s="4">
        <f t="shared" si="3"/>
        <v>9134777.44</v>
      </c>
      <c r="H2454" s="4">
        <f t="shared" si="1"/>
        <v>0.957080613</v>
      </c>
      <c r="I2454" s="4" t="str">
        <f t="shared" si="2"/>
        <v>C</v>
      </c>
    </row>
    <row r="2455">
      <c r="A2455" s="2">
        <v>2454.0</v>
      </c>
      <c r="B2455" s="2" t="s">
        <v>2802</v>
      </c>
      <c r="C2455" s="2" t="s">
        <v>2803</v>
      </c>
      <c r="D2455" s="2">
        <v>4.65</v>
      </c>
      <c r="E2455" s="2">
        <v>182.0</v>
      </c>
      <c r="F2455" s="2">
        <v>511.08</v>
      </c>
      <c r="G2455" s="4">
        <f t="shared" si="3"/>
        <v>9135288.52</v>
      </c>
      <c r="H2455" s="4">
        <f t="shared" si="1"/>
        <v>0.9571341606</v>
      </c>
      <c r="I2455" s="4" t="str">
        <f t="shared" si="2"/>
        <v>C</v>
      </c>
    </row>
    <row r="2456">
      <c r="A2456" s="2">
        <v>2455.0</v>
      </c>
      <c r="B2456" s="2">
        <v>85126.0</v>
      </c>
      <c r="C2456" s="2" t="s">
        <v>2804</v>
      </c>
      <c r="D2456" s="2">
        <v>6.75</v>
      </c>
      <c r="E2456" s="2">
        <v>74.0</v>
      </c>
      <c r="F2456" s="2">
        <v>510.96</v>
      </c>
      <c r="G2456" s="4">
        <f t="shared" si="3"/>
        <v>9135799.48</v>
      </c>
      <c r="H2456" s="4">
        <f t="shared" si="1"/>
        <v>0.9571876955</v>
      </c>
      <c r="I2456" s="4" t="str">
        <f t="shared" si="2"/>
        <v>C</v>
      </c>
    </row>
    <row r="2457">
      <c r="A2457" s="2">
        <v>2456.0</v>
      </c>
      <c r="B2457" s="2">
        <v>23452.0</v>
      </c>
      <c r="C2457" s="2" t="s">
        <v>2805</v>
      </c>
      <c r="D2457" s="2">
        <v>1.95</v>
      </c>
      <c r="E2457" s="2">
        <v>259.0</v>
      </c>
      <c r="F2457" s="2">
        <v>510.88</v>
      </c>
      <c r="G2457" s="4">
        <f t="shared" si="3"/>
        <v>9136310.36</v>
      </c>
      <c r="H2457" s="4">
        <f t="shared" si="1"/>
        <v>0.9572412221</v>
      </c>
      <c r="I2457" s="4" t="str">
        <f t="shared" si="2"/>
        <v>C</v>
      </c>
    </row>
    <row r="2458">
      <c r="A2458" s="2">
        <v>2457.0</v>
      </c>
      <c r="B2458" s="2" t="s">
        <v>2806</v>
      </c>
      <c r="C2458" s="2" t="s">
        <v>2807</v>
      </c>
      <c r="D2458" s="2">
        <v>5.95</v>
      </c>
      <c r="E2458" s="2">
        <v>88.0</v>
      </c>
      <c r="F2458" s="2">
        <v>510.22</v>
      </c>
      <c r="G2458" s="4">
        <f t="shared" si="3"/>
        <v>9136820.58</v>
      </c>
      <c r="H2458" s="4">
        <f t="shared" si="1"/>
        <v>0.9572946795</v>
      </c>
      <c r="I2458" s="4" t="str">
        <f t="shared" si="2"/>
        <v>C</v>
      </c>
    </row>
    <row r="2459">
      <c r="A2459" s="2">
        <v>2458.0</v>
      </c>
      <c r="B2459" s="2">
        <v>21664.0</v>
      </c>
      <c r="C2459" s="2" t="s">
        <v>2808</v>
      </c>
      <c r="D2459" s="2">
        <v>3.75</v>
      </c>
      <c r="E2459" s="2">
        <v>128.0</v>
      </c>
      <c r="F2459" s="2">
        <v>509.91</v>
      </c>
      <c r="G2459" s="4">
        <f t="shared" si="3"/>
        <v>9137330.49</v>
      </c>
      <c r="H2459" s="4">
        <f t="shared" si="1"/>
        <v>0.9573481045</v>
      </c>
      <c r="I2459" s="4" t="str">
        <f t="shared" si="2"/>
        <v>C</v>
      </c>
    </row>
    <row r="2460">
      <c r="A2460" s="2">
        <v>2459.0</v>
      </c>
      <c r="B2460" s="2">
        <v>22643.0</v>
      </c>
      <c r="C2460" s="2" t="s">
        <v>2809</v>
      </c>
      <c r="D2460" s="2">
        <v>2.55</v>
      </c>
      <c r="E2460" s="2">
        <v>235.0</v>
      </c>
      <c r="F2460" s="2">
        <v>509.89</v>
      </c>
      <c r="G2460" s="4">
        <f t="shared" si="3"/>
        <v>9137840.38</v>
      </c>
      <c r="H2460" s="4">
        <f t="shared" si="1"/>
        <v>0.9574015273</v>
      </c>
      <c r="I2460" s="4" t="str">
        <f t="shared" si="2"/>
        <v>C</v>
      </c>
    </row>
    <row r="2461">
      <c r="A2461" s="2">
        <v>2460.0</v>
      </c>
      <c r="B2461" s="2">
        <v>22717.0</v>
      </c>
      <c r="C2461" s="2" t="s">
        <v>2810</v>
      </c>
      <c r="D2461" s="2">
        <v>0.42</v>
      </c>
      <c r="E2461" s="2">
        <v>1202.0</v>
      </c>
      <c r="F2461" s="2">
        <v>509.21</v>
      </c>
      <c r="G2461" s="4">
        <f t="shared" si="3"/>
        <v>9138349.59</v>
      </c>
      <c r="H2461" s="4">
        <f t="shared" si="1"/>
        <v>0.9574548789</v>
      </c>
      <c r="I2461" s="4" t="str">
        <f t="shared" si="2"/>
        <v>C</v>
      </c>
    </row>
    <row r="2462">
      <c r="A2462" s="2">
        <v>2461.0</v>
      </c>
      <c r="B2462" s="2">
        <v>20839.0</v>
      </c>
      <c r="C2462" s="2" t="s">
        <v>2811</v>
      </c>
      <c r="D2462" s="2">
        <v>2.95</v>
      </c>
      <c r="E2462" s="2">
        <v>316.0</v>
      </c>
      <c r="F2462" s="2">
        <v>509.06</v>
      </c>
      <c r="G2462" s="4">
        <f t="shared" si="3"/>
        <v>9138858.65</v>
      </c>
      <c r="H2462" s="4">
        <f t="shared" si="1"/>
        <v>0.9575082148</v>
      </c>
      <c r="I2462" s="4" t="str">
        <f t="shared" si="2"/>
        <v>C</v>
      </c>
    </row>
    <row r="2463">
      <c r="A2463" s="2">
        <v>2462.0</v>
      </c>
      <c r="B2463" s="2" t="s">
        <v>2812</v>
      </c>
      <c r="C2463" s="2" t="s">
        <v>2813</v>
      </c>
      <c r="D2463" s="2">
        <v>3.36</v>
      </c>
      <c r="E2463" s="2">
        <v>240.0</v>
      </c>
      <c r="F2463" s="2">
        <v>508.74</v>
      </c>
      <c r="G2463" s="4">
        <f t="shared" si="3"/>
        <v>9139367.39</v>
      </c>
      <c r="H2463" s="4">
        <f t="shared" si="1"/>
        <v>0.9575615172</v>
      </c>
      <c r="I2463" s="4" t="str">
        <f t="shared" si="2"/>
        <v>C</v>
      </c>
    </row>
    <row r="2464">
      <c r="A2464" s="2">
        <v>2463.0</v>
      </c>
      <c r="B2464" s="2">
        <v>84929.0</v>
      </c>
      <c r="C2464" s="2" t="s">
        <v>2814</v>
      </c>
      <c r="D2464" s="2">
        <v>0.19</v>
      </c>
      <c r="E2464" s="2">
        <v>1557.0</v>
      </c>
      <c r="F2464" s="2">
        <v>508.71</v>
      </c>
      <c r="G2464" s="4">
        <f t="shared" si="3"/>
        <v>9139876.1</v>
      </c>
      <c r="H2464" s="4">
        <f t="shared" si="1"/>
        <v>0.9576148164</v>
      </c>
      <c r="I2464" s="4" t="str">
        <f t="shared" si="2"/>
        <v>C</v>
      </c>
    </row>
    <row r="2465">
      <c r="A2465" s="2">
        <v>2464.0</v>
      </c>
      <c r="B2465" s="2" t="s">
        <v>2815</v>
      </c>
      <c r="C2465" s="2" t="s">
        <v>2816</v>
      </c>
      <c r="D2465" s="2">
        <v>0.83</v>
      </c>
      <c r="E2465" s="2">
        <v>770.0</v>
      </c>
      <c r="F2465" s="2">
        <v>508.44</v>
      </c>
      <c r="G2465" s="4">
        <f t="shared" si="3"/>
        <v>9140384.54</v>
      </c>
      <c r="H2465" s="4">
        <f t="shared" si="1"/>
        <v>0.9576680873</v>
      </c>
      <c r="I2465" s="4" t="str">
        <f t="shared" si="2"/>
        <v>C</v>
      </c>
    </row>
    <row r="2466">
      <c r="A2466" s="2">
        <v>2465.0</v>
      </c>
      <c r="B2466" s="2">
        <v>20619.0</v>
      </c>
      <c r="C2466" s="2" t="s">
        <v>2817</v>
      </c>
      <c r="D2466" s="2">
        <v>2.1</v>
      </c>
      <c r="E2466" s="2">
        <v>290.0</v>
      </c>
      <c r="F2466" s="2">
        <v>508.26</v>
      </c>
      <c r="G2466" s="4">
        <f t="shared" si="3"/>
        <v>9140892.8</v>
      </c>
      <c r="H2466" s="4">
        <f t="shared" si="1"/>
        <v>0.9577213394</v>
      </c>
      <c r="I2466" s="4" t="str">
        <f t="shared" si="2"/>
        <v>C</v>
      </c>
    </row>
    <row r="2467">
      <c r="A2467" s="2">
        <v>2466.0</v>
      </c>
      <c r="B2467" s="2" t="s">
        <v>2818</v>
      </c>
      <c r="C2467" s="2" t="s">
        <v>63</v>
      </c>
      <c r="D2467" s="2">
        <v>5.06</v>
      </c>
      <c r="E2467" s="2">
        <v>100.0</v>
      </c>
      <c r="F2467" s="2">
        <v>508.18</v>
      </c>
      <c r="G2467" s="4">
        <f t="shared" si="3"/>
        <v>9141400.98</v>
      </c>
      <c r="H2467" s="4">
        <f t="shared" si="1"/>
        <v>0.9577745831</v>
      </c>
      <c r="I2467" s="4" t="str">
        <f t="shared" si="2"/>
        <v>C</v>
      </c>
    </row>
    <row r="2468">
      <c r="A2468" s="2">
        <v>2467.0</v>
      </c>
      <c r="B2468" s="2">
        <v>22420.0</v>
      </c>
      <c r="C2468" s="2" t="s">
        <v>2819</v>
      </c>
      <c r="D2468" s="2">
        <v>0.42</v>
      </c>
      <c r="E2468" s="2">
        <v>1056.0</v>
      </c>
      <c r="F2468" s="2">
        <v>507.58</v>
      </c>
      <c r="G2468" s="4">
        <f t="shared" si="3"/>
        <v>9141908.56</v>
      </c>
      <c r="H2468" s="4">
        <f t="shared" si="1"/>
        <v>0.9578277639</v>
      </c>
      <c r="I2468" s="4" t="str">
        <f t="shared" si="2"/>
        <v>C</v>
      </c>
    </row>
    <row r="2469">
      <c r="A2469" s="2">
        <v>2468.0</v>
      </c>
      <c r="B2469" s="2">
        <v>22049.0</v>
      </c>
      <c r="C2469" s="2" t="s">
        <v>2820</v>
      </c>
      <c r="D2469" s="2">
        <v>0.19</v>
      </c>
      <c r="E2469" s="2">
        <v>1762.0</v>
      </c>
      <c r="F2469" s="2">
        <v>507.38</v>
      </c>
      <c r="G2469" s="4">
        <f t="shared" si="3"/>
        <v>9142415.94</v>
      </c>
      <c r="H2469" s="4">
        <f t="shared" si="1"/>
        <v>0.9578809237</v>
      </c>
      <c r="I2469" s="4" t="str">
        <f t="shared" si="2"/>
        <v>C</v>
      </c>
    </row>
    <row r="2470">
      <c r="A2470" s="2">
        <v>2469.0</v>
      </c>
      <c r="B2470" s="2" t="s">
        <v>2821</v>
      </c>
      <c r="C2470" s="2" t="s">
        <v>2822</v>
      </c>
      <c r="D2470" s="2">
        <v>1.45</v>
      </c>
      <c r="E2470" s="2">
        <v>320.0</v>
      </c>
      <c r="F2470" s="2">
        <v>506.89</v>
      </c>
      <c r="G2470" s="4">
        <f t="shared" si="3"/>
        <v>9142922.83</v>
      </c>
      <c r="H2470" s="4">
        <f t="shared" si="1"/>
        <v>0.9579340323</v>
      </c>
      <c r="I2470" s="4" t="str">
        <f t="shared" si="2"/>
        <v>C</v>
      </c>
    </row>
    <row r="2471">
      <c r="A2471" s="2">
        <v>2470.0</v>
      </c>
      <c r="B2471" s="2">
        <v>23107.0</v>
      </c>
      <c r="C2471" s="2" t="s">
        <v>2823</v>
      </c>
      <c r="D2471" s="2">
        <v>2.89</v>
      </c>
      <c r="E2471" s="2">
        <v>180.0</v>
      </c>
      <c r="F2471" s="2">
        <v>504.76</v>
      </c>
      <c r="G2471" s="4">
        <f t="shared" si="3"/>
        <v>9143427.59</v>
      </c>
      <c r="H2471" s="4">
        <f t="shared" si="1"/>
        <v>0.9579869176</v>
      </c>
      <c r="I2471" s="4" t="str">
        <f t="shared" si="2"/>
        <v>C</v>
      </c>
    </row>
    <row r="2472">
      <c r="A2472" s="2">
        <v>2471.0</v>
      </c>
      <c r="B2472" s="2">
        <v>84905.0</v>
      </c>
      <c r="C2472" s="2" t="s">
        <v>2824</v>
      </c>
      <c r="D2472" s="2">
        <v>5.06</v>
      </c>
      <c r="E2472" s="2">
        <v>134.0</v>
      </c>
      <c r="F2472" s="2">
        <v>503.96</v>
      </c>
      <c r="G2472" s="4">
        <f t="shared" si="3"/>
        <v>9143931.55</v>
      </c>
      <c r="H2472" s="4">
        <f t="shared" si="1"/>
        <v>0.9580397192</v>
      </c>
      <c r="I2472" s="4" t="str">
        <f t="shared" si="2"/>
        <v>C</v>
      </c>
    </row>
    <row r="2473">
      <c r="A2473" s="2">
        <v>2472.0</v>
      </c>
      <c r="B2473" s="2">
        <v>23544.0</v>
      </c>
      <c r="C2473" s="2" t="s">
        <v>2825</v>
      </c>
      <c r="D2473" s="2">
        <v>8.25</v>
      </c>
      <c r="E2473" s="2">
        <v>82.0</v>
      </c>
      <c r="F2473" s="2">
        <v>503.76</v>
      </c>
      <c r="G2473" s="4">
        <f t="shared" si="3"/>
        <v>9144435.31</v>
      </c>
      <c r="H2473" s="4">
        <f t="shared" si="1"/>
        <v>0.9580924998</v>
      </c>
      <c r="I2473" s="4" t="str">
        <f t="shared" si="2"/>
        <v>C</v>
      </c>
    </row>
    <row r="2474">
      <c r="A2474" s="2">
        <v>2473.0</v>
      </c>
      <c r="B2474" s="2">
        <v>17021.0</v>
      </c>
      <c r="C2474" s="2" t="s">
        <v>2826</v>
      </c>
      <c r="D2474" s="2">
        <v>0.3</v>
      </c>
      <c r="E2474" s="2">
        <v>1896.0</v>
      </c>
      <c r="F2474" s="2">
        <v>502.92</v>
      </c>
      <c r="G2474" s="4">
        <f t="shared" si="3"/>
        <v>9144938.23</v>
      </c>
      <c r="H2474" s="4">
        <f t="shared" si="1"/>
        <v>0.9581451923</v>
      </c>
      <c r="I2474" s="4" t="str">
        <f t="shared" si="2"/>
        <v>C</v>
      </c>
    </row>
    <row r="2475">
      <c r="A2475" s="2">
        <v>2474.0</v>
      </c>
      <c r="B2475" s="2">
        <v>23153.0</v>
      </c>
      <c r="C2475" s="2" t="s">
        <v>2827</v>
      </c>
      <c r="D2475" s="2">
        <v>3.75</v>
      </c>
      <c r="E2475" s="2">
        <v>130.0</v>
      </c>
      <c r="F2475" s="2">
        <v>502.84</v>
      </c>
      <c r="G2475" s="4">
        <f t="shared" si="3"/>
        <v>9145441.07</v>
      </c>
      <c r="H2475" s="4">
        <f t="shared" si="1"/>
        <v>0.9581978765</v>
      </c>
      <c r="I2475" s="4" t="str">
        <f t="shared" si="2"/>
        <v>C</v>
      </c>
    </row>
    <row r="2476">
      <c r="A2476" s="2">
        <v>2475.0</v>
      </c>
      <c r="B2476" s="2" t="s">
        <v>2828</v>
      </c>
      <c r="C2476" s="2" t="s">
        <v>2829</v>
      </c>
      <c r="D2476" s="2">
        <v>1.63</v>
      </c>
      <c r="E2476" s="2">
        <v>373.0</v>
      </c>
      <c r="F2476" s="2">
        <v>502.47</v>
      </c>
      <c r="G2476" s="4">
        <f t="shared" si="3"/>
        <v>9145943.54</v>
      </c>
      <c r="H2476" s="4">
        <f t="shared" si="1"/>
        <v>0.958250522</v>
      </c>
      <c r="I2476" s="4" t="str">
        <f t="shared" si="2"/>
        <v>C</v>
      </c>
    </row>
    <row r="2477">
      <c r="A2477" s="2">
        <v>2476.0</v>
      </c>
      <c r="B2477" s="2">
        <v>21084.0</v>
      </c>
      <c r="C2477" s="2" t="s">
        <v>2830</v>
      </c>
      <c r="D2477" s="2">
        <v>0.65</v>
      </c>
      <c r="E2477" s="2">
        <v>1452.0</v>
      </c>
      <c r="F2477" s="2">
        <v>502.12</v>
      </c>
      <c r="G2477" s="4">
        <f t="shared" si="3"/>
        <v>9146445.66</v>
      </c>
      <c r="H2477" s="4">
        <f t="shared" si="1"/>
        <v>0.9583031307</v>
      </c>
      <c r="I2477" s="4" t="str">
        <f t="shared" si="2"/>
        <v>C</v>
      </c>
    </row>
    <row r="2478">
      <c r="A2478" s="2">
        <v>2477.0</v>
      </c>
      <c r="B2478" s="2" t="s">
        <v>2831</v>
      </c>
      <c r="C2478" s="2" t="s">
        <v>2832</v>
      </c>
      <c r="D2478" s="2">
        <v>1.95</v>
      </c>
      <c r="E2478" s="2">
        <v>239.0</v>
      </c>
      <c r="F2478" s="2">
        <v>502.05</v>
      </c>
      <c r="G2478" s="4">
        <f t="shared" si="3"/>
        <v>9146947.71</v>
      </c>
      <c r="H2478" s="4">
        <f t="shared" si="1"/>
        <v>0.9583557322</v>
      </c>
      <c r="I2478" s="4" t="str">
        <f t="shared" si="2"/>
        <v>C</v>
      </c>
    </row>
    <row r="2479">
      <c r="A2479" s="2">
        <v>2478.0</v>
      </c>
      <c r="B2479" s="2">
        <v>21127.0</v>
      </c>
      <c r="C2479" s="2" t="s">
        <v>2833</v>
      </c>
      <c r="D2479" s="2">
        <v>5.95</v>
      </c>
      <c r="E2479" s="2">
        <v>149.0</v>
      </c>
      <c r="F2479" s="2">
        <v>501.99</v>
      </c>
      <c r="G2479" s="4">
        <f t="shared" si="3"/>
        <v>9147449.7</v>
      </c>
      <c r="H2479" s="4">
        <f t="shared" si="1"/>
        <v>0.9584083273</v>
      </c>
      <c r="I2479" s="4" t="str">
        <f t="shared" si="2"/>
        <v>C</v>
      </c>
    </row>
    <row r="2480">
      <c r="A2480" s="2">
        <v>2479.0</v>
      </c>
      <c r="B2480" s="2">
        <v>21392.0</v>
      </c>
      <c r="C2480" s="2" t="s">
        <v>2834</v>
      </c>
      <c r="D2480" s="2">
        <v>2.1</v>
      </c>
      <c r="E2480" s="2">
        <v>1948.0</v>
      </c>
      <c r="F2480" s="2">
        <v>501.94</v>
      </c>
      <c r="G2480" s="4">
        <f t="shared" si="3"/>
        <v>9147951.64</v>
      </c>
      <c r="H2480" s="4">
        <f t="shared" si="1"/>
        <v>0.9584609172</v>
      </c>
      <c r="I2480" s="4" t="str">
        <f t="shared" si="2"/>
        <v>C</v>
      </c>
    </row>
    <row r="2481">
      <c r="A2481" s="2">
        <v>2480.0</v>
      </c>
      <c r="B2481" s="2">
        <v>23121.0</v>
      </c>
      <c r="C2481" s="2" t="s">
        <v>2835</v>
      </c>
      <c r="D2481" s="2">
        <v>0.42</v>
      </c>
      <c r="E2481" s="2">
        <v>1253.0</v>
      </c>
      <c r="F2481" s="2">
        <v>501.27</v>
      </c>
      <c r="G2481" s="4">
        <f t="shared" si="3"/>
        <v>9148452.91</v>
      </c>
      <c r="H2481" s="4">
        <f t="shared" si="1"/>
        <v>0.9585134369</v>
      </c>
      <c r="I2481" s="4" t="str">
        <f t="shared" si="2"/>
        <v>C</v>
      </c>
    </row>
    <row r="2482">
      <c r="A2482" s="2">
        <v>2481.0</v>
      </c>
      <c r="B2482" s="2">
        <v>23281.0</v>
      </c>
      <c r="C2482" s="2" t="s">
        <v>2836</v>
      </c>
      <c r="D2482" s="2">
        <v>0.83</v>
      </c>
      <c r="E2482" s="2">
        <v>640.0</v>
      </c>
      <c r="F2482" s="2">
        <v>500.41</v>
      </c>
      <c r="G2482" s="4">
        <f t="shared" si="3"/>
        <v>9148953.32</v>
      </c>
      <c r="H2482" s="4">
        <f t="shared" si="1"/>
        <v>0.9585658665</v>
      </c>
      <c r="I2482" s="4" t="str">
        <f t="shared" si="2"/>
        <v>C</v>
      </c>
    </row>
    <row r="2483">
      <c r="A2483" s="2">
        <v>2482.0</v>
      </c>
      <c r="B2483" s="2">
        <v>20730.0</v>
      </c>
      <c r="C2483" s="2" t="s">
        <v>2837</v>
      </c>
      <c r="D2483" s="2">
        <v>0.87</v>
      </c>
      <c r="E2483" s="2">
        <v>1104.0</v>
      </c>
      <c r="F2483" s="2">
        <v>499.6</v>
      </c>
      <c r="G2483" s="4">
        <f t="shared" si="3"/>
        <v>9149452.92</v>
      </c>
      <c r="H2483" s="4">
        <f t="shared" si="1"/>
        <v>0.9586182112</v>
      </c>
      <c r="I2483" s="4" t="str">
        <f t="shared" si="2"/>
        <v>C</v>
      </c>
    </row>
    <row r="2484">
      <c r="A2484" s="2">
        <v>2483.0</v>
      </c>
      <c r="B2484" s="2">
        <v>23533.0</v>
      </c>
      <c r="C2484" s="2" t="s">
        <v>2838</v>
      </c>
      <c r="D2484" s="2">
        <v>5.95</v>
      </c>
      <c r="E2484" s="2">
        <v>108.0</v>
      </c>
      <c r="F2484" s="2">
        <v>499.32</v>
      </c>
      <c r="G2484" s="4">
        <f t="shared" si="3"/>
        <v>9149952.24</v>
      </c>
      <c r="H2484" s="4">
        <f t="shared" si="1"/>
        <v>0.9586705266</v>
      </c>
      <c r="I2484" s="4" t="str">
        <f t="shared" si="2"/>
        <v>C</v>
      </c>
    </row>
    <row r="2485">
      <c r="A2485" s="2">
        <v>2484.0</v>
      </c>
      <c r="B2485" s="2">
        <v>21250.0</v>
      </c>
      <c r="C2485" s="2" t="s">
        <v>2839</v>
      </c>
      <c r="D2485" s="2">
        <v>2.95</v>
      </c>
      <c r="E2485" s="2">
        <v>201.0</v>
      </c>
      <c r="F2485" s="2">
        <v>498.78</v>
      </c>
      <c r="G2485" s="4">
        <f t="shared" si="3"/>
        <v>9150451.02</v>
      </c>
      <c r="H2485" s="4">
        <f t="shared" si="1"/>
        <v>0.9587227854</v>
      </c>
      <c r="I2485" s="4" t="str">
        <f t="shared" si="2"/>
        <v>C</v>
      </c>
    </row>
    <row r="2486">
      <c r="A2486" s="2">
        <v>2485.0</v>
      </c>
      <c r="B2486" s="2">
        <v>23517.0</v>
      </c>
      <c r="C2486" s="2" t="s">
        <v>2840</v>
      </c>
      <c r="D2486" s="2">
        <v>2.89</v>
      </c>
      <c r="E2486" s="2">
        <v>167.0</v>
      </c>
      <c r="F2486" s="2">
        <v>498.19</v>
      </c>
      <c r="G2486" s="4">
        <f t="shared" si="3"/>
        <v>9150949.21</v>
      </c>
      <c r="H2486" s="4">
        <f t="shared" si="1"/>
        <v>0.9587749824</v>
      </c>
      <c r="I2486" s="4" t="str">
        <f t="shared" si="2"/>
        <v>C</v>
      </c>
    </row>
    <row r="2487">
      <c r="A2487" s="2">
        <v>2486.0</v>
      </c>
      <c r="B2487" s="2">
        <v>20705.0</v>
      </c>
      <c r="C2487" s="2" t="s">
        <v>2841</v>
      </c>
      <c r="D2487" s="2">
        <v>6.95</v>
      </c>
      <c r="E2487" s="2">
        <v>136.0</v>
      </c>
      <c r="F2487" s="2">
        <v>498.1</v>
      </c>
      <c r="G2487" s="4">
        <f t="shared" si="3"/>
        <v>9151447.31</v>
      </c>
      <c r="H2487" s="4">
        <f t="shared" si="1"/>
        <v>0.95882717</v>
      </c>
      <c r="I2487" s="4" t="str">
        <f t="shared" si="2"/>
        <v>C</v>
      </c>
    </row>
    <row r="2488">
      <c r="A2488" s="2">
        <v>2487.0</v>
      </c>
      <c r="B2488" s="2">
        <v>72586.0</v>
      </c>
      <c r="C2488" s="2" t="s">
        <v>2842</v>
      </c>
      <c r="D2488" s="2">
        <v>0.42</v>
      </c>
      <c r="E2488" s="2">
        <v>1134.0</v>
      </c>
      <c r="F2488" s="2">
        <v>497.91</v>
      </c>
      <c r="G2488" s="4">
        <f t="shared" si="3"/>
        <v>9151945.22</v>
      </c>
      <c r="H2488" s="4">
        <f t="shared" si="1"/>
        <v>0.9588793377</v>
      </c>
      <c r="I2488" s="4" t="str">
        <f t="shared" si="2"/>
        <v>C</v>
      </c>
    </row>
    <row r="2489">
      <c r="A2489" s="2">
        <v>2488.0</v>
      </c>
      <c r="B2489" s="2" t="s">
        <v>2843</v>
      </c>
      <c r="C2489" s="2" t="s">
        <v>2844</v>
      </c>
      <c r="D2489" s="2">
        <v>2.46</v>
      </c>
      <c r="E2489" s="2">
        <v>272.0</v>
      </c>
      <c r="F2489" s="2">
        <v>496.52</v>
      </c>
      <c r="G2489" s="4">
        <f t="shared" si="3"/>
        <v>9152441.74</v>
      </c>
      <c r="H2489" s="4">
        <f t="shared" si="1"/>
        <v>0.9589313597</v>
      </c>
      <c r="I2489" s="4" t="str">
        <f t="shared" si="2"/>
        <v>C</v>
      </c>
    </row>
    <row r="2490">
      <c r="A2490" s="2">
        <v>2489.0</v>
      </c>
      <c r="B2490" s="2">
        <v>20617.0</v>
      </c>
      <c r="C2490" s="2" t="s">
        <v>2845</v>
      </c>
      <c r="D2490" s="2">
        <v>2.1</v>
      </c>
      <c r="E2490" s="2">
        <v>249.0</v>
      </c>
      <c r="F2490" s="2">
        <v>496.5</v>
      </c>
      <c r="G2490" s="4">
        <f t="shared" si="3"/>
        <v>9152938.24</v>
      </c>
      <c r="H2490" s="4">
        <f t="shared" si="1"/>
        <v>0.9589833796</v>
      </c>
      <c r="I2490" s="4" t="str">
        <f t="shared" si="2"/>
        <v>C</v>
      </c>
    </row>
    <row r="2491">
      <c r="A2491" s="2">
        <v>2490.0</v>
      </c>
      <c r="B2491" s="2">
        <v>21836.0</v>
      </c>
      <c r="C2491" s="2" t="s">
        <v>2846</v>
      </c>
      <c r="D2491" s="2">
        <v>3.75</v>
      </c>
      <c r="E2491" s="2">
        <v>123.0</v>
      </c>
      <c r="F2491" s="2">
        <v>496.32</v>
      </c>
      <c r="G2491" s="4">
        <f t="shared" si="3"/>
        <v>9153434.56</v>
      </c>
      <c r="H2491" s="4">
        <f t="shared" si="1"/>
        <v>0.9590353807</v>
      </c>
      <c r="I2491" s="4" t="str">
        <f t="shared" si="2"/>
        <v>C</v>
      </c>
    </row>
    <row r="2492">
      <c r="A2492" s="2">
        <v>2491.0</v>
      </c>
      <c r="B2492" s="2" t="s">
        <v>2847</v>
      </c>
      <c r="C2492" s="2" t="s">
        <v>2848</v>
      </c>
      <c r="D2492" s="2">
        <v>1.65</v>
      </c>
      <c r="E2492" s="2">
        <v>287.0</v>
      </c>
      <c r="F2492" s="2">
        <v>496.0</v>
      </c>
      <c r="G2492" s="4">
        <f t="shared" si="3"/>
        <v>9153930.56</v>
      </c>
      <c r="H2492" s="4">
        <f t="shared" si="1"/>
        <v>0.9590873483</v>
      </c>
      <c r="I2492" s="4" t="str">
        <f t="shared" si="2"/>
        <v>C</v>
      </c>
    </row>
    <row r="2493">
      <c r="A2493" s="2">
        <v>2492.0</v>
      </c>
      <c r="B2493" s="2">
        <v>72484.0</v>
      </c>
      <c r="C2493" s="2" t="s">
        <v>2849</v>
      </c>
      <c r="D2493" s="2">
        <v>1.25</v>
      </c>
      <c r="E2493" s="2">
        <v>909.0</v>
      </c>
      <c r="F2493" s="2">
        <v>495.69</v>
      </c>
      <c r="G2493" s="4">
        <f t="shared" si="3"/>
        <v>9154426.25</v>
      </c>
      <c r="H2493" s="4">
        <f t="shared" si="1"/>
        <v>0.9591392833</v>
      </c>
      <c r="I2493" s="4" t="str">
        <f t="shared" si="2"/>
        <v>C</v>
      </c>
    </row>
    <row r="2494">
      <c r="A2494" s="2">
        <v>2493.0</v>
      </c>
      <c r="B2494" s="2" t="s">
        <v>2850</v>
      </c>
      <c r="C2494" s="2" t="s">
        <v>2851</v>
      </c>
      <c r="D2494" s="2">
        <v>45.0</v>
      </c>
      <c r="E2494" s="2">
        <v>8.0</v>
      </c>
      <c r="F2494" s="2">
        <v>495.0</v>
      </c>
      <c r="G2494" s="4">
        <f t="shared" si="3"/>
        <v>9154921.25</v>
      </c>
      <c r="H2494" s="4">
        <f t="shared" si="1"/>
        <v>0.9591911461</v>
      </c>
      <c r="I2494" s="4" t="str">
        <f t="shared" si="2"/>
        <v>C</v>
      </c>
    </row>
    <row r="2495">
      <c r="A2495" s="2">
        <v>2494.0</v>
      </c>
      <c r="B2495" s="2">
        <v>21721.0</v>
      </c>
      <c r="C2495" s="2" t="s">
        <v>2852</v>
      </c>
      <c r="D2495" s="2">
        <v>0.85</v>
      </c>
      <c r="E2495" s="2">
        <v>544.0</v>
      </c>
      <c r="F2495" s="2">
        <v>494.82</v>
      </c>
      <c r="G2495" s="4">
        <f t="shared" si="3"/>
        <v>9155416.07</v>
      </c>
      <c r="H2495" s="4">
        <f t="shared" si="1"/>
        <v>0.95924299</v>
      </c>
      <c r="I2495" s="4" t="str">
        <f t="shared" si="2"/>
        <v>C</v>
      </c>
    </row>
    <row r="2496">
      <c r="A2496" s="2">
        <v>2495.0</v>
      </c>
      <c r="B2496" s="2" t="s">
        <v>2853</v>
      </c>
      <c r="C2496" s="2" t="s">
        <v>2854</v>
      </c>
      <c r="D2496" s="2">
        <v>3.75</v>
      </c>
      <c r="E2496" s="2">
        <v>362.0</v>
      </c>
      <c r="F2496" s="2">
        <v>493.99</v>
      </c>
      <c r="G2496" s="4">
        <f t="shared" si="3"/>
        <v>9155910.06</v>
      </c>
      <c r="H2496" s="4">
        <f t="shared" si="1"/>
        <v>0.959294747</v>
      </c>
      <c r="I2496" s="4" t="str">
        <f t="shared" si="2"/>
        <v>C</v>
      </c>
    </row>
    <row r="2497">
      <c r="A2497" s="2">
        <v>2496.0</v>
      </c>
      <c r="B2497" s="2">
        <v>23460.0</v>
      </c>
      <c r="C2497" s="2" t="s">
        <v>2855</v>
      </c>
      <c r="D2497" s="2">
        <v>9.95</v>
      </c>
      <c r="E2497" s="2">
        <v>53.0</v>
      </c>
      <c r="F2497" s="2">
        <v>493.59</v>
      </c>
      <c r="G2497" s="4">
        <f t="shared" si="3"/>
        <v>9156403.65</v>
      </c>
      <c r="H2497" s="4">
        <f t="shared" si="1"/>
        <v>0.959346462</v>
      </c>
      <c r="I2497" s="4" t="str">
        <f t="shared" si="2"/>
        <v>C</v>
      </c>
    </row>
    <row r="2498">
      <c r="A2498" s="2">
        <v>2497.0</v>
      </c>
      <c r="B2498" s="2">
        <v>47589.0</v>
      </c>
      <c r="C2498" s="2" t="s">
        <v>2856</v>
      </c>
      <c r="D2498" s="2">
        <v>5.45</v>
      </c>
      <c r="E2498" s="2">
        <v>90.0</v>
      </c>
      <c r="F2498" s="2">
        <v>493.46</v>
      </c>
      <c r="G2498" s="4">
        <f t="shared" si="3"/>
        <v>9156897.11</v>
      </c>
      <c r="H2498" s="4">
        <f t="shared" si="1"/>
        <v>0.9593981635</v>
      </c>
      <c r="I2498" s="4" t="str">
        <f t="shared" si="2"/>
        <v>C</v>
      </c>
    </row>
    <row r="2499">
      <c r="A2499" s="2">
        <v>2498.0</v>
      </c>
      <c r="B2499" s="2" t="s">
        <v>2857</v>
      </c>
      <c r="C2499" s="2" t="s">
        <v>2858</v>
      </c>
      <c r="D2499" s="2">
        <v>1.25</v>
      </c>
      <c r="E2499" s="2">
        <v>448.0</v>
      </c>
      <c r="F2499" s="2">
        <v>493.41</v>
      </c>
      <c r="G2499" s="4">
        <f t="shared" si="3"/>
        <v>9157390.52</v>
      </c>
      <c r="H2499" s="4">
        <f t="shared" si="1"/>
        <v>0.9594498596</v>
      </c>
      <c r="I2499" s="4" t="str">
        <f t="shared" si="2"/>
        <v>C</v>
      </c>
    </row>
    <row r="2500">
      <c r="A2500" s="2">
        <v>2499.0</v>
      </c>
      <c r="B2500" s="2">
        <v>35958.0</v>
      </c>
      <c r="C2500" s="2" t="s">
        <v>2859</v>
      </c>
      <c r="D2500" s="2">
        <v>0.85</v>
      </c>
      <c r="E2500" s="2">
        <v>566.0</v>
      </c>
      <c r="F2500" s="2">
        <v>493.16</v>
      </c>
      <c r="G2500" s="4">
        <f t="shared" si="3"/>
        <v>9157883.68</v>
      </c>
      <c r="H2500" s="4">
        <f t="shared" si="1"/>
        <v>0.9595015296</v>
      </c>
      <c r="I2500" s="4" t="str">
        <f t="shared" si="2"/>
        <v>C</v>
      </c>
    </row>
    <row r="2501">
      <c r="A2501" s="2">
        <v>2500.0</v>
      </c>
      <c r="B2501" s="2">
        <v>22529.0</v>
      </c>
      <c r="C2501" s="2" t="s">
        <v>2860</v>
      </c>
      <c r="D2501" s="2">
        <v>0.42</v>
      </c>
      <c r="E2501" s="2">
        <v>1220.0</v>
      </c>
      <c r="F2501" s="2">
        <v>492.44</v>
      </c>
      <c r="G2501" s="4">
        <f t="shared" si="3"/>
        <v>9158376.12</v>
      </c>
      <c r="H2501" s="4">
        <f t="shared" si="1"/>
        <v>0.9595531242</v>
      </c>
      <c r="I2501" s="4" t="str">
        <f t="shared" si="2"/>
        <v>C</v>
      </c>
    </row>
    <row r="2502">
      <c r="A2502" s="2">
        <v>2501.0</v>
      </c>
      <c r="B2502" s="2">
        <v>84686.0</v>
      </c>
      <c r="C2502" s="2" t="s">
        <v>2861</v>
      </c>
      <c r="D2502" s="2">
        <v>8.47</v>
      </c>
      <c r="E2502" s="2">
        <v>184.0</v>
      </c>
      <c r="F2502" s="2">
        <v>492.2</v>
      </c>
      <c r="G2502" s="4">
        <f t="shared" si="3"/>
        <v>9158868.32</v>
      </c>
      <c r="H2502" s="4">
        <f t="shared" si="1"/>
        <v>0.9596046936</v>
      </c>
      <c r="I2502" s="4" t="str">
        <f t="shared" si="2"/>
        <v>C</v>
      </c>
    </row>
    <row r="2503">
      <c r="A2503" s="2">
        <v>2502.0</v>
      </c>
      <c r="B2503" s="2">
        <v>71279.0</v>
      </c>
      <c r="C2503" s="2" t="s">
        <v>2862</v>
      </c>
      <c r="D2503" s="2">
        <v>2.95</v>
      </c>
      <c r="E2503" s="2">
        <v>148.0</v>
      </c>
      <c r="F2503" s="2">
        <v>491.96</v>
      </c>
      <c r="G2503" s="4">
        <f t="shared" si="3"/>
        <v>9159360.28</v>
      </c>
      <c r="H2503" s="4">
        <f t="shared" si="1"/>
        <v>0.9596562379</v>
      </c>
      <c r="I2503" s="4" t="str">
        <f t="shared" si="2"/>
        <v>C</v>
      </c>
    </row>
    <row r="2504">
      <c r="A2504" s="2">
        <v>2503.0</v>
      </c>
      <c r="B2504" s="2" t="s">
        <v>2863</v>
      </c>
      <c r="C2504" s="2" t="s">
        <v>2864</v>
      </c>
      <c r="D2504" s="2">
        <v>2.46</v>
      </c>
      <c r="E2504" s="2">
        <v>304.0</v>
      </c>
      <c r="F2504" s="2">
        <v>491.72</v>
      </c>
      <c r="G2504" s="4">
        <f t="shared" si="3"/>
        <v>9159852</v>
      </c>
      <c r="H2504" s="4">
        <f t="shared" si="1"/>
        <v>0.959707757</v>
      </c>
      <c r="I2504" s="4" t="str">
        <f t="shared" si="2"/>
        <v>C</v>
      </c>
    </row>
    <row r="2505">
      <c r="A2505" s="2">
        <v>2504.0</v>
      </c>
      <c r="B2505" s="2">
        <v>35653.0</v>
      </c>
      <c r="C2505" s="2" t="s">
        <v>2865</v>
      </c>
      <c r="D2505" s="2">
        <v>2.95</v>
      </c>
      <c r="E2505" s="2">
        <v>156.0</v>
      </c>
      <c r="F2505" s="2">
        <v>491.27</v>
      </c>
      <c r="G2505" s="4">
        <f t="shared" si="3"/>
        <v>9160343.27</v>
      </c>
      <c r="H2505" s="4">
        <f t="shared" si="1"/>
        <v>0.9597592289</v>
      </c>
      <c r="I2505" s="4" t="str">
        <f t="shared" si="2"/>
        <v>C</v>
      </c>
    </row>
    <row r="2506">
      <c r="A2506" s="2">
        <v>2505.0</v>
      </c>
      <c r="B2506" s="2">
        <v>21427.0</v>
      </c>
      <c r="C2506" s="2" t="s">
        <v>2866</v>
      </c>
      <c r="D2506" s="2">
        <v>2.1</v>
      </c>
      <c r="E2506" s="2">
        <v>250.0</v>
      </c>
      <c r="F2506" s="2">
        <v>491.13</v>
      </c>
      <c r="G2506" s="4">
        <f t="shared" si="3"/>
        <v>9160834.4</v>
      </c>
      <c r="H2506" s="4">
        <f t="shared" si="1"/>
        <v>0.9598106862</v>
      </c>
      <c r="I2506" s="4" t="str">
        <f t="shared" si="2"/>
        <v>C</v>
      </c>
    </row>
    <row r="2507">
      <c r="A2507" s="2">
        <v>2506.0</v>
      </c>
      <c r="B2507" s="2">
        <v>84918.0</v>
      </c>
      <c r="C2507" s="2" t="s">
        <v>2867</v>
      </c>
      <c r="D2507" s="2">
        <v>5.91</v>
      </c>
      <c r="E2507" s="2">
        <v>103.0</v>
      </c>
      <c r="F2507" s="2">
        <v>490.61</v>
      </c>
      <c r="G2507" s="4">
        <f t="shared" si="3"/>
        <v>9161325.01</v>
      </c>
      <c r="H2507" s="4">
        <f t="shared" si="1"/>
        <v>0.9598620891</v>
      </c>
      <c r="I2507" s="4" t="str">
        <f t="shared" si="2"/>
        <v>C</v>
      </c>
    </row>
    <row r="2508">
      <c r="A2508" s="2">
        <v>2507.0</v>
      </c>
      <c r="B2508" s="2">
        <v>21691.0</v>
      </c>
      <c r="C2508" s="2" t="s">
        <v>2868</v>
      </c>
      <c r="D2508" s="2">
        <v>3.75</v>
      </c>
      <c r="E2508" s="2">
        <v>127.0</v>
      </c>
      <c r="F2508" s="2">
        <v>489.87</v>
      </c>
      <c r="G2508" s="4">
        <f t="shared" si="3"/>
        <v>9161814.88</v>
      </c>
      <c r="H2508" s="4">
        <f t="shared" si="1"/>
        <v>0.9599134144</v>
      </c>
      <c r="I2508" s="4" t="str">
        <f t="shared" si="2"/>
        <v>C</v>
      </c>
    </row>
    <row r="2509">
      <c r="A2509" s="2">
        <v>2508.0</v>
      </c>
      <c r="B2509" s="2" t="s">
        <v>2869</v>
      </c>
      <c r="C2509" s="2" t="s">
        <v>625</v>
      </c>
      <c r="D2509" s="2">
        <v>8.47</v>
      </c>
      <c r="E2509" s="2">
        <v>60.0</v>
      </c>
      <c r="F2509" s="2">
        <v>489.7</v>
      </c>
      <c r="G2509" s="4">
        <f t="shared" si="3"/>
        <v>9162304.58</v>
      </c>
      <c r="H2509" s="4">
        <f t="shared" si="1"/>
        <v>0.9599647218</v>
      </c>
      <c r="I2509" s="4" t="str">
        <f t="shared" si="2"/>
        <v>C</v>
      </c>
    </row>
    <row r="2510">
      <c r="A2510" s="2">
        <v>2509.0</v>
      </c>
      <c r="B2510" s="2">
        <v>72814.0</v>
      </c>
      <c r="C2510" s="2" t="s">
        <v>2870</v>
      </c>
      <c r="D2510" s="2">
        <v>3.75</v>
      </c>
      <c r="E2510" s="2">
        <v>134.0</v>
      </c>
      <c r="F2510" s="2">
        <v>489.58</v>
      </c>
      <c r="G2510" s="4">
        <f t="shared" si="3"/>
        <v>9162794.16</v>
      </c>
      <c r="H2510" s="4">
        <f t="shared" si="1"/>
        <v>0.9600160167</v>
      </c>
      <c r="I2510" s="4" t="str">
        <f t="shared" si="2"/>
        <v>C</v>
      </c>
    </row>
    <row r="2511">
      <c r="A2511" s="2">
        <v>2510.0</v>
      </c>
      <c r="B2511" s="2" t="s">
        <v>2871</v>
      </c>
      <c r="C2511" s="2" t="s">
        <v>2872</v>
      </c>
      <c r="D2511" s="2">
        <v>2.55</v>
      </c>
      <c r="E2511" s="2">
        <v>395.0</v>
      </c>
      <c r="F2511" s="2">
        <v>488.78</v>
      </c>
      <c r="G2511" s="4">
        <f t="shared" si="3"/>
        <v>9163282.94</v>
      </c>
      <c r="H2511" s="4">
        <f t="shared" si="1"/>
        <v>0.9600672278</v>
      </c>
      <c r="I2511" s="4" t="str">
        <f t="shared" si="2"/>
        <v>C</v>
      </c>
    </row>
    <row r="2512">
      <c r="A2512" s="2">
        <v>2511.0</v>
      </c>
      <c r="B2512" s="2">
        <v>23512.0</v>
      </c>
      <c r="C2512" s="2" t="s">
        <v>2873</v>
      </c>
      <c r="D2512" s="2">
        <v>2.08</v>
      </c>
      <c r="E2512" s="2">
        <v>250.0</v>
      </c>
      <c r="F2512" s="2">
        <v>488.66</v>
      </c>
      <c r="G2512" s="4">
        <f t="shared" si="3"/>
        <v>9163771.6</v>
      </c>
      <c r="H2512" s="4">
        <f t="shared" si="1"/>
        <v>0.9601184263</v>
      </c>
      <c r="I2512" s="4" t="str">
        <f t="shared" si="2"/>
        <v>C</v>
      </c>
    </row>
    <row r="2513">
      <c r="A2513" s="2">
        <v>2512.0</v>
      </c>
      <c r="B2513" s="2">
        <v>21208.0</v>
      </c>
      <c r="C2513" s="2" t="s">
        <v>2874</v>
      </c>
      <c r="D2513" s="2">
        <v>1.65</v>
      </c>
      <c r="E2513" s="2">
        <v>539.0</v>
      </c>
      <c r="F2513" s="2">
        <v>488.46</v>
      </c>
      <c r="G2513" s="4">
        <f t="shared" si="3"/>
        <v>9164260.06</v>
      </c>
      <c r="H2513" s="4">
        <f t="shared" si="1"/>
        <v>0.9601696039</v>
      </c>
      <c r="I2513" s="4" t="str">
        <f t="shared" si="2"/>
        <v>C</v>
      </c>
    </row>
    <row r="2514">
      <c r="A2514" s="2">
        <v>2513.0</v>
      </c>
      <c r="B2514" s="2">
        <v>84907.0</v>
      </c>
      <c r="C2514" s="2" t="s">
        <v>2875</v>
      </c>
      <c r="D2514" s="2">
        <v>5.79</v>
      </c>
      <c r="E2514" s="2">
        <v>194.0</v>
      </c>
      <c r="F2514" s="2">
        <v>488.11</v>
      </c>
      <c r="G2514" s="4">
        <f t="shared" si="3"/>
        <v>9164748.17</v>
      </c>
      <c r="H2514" s="4">
        <f t="shared" si="1"/>
        <v>0.9602207448</v>
      </c>
      <c r="I2514" s="4" t="str">
        <f t="shared" si="2"/>
        <v>C</v>
      </c>
    </row>
    <row r="2515">
      <c r="A2515" s="2">
        <v>2514.0</v>
      </c>
      <c r="B2515" s="2">
        <v>21417.0</v>
      </c>
      <c r="C2515" s="2" t="s">
        <v>2876</v>
      </c>
      <c r="D2515" s="2">
        <v>2.1</v>
      </c>
      <c r="E2515" s="2">
        <v>240.0</v>
      </c>
      <c r="F2515" s="2">
        <v>487.8</v>
      </c>
      <c r="G2515" s="4">
        <f t="shared" si="3"/>
        <v>9165235.97</v>
      </c>
      <c r="H2515" s="4">
        <f t="shared" si="1"/>
        <v>0.9602718532</v>
      </c>
      <c r="I2515" s="4" t="str">
        <f t="shared" si="2"/>
        <v>C</v>
      </c>
    </row>
    <row r="2516">
      <c r="A2516" s="2">
        <v>2515.0</v>
      </c>
      <c r="B2516" s="2" t="s">
        <v>2877</v>
      </c>
      <c r="C2516" s="2" t="s">
        <v>2878</v>
      </c>
      <c r="D2516" s="2">
        <v>5.91</v>
      </c>
      <c r="E2516" s="2">
        <v>134.0</v>
      </c>
      <c r="F2516" s="2">
        <v>487.4</v>
      </c>
      <c r="G2516" s="4">
        <f t="shared" si="3"/>
        <v>9165723.37</v>
      </c>
      <c r="H2516" s="4">
        <f t="shared" si="1"/>
        <v>0.9603229197</v>
      </c>
      <c r="I2516" s="4" t="str">
        <f t="shared" si="2"/>
        <v>C</v>
      </c>
    </row>
    <row r="2517">
      <c r="A2517" s="2">
        <v>2516.0</v>
      </c>
      <c r="B2517" s="2">
        <v>23380.0</v>
      </c>
      <c r="C2517" s="2" t="s">
        <v>2879</v>
      </c>
      <c r="D2517" s="2">
        <v>0.39</v>
      </c>
      <c r="E2517" s="2">
        <v>1160.0</v>
      </c>
      <c r="F2517" s="2">
        <v>487.07</v>
      </c>
      <c r="G2517" s="4">
        <f t="shared" si="3"/>
        <v>9166210.44</v>
      </c>
      <c r="H2517" s="4">
        <f t="shared" si="1"/>
        <v>0.9603739516</v>
      </c>
      <c r="I2517" s="4" t="str">
        <f t="shared" si="2"/>
        <v>C</v>
      </c>
    </row>
    <row r="2518">
      <c r="A2518" s="2">
        <v>2517.0</v>
      </c>
      <c r="B2518" s="2" t="s">
        <v>2880</v>
      </c>
      <c r="C2518" s="2" t="s">
        <v>2881</v>
      </c>
      <c r="D2518" s="2">
        <v>11.02</v>
      </c>
      <c r="E2518" s="2">
        <v>44.0</v>
      </c>
      <c r="F2518" s="2">
        <v>486.68</v>
      </c>
      <c r="G2518" s="4">
        <f t="shared" si="3"/>
        <v>9166697.12</v>
      </c>
      <c r="H2518" s="4">
        <f t="shared" si="1"/>
        <v>0.9604249427</v>
      </c>
      <c r="I2518" s="4" t="str">
        <f t="shared" si="2"/>
        <v>C</v>
      </c>
    </row>
    <row r="2519">
      <c r="A2519" s="2">
        <v>2518.0</v>
      </c>
      <c r="B2519" s="2">
        <v>85189.0</v>
      </c>
      <c r="C2519" s="2" t="s">
        <v>2882</v>
      </c>
      <c r="D2519" s="2">
        <v>0.85</v>
      </c>
      <c r="E2519" s="2">
        <v>590.0</v>
      </c>
      <c r="F2519" s="2">
        <v>485.67</v>
      </c>
      <c r="G2519" s="4">
        <f t="shared" si="3"/>
        <v>9167182.79</v>
      </c>
      <c r="H2519" s="4">
        <f t="shared" si="1"/>
        <v>0.9604758279</v>
      </c>
      <c r="I2519" s="4" t="str">
        <f t="shared" si="2"/>
        <v>C</v>
      </c>
    </row>
    <row r="2520">
      <c r="A2520" s="2">
        <v>2519.0</v>
      </c>
      <c r="B2520" s="2">
        <v>22512.0</v>
      </c>
      <c r="C2520" s="2" t="s">
        <v>2883</v>
      </c>
      <c r="D2520" s="2">
        <v>3.75</v>
      </c>
      <c r="E2520" s="2">
        <v>194.0</v>
      </c>
      <c r="F2520" s="2">
        <v>485.58</v>
      </c>
      <c r="G2520" s="4">
        <f t="shared" si="3"/>
        <v>9167668.37</v>
      </c>
      <c r="H2520" s="4">
        <f t="shared" si="1"/>
        <v>0.9605267037</v>
      </c>
      <c r="I2520" s="4" t="str">
        <f t="shared" si="2"/>
        <v>C</v>
      </c>
    </row>
    <row r="2521">
      <c r="A2521" s="2">
        <v>2520.0</v>
      </c>
      <c r="B2521" s="2">
        <v>78124.0</v>
      </c>
      <c r="C2521" s="2" t="s">
        <v>2884</v>
      </c>
      <c r="D2521" s="2">
        <v>1.25</v>
      </c>
      <c r="E2521" s="2">
        <v>366.0</v>
      </c>
      <c r="F2521" s="2">
        <v>485.43</v>
      </c>
      <c r="G2521" s="4">
        <f t="shared" si="3"/>
        <v>9168153.8</v>
      </c>
      <c r="H2521" s="4">
        <f t="shared" si="1"/>
        <v>0.9605775638</v>
      </c>
      <c r="I2521" s="4" t="str">
        <f t="shared" si="2"/>
        <v>C</v>
      </c>
    </row>
    <row r="2522">
      <c r="A2522" s="2">
        <v>2521.0</v>
      </c>
      <c r="B2522" s="2">
        <v>21562.0</v>
      </c>
      <c r="C2522" s="2" t="s">
        <v>2885</v>
      </c>
      <c r="D2522" s="2">
        <v>1.25</v>
      </c>
      <c r="E2522" s="2">
        <v>339.0</v>
      </c>
      <c r="F2522" s="2">
        <v>485.14</v>
      </c>
      <c r="G2522" s="4">
        <f t="shared" si="3"/>
        <v>9168638.94</v>
      </c>
      <c r="H2522" s="4">
        <f t="shared" si="1"/>
        <v>0.9606283935</v>
      </c>
      <c r="I2522" s="4" t="str">
        <f t="shared" si="2"/>
        <v>C</v>
      </c>
    </row>
    <row r="2523">
      <c r="A2523" s="2">
        <v>2522.0</v>
      </c>
      <c r="B2523" s="2">
        <v>21303.0</v>
      </c>
      <c r="C2523" s="2" t="s">
        <v>2886</v>
      </c>
      <c r="D2523" s="2">
        <v>16.95</v>
      </c>
      <c r="E2523" s="2">
        <v>48.0</v>
      </c>
      <c r="F2523" s="2">
        <v>484.3</v>
      </c>
      <c r="G2523" s="4">
        <f t="shared" si="3"/>
        <v>9169123.24</v>
      </c>
      <c r="H2523" s="4">
        <f t="shared" si="1"/>
        <v>0.9606791352</v>
      </c>
      <c r="I2523" s="4" t="str">
        <f t="shared" si="2"/>
        <v>C</v>
      </c>
    </row>
    <row r="2524">
      <c r="A2524" s="2">
        <v>2523.0</v>
      </c>
      <c r="B2524" s="2">
        <v>22104.0</v>
      </c>
      <c r="C2524" s="2" t="s">
        <v>2887</v>
      </c>
      <c r="D2524" s="2">
        <v>1.63</v>
      </c>
      <c r="E2524" s="2">
        <v>594.0</v>
      </c>
      <c r="F2524" s="2">
        <v>484.04</v>
      </c>
      <c r="G2524" s="4">
        <f t="shared" si="3"/>
        <v>9169607.28</v>
      </c>
      <c r="H2524" s="4">
        <f t="shared" si="1"/>
        <v>0.9607298497</v>
      </c>
      <c r="I2524" s="4" t="str">
        <f t="shared" si="2"/>
        <v>C</v>
      </c>
    </row>
    <row r="2525">
      <c r="A2525" s="2">
        <v>2524.0</v>
      </c>
      <c r="B2525" s="2">
        <v>20782.0</v>
      </c>
      <c r="C2525" s="2" t="s">
        <v>2888</v>
      </c>
      <c r="D2525" s="2">
        <v>5.49</v>
      </c>
      <c r="E2525" s="2">
        <v>75.0</v>
      </c>
      <c r="F2525" s="2">
        <v>484.02</v>
      </c>
      <c r="G2525" s="4">
        <f t="shared" si="3"/>
        <v>9170091.3</v>
      </c>
      <c r="H2525" s="4">
        <f t="shared" si="1"/>
        <v>0.960780562</v>
      </c>
      <c r="I2525" s="4" t="str">
        <f t="shared" si="2"/>
        <v>C</v>
      </c>
    </row>
    <row r="2526">
      <c r="A2526" s="2">
        <v>2525.0</v>
      </c>
      <c r="B2526" s="2">
        <v>85197.0</v>
      </c>
      <c r="C2526" s="2" t="s">
        <v>2889</v>
      </c>
      <c r="D2526" s="2">
        <v>2.1</v>
      </c>
      <c r="E2526" s="2">
        <v>836.0</v>
      </c>
      <c r="F2526" s="2">
        <v>483.93</v>
      </c>
      <c r="G2526" s="4">
        <f t="shared" si="3"/>
        <v>9170575.23</v>
      </c>
      <c r="H2526" s="4">
        <f t="shared" si="1"/>
        <v>0.960831265</v>
      </c>
      <c r="I2526" s="4" t="str">
        <f t="shared" si="2"/>
        <v>C</v>
      </c>
    </row>
    <row r="2527">
      <c r="A2527" s="2">
        <v>2526.0</v>
      </c>
      <c r="B2527" s="2">
        <v>23518.0</v>
      </c>
      <c r="C2527" s="2" t="s">
        <v>2890</v>
      </c>
      <c r="D2527" s="2">
        <v>2.89</v>
      </c>
      <c r="E2527" s="2">
        <v>178.0</v>
      </c>
      <c r="F2527" s="2">
        <v>482.98</v>
      </c>
      <c r="G2527" s="4">
        <f t="shared" si="3"/>
        <v>9171058.21</v>
      </c>
      <c r="H2527" s="4">
        <f t="shared" si="1"/>
        <v>0.9608818684</v>
      </c>
      <c r="I2527" s="4" t="str">
        <f t="shared" si="2"/>
        <v>C</v>
      </c>
    </row>
    <row r="2528">
      <c r="A2528" s="2">
        <v>2527.0</v>
      </c>
      <c r="B2528" s="2">
        <v>23514.0</v>
      </c>
      <c r="C2528" s="2" t="s">
        <v>2891</v>
      </c>
      <c r="D2528" s="2">
        <v>2.08</v>
      </c>
      <c r="E2528" s="2">
        <v>236.0</v>
      </c>
      <c r="F2528" s="2">
        <v>482.46</v>
      </c>
      <c r="G2528" s="4">
        <f t="shared" si="3"/>
        <v>9171540.67</v>
      </c>
      <c r="H2528" s="4">
        <f t="shared" si="1"/>
        <v>0.9609324173</v>
      </c>
      <c r="I2528" s="4" t="str">
        <f t="shared" si="2"/>
        <v>C</v>
      </c>
    </row>
    <row r="2529">
      <c r="A2529" s="2">
        <v>2528.0</v>
      </c>
      <c r="B2529" s="2">
        <v>20830.0</v>
      </c>
      <c r="C2529" s="2" t="s">
        <v>2892</v>
      </c>
      <c r="D2529" s="2">
        <v>2.1</v>
      </c>
      <c r="E2529" s="2">
        <v>204.0</v>
      </c>
      <c r="F2529" s="2">
        <v>482.3</v>
      </c>
      <c r="G2529" s="4">
        <f t="shared" si="3"/>
        <v>9172022.97</v>
      </c>
      <c r="H2529" s="4">
        <f t="shared" si="1"/>
        <v>0.9609829494</v>
      </c>
      <c r="I2529" s="4" t="str">
        <f t="shared" si="2"/>
        <v>C</v>
      </c>
    </row>
    <row r="2530">
      <c r="A2530" s="2">
        <v>2529.0</v>
      </c>
      <c r="B2530" s="2">
        <v>20773.0</v>
      </c>
      <c r="C2530" s="2" t="s">
        <v>2893</v>
      </c>
      <c r="D2530" s="2">
        <v>1.65</v>
      </c>
      <c r="E2530" s="2">
        <v>1670.0</v>
      </c>
      <c r="F2530" s="2">
        <v>481.99</v>
      </c>
      <c r="G2530" s="4">
        <f t="shared" si="3"/>
        <v>9172504.96</v>
      </c>
      <c r="H2530" s="4">
        <f t="shared" si="1"/>
        <v>0.9610334491</v>
      </c>
      <c r="I2530" s="4" t="str">
        <f t="shared" si="2"/>
        <v>C</v>
      </c>
    </row>
    <row r="2531">
      <c r="A2531" s="2">
        <v>2530.0</v>
      </c>
      <c r="B2531" s="2">
        <v>22108.0</v>
      </c>
      <c r="C2531" s="2" t="s">
        <v>2894</v>
      </c>
      <c r="D2531" s="2">
        <v>3.36</v>
      </c>
      <c r="E2531" s="2">
        <v>154.0</v>
      </c>
      <c r="F2531" s="2">
        <v>481.87</v>
      </c>
      <c r="G2531" s="4">
        <f t="shared" si="3"/>
        <v>9172986.83</v>
      </c>
      <c r="H2531" s="4">
        <f t="shared" si="1"/>
        <v>0.9610839362</v>
      </c>
      <c r="I2531" s="4" t="str">
        <f t="shared" si="2"/>
        <v>C</v>
      </c>
    </row>
    <row r="2532">
      <c r="A2532" s="2">
        <v>2531.0</v>
      </c>
      <c r="B2532" s="2">
        <v>20774.0</v>
      </c>
      <c r="C2532" s="2" t="s">
        <v>2895</v>
      </c>
      <c r="D2532" s="2">
        <v>1.65</v>
      </c>
      <c r="E2532" s="2">
        <v>1742.0</v>
      </c>
      <c r="F2532" s="2">
        <v>481.24</v>
      </c>
      <c r="G2532" s="4">
        <f t="shared" si="3"/>
        <v>9173468.07</v>
      </c>
      <c r="H2532" s="4">
        <f t="shared" si="1"/>
        <v>0.9611343573</v>
      </c>
      <c r="I2532" s="4" t="str">
        <f t="shared" si="2"/>
        <v>C</v>
      </c>
    </row>
    <row r="2533">
      <c r="A2533" s="2">
        <v>2532.0</v>
      </c>
      <c r="B2533" s="2" t="s">
        <v>2896</v>
      </c>
      <c r="C2533" s="2" t="s">
        <v>2897</v>
      </c>
      <c r="D2533" s="2">
        <v>1.65</v>
      </c>
      <c r="E2533" s="2">
        <v>395.0</v>
      </c>
      <c r="F2533" s="2">
        <v>481.08</v>
      </c>
      <c r="G2533" s="4">
        <f t="shared" si="3"/>
        <v>9173949.15</v>
      </c>
      <c r="H2533" s="4">
        <f t="shared" si="1"/>
        <v>0.9611847616</v>
      </c>
      <c r="I2533" s="4" t="str">
        <f t="shared" si="2"/>
        <v>C</v>
      </c>
    </row>
    <row r="2534">
      <c r="A2534" s="2">
        <v>2533.0</v>
      </c>
      <c r="B2534" s="2" t="s">
        <v>2898</v>
      </c>
      <c r="C2534" s="2" t="s">
        <v>2899</v>
      </c>
      <c r="D2534" s="2">
        <v>0.65</v>
      </c>
      <c r="E2534" s="2">
        <v>497.0</v>
      </c>
      <c r="F2534" s="2">
        <v>480.57</v>
      </c>
      <c r="G2534" s="4">
        <f t="shared" si="3"/>
        <v>9174429.72</v>
      </c>
      <c r="H2534" s="4">
        <f t="shared" si="1"/>
        <v>0.9612351125</v>
      </c>
      <c r="I2534" s="4" t="str">
        <f t="shared" si="2"/>
        <v>C</v>
      </c>
    </row>
    <row r="2535">
      <c r="A2535" s="2">
        <v>2534.0</v>
      </c>
      <c r="B2535" s="2">
        <v>21636.0</v>
      </c>
      <c r="C2535" s="2" t="s">
        <v>2900</v>
      </c>
      <c r="D2535" s="2">
        <v>0.75</v>
      </c>
      <c r="E2535" s="2">
        <v>504.0</v>
      </c>
      <c r="F2535" s="2">
        <v>479.82</v>
      </c>
      <c r="G2535" s="4">
        <f t="shared" si="3"/>
        <v>9174909.54</v>
      </c>
      <c r="H2535" s="4">
        <f t="shared" si="1"/>
        <v>0.9612853849</v>
      </c>
      <c r="I2535" s="4" t="str">
        <f t="shared" si="2"/>
        <v>C</v>
      </c>
    </row>
    <row r="2536">
      <c r="A2536" s="2">
        <v>2535.0</v>
      </c>
      <c r="B2536" s="2" t="s">
        <v>2901</v>
      </c>
      <c r="C2536" s="2" t="s">
        <v>2902</v>
      </c>
      <c r="D2536" s="2">
        <v>2.1</v>
      </c>
      <c r="E2536" s="2">
        <v>222.0</v>
      </c>
      <c r="F2536" s="2">
        <v>478.86</v>
      </c>
      <c r="G2536" s="4">
        <f t="shared" si="3"/>
        <v>9175388.4</v>
      </c>
      <c r="H2536" s="4">
        <f t="shared" si="1"/>
        <v>0.9613355566</v>
      </c>
      <c r="I2536" s="4" t="str">
        <f t="shared" si="2"/>
        <v>C</v>
      </c>
    </row>
    <row r="2537">
      <c r="A2537" s="2">
        <v>2536.0</v>
      </c>
      <c r="B2537" s="2">
        <v>21805.0</v>
      </c>
      <c r="C2537" s="2" t="s">
        <v>2903</v>
      </c>
      <c r="D2537" s="2">
        <v>0.42</v>
      </c>
      <c r="E2537" s="2">
        <v>1110.0</v>
      </c>
      <c r="F2537" s="2">
        <v>478.82</v>
      </c>
      <c r="G2537" s="4">
        <f t="shared" si="3"/>
        <v>9175867.22</v>
      </c>
      <c r="H2537" s="4">
        <f t="shared" si="1"/>
        <v>0.9613857241</v>
      </c>
      <c r="I2537" s="4" t="str">
        <f t="shared" si="2"/>
        <v>C</v>
      </c>
    </row>
    <row r="2538">
      <c r="A2538" s="2">
        <v>2537.0</v>
      </c>
      <c r="B2538" s="2">
        <v>84360.0</v>
      </c>
      <c r="C2538" s="2" t="s">
        <v>2904</v>
      </c>
      <c r="D2538" s="2">
        <v>5.95</v>
      </c>
      <c r="E2538" s="2">
        <v>90.0</v>
      </c>
      <c r="F2538" s="2">
        <v>478.45</v>
      </c>
      <c r="G2538" s="4">
        <f t="shared" si="3"/>
        <v>9176345.67</v>
      </c>
      <c r="H2538" s="4">
        <f t="shared" si="1"/>
        <v>0.9614358529</v>
      </c>
      <c r="I2538" s="4" t="str">
        <f t="shared" si="2"/>
        <v>C</v>
      </c>
    </row>
    <row r="2539">
      <c r="A2539" s="2">
        <v>2538.0</v>
      </c>
      <c r="B2539" s="2">
        <v>21129.0</v>
      </c>
      <c r="C2539" s="2" t="s">
        <v>2905</v>
      </c>
      <c r="D2539" s="2">
        <v>6.95</v>
      </c>
      <c r="E2539" s="2">
        <v>62.0</v>
      </c>
      <c r="F2539" s="2">
        <v>478.2</v>
      </c>
      <c r="G2539" s="4">
        <f t="shared" si="3"/>
        <v>9176823.87</v>
      </c>
      <c r="H2539" s="4">
        <f t="shared" si="1"/>
        <v>0.9614859555</v>
      </c>
      <c r="I2539" s="4" t="str">
        <f t="shared" si="2"/>
        <v>C</v>
      </c>
    </row>
    <row r="2540">
      <c r="A2540" s="2">
        <v>2539.0</v>
      </c>
      <c r="B2540" s="2">
        <v>20758.0</v>
      </c>
      <c r="C2540" s="2" t="s">
        <v>2906</v>
      </c>
      <c r="D2540" s="2">
        <v>0.85</v>
      </c>
      <c r="E2540" s="2">
        <v>2714.0</v>
      </c>
      <c r="F2540" s="2">
        <v>477.98</v>
      </c>
      <c r="G2540" s="4">
        <f t="shared" si="3"/>
        <v>9177301.85</v>
      </c>
      <c r="H2540" s="4">
        <f t="shared" si="1"/>
        <v>0.961536035</v>
      </c>
      <c r="I2540" s="4" t="str">
        <f t="shared" si="2"/>
        <v>C</v>
      </c>
    </row>
    <row r="2541">
      <c r="A2541" s="2">
        <v>2540.0</v>
      </c>
      <c r="B2541" s="2">
        <v>20878.0</v>
      </c>
      <c r="C2541" s="2" t="s">
        <v>2907</v>
      </c>
      <c r="D2541" s="2">
        <v>1.25</v>
      </c>
      <c r="E2541" s="2">
        <v>370.0</v>
      </c>
      <c r="F2541" s="2">
        <v>477.5</v>
      </c>
      <c r="G2541" s="4">
        <f t="shared" si="3"/>
        <v>9177779.35</v>
      </c>
      <c r="H2541" s="4">
        <f t="shared" si="1"/>
        <v>0.9615860643</v>
      </c>
      <c r="I2541" s="4" t="str">
        <f t="shared" si="2"/>
        <v>C</v>
      </c>
    </row>
    <row r="2542">
      <c r="A2542" s="2">
        <v>2541.0</v>
      </c>
      <c r="B2542" s="2">
        <v>21299.0</v>
      </c>
      <c r="C2542" s="2" t="s">
        <v>2908</v>
      </c>
      <c r="D2542" s="2">
        <v>12.75</v>
      </c>
      <c r="E2542" s="2">
        <v>82.0</v>
      </c>
      <c r="F2542" s="2">
        <v>476.8</v>
      </c>
      <c r="G2542" s="4">
        <f t="shared" si="3"/>
        <v>9178256.15</v>
      </c>
      <c r="H2542" s="4">
        <f t="shared" si="1"/>
        <v>0.9616360202</v>
      </c>
      <c r="I2542" s="4" t="str">
        <f t="shared" si="2"/>
        <v>C</v>
      </c>
    </row>
    <row r="2543">
      <c r="A2543" s="2">
        <v>2542.0</v>
      </c>
      <c r="B2543" s="2" t="s">
        <v>2909</v>
      </c>
      <c r="C2543" s="2" t="s">
        <v>2910</v>
      </c>
      <c r="D2543" s="2">
        <v>2.46</v>
      </c>
      <c r="E2543" s="2">
        <v>428.0</v>
      </c>
      <c r="F2543" s="2">
        <v>476.48</v>
      </c>
      <c r="G2543" s="4">
        <f t="shared" si="3"/>
        <v>9178732.63</v>
      </c>
      <c r="H2543" s="4">
        <f t="shared" si="1"/>
        <v>0.9616859425</v>
      </c>
      <c r="I2543" s="4" t="str">
        <f t="shared" si="2"/>
        <v>C</v>
      </c>
    </row>
    <row r="2544">
      <c r="A2544" s="2">
        <v>2543.0</v>
      </c>
      <c r="B2544" s="2">
        <v>21060.0</v>
      </c>
      <c r="C2544" s="2" t="s">
        <v>2911</v>
      </c>
      <c r="D2544" s="2">
        <v>0.85</v>
      </c>
      <c r="E2544" s="2">
        <v>638.0</v>
      </c>
      <c r="F2544" s="2">
        <v>476.28</v>
      </c>
      <c r="G2544" s="4">
        <f t="shared" si="3"/>
        <v>9179208.91</v>
      </c>
      <c r="H2544" s="4">
        <f t="shared" si="1"/>
        <v>0.961735844</v>
      </c>
      <c r="I2544" s="4" t="str">
        <f t="shared" si="2"/>
        <v>C</v>
      </c>
    </row>
    <row r="2545">
      <c r="A2545" s="2">
        <v>2544.0</v>
      </c>
      <c r="B2545" s="2" t="s">
        <v>2912</v>
      </c>
      <c r="C2545" s="2" t="s">
        <v>2913</v>
      </c>
      <c r="D2545" s="2">
        <v>1.25</v>
      </c>
      <c r="E2545" s="2">
        <v>347.0</v>
      </c>
      <c r="F2545" s="2">
        <v>476.24</v>
      </c>
      <c r="G2545" s="4">
        <f t="shared" si="3"/>
        <v>9179685.15</v>
      </c>
      <c r="H2545" s="4">
        <f t="shared" si="1"/>
        <v>0.9617857412</v>
      </c>
      <c r="I2545" s="4" t="str">
        <f t="shared" si="2"/>
        <v>C</v>
      </c>
    </row>
    <row r="2546">
      <c r="A2546" s="2">
        <v>2545.0</v>
      </c>
      <c r="B2546" s="2" t="s">
        <v>2914</v>
      </c>
      <c r="C2546" s="2" t="s">
        <v>2915</v>
      </c>
      <c r="D2546" s="2">
        <v>2.95</v>
      </c>
      <c r="E2546" s="2">
        <v>364.0</v>
      </c>
      <c r="F2546" s="2">
        <v>475.32</v>
      </c>
      <c r="G2546" s="4">
        <f t="shared" si="3"/>
        <v>9180160.47</v>
      </c>
      <c r="H2546" s="4">
        <f t="shared" si="1"/>
        <v>0.961835542</v>
      </c>
      <c r="I2546" s="4" t="str">
        <f t="shared" si="2"/>
        <v>C</v>
      </c>
    </row>
    <row r="2547">
      <c r="A2547" s="2">
        <v>2546.0</v>
      </c>
      <c r="B2547" s="2">
        <v>22953.0</v>
      </c>
      <c r="C2547" s="2" t="s">
        <v>2916</v>
      </c>
      <c r="D2547" s="2">
        <v>1.25</v>
      </c>
      <c r="E2547" s="2">
        <v>380.0</v>
      </c>
      <c r="F2547" s="2">
        <v>474.9</v>
      </c>
      <c r="G2547" s="4">
        <f t="shared" si="3"/>
        <v>9180635.37</v>
      </c>
      <c r="H2547" s="4">
        <f t="shared" si="1"/>
        <v>0.9618852989</v>
      </c>
      <c r="I2547" s="4" t="str">
        <f t="shared" si="2"/>
        <v>C</v>
      </c>
    </row>
    <row r="2548">
      <c r="A2548" s="2">
        <v>2547.0</v>
      </c>
      <c r="B2548" s="2">
        <v>22994.0</v>
      </c>
      <c r="C2548" s="2" t="s">
        <v>2917</v>
      </c>
      <c r="D2548" s="2">
        <v>0.42</v>
      </c>
      <c r="E2548" s="2">
        <v>1086.0</v>
      </c>
      <c r="F2548" s="2">
        <v>474.06</v>
      </c>
      <c r="G2548" s="4">
        <f t="shared" si="3"/>
        <v>9181109.43</v>
      </c>
      <c r="H2548" s="4">
        <f t="shared" si="1"/>
        <v>0.9619349677</v>
      </c>
      <c r="I2548" s="4" t="str">
        <f t="shared" si="2"/>
        <v>C</v>
      </c>
    </row>
    <row r="2549">
      <c r="A2549" s="2">
        <v>2548.0</v>
      </c>
      <c r="B2549" s="2">
        <v>22143.0</v>
      </c>
      <c r="C2549" s="2" t="s">
        <v>2918</v>
      </c>
      <c r="D2549" s="2">
        <v>2.1</v>
      </c>
      <c r="E2549" s="2">
        <v>224.0</v>
      </c>
      <c r="F2549" s="2">
        <v>473.54</v>
      </c>
      <c r="G2549" s="4">
        <f t="shared" si="3"/>
        <v>9181582.97</v>
      </c>
      <c r="H2549" s="4">
        <f t="shared" si="1"/>
        <v>0.961984582</v>
      </c>
      <c r="I2549" s="4" t="str">
        <f t="shared" si="2"/>
        <v>C</v>
      </c>
    </row>
    <row r="2550">
      <c r="A2550" s="2">
        <v>2549.0</v>
      </c>
      <c r="B2550" s="2">
        <v>23540.0</v>
      </c>
      <c r="C2550" s="2" t="s">
        <v>2919</v>
      </c>
      <c r="D2550" s="2">
        <v>6.95</v>
      </c>
      <c r="E2550" s="2">
        <v>75.0</v>
      </c>
      <c r="F2550" s="2">
        <v>473.53</v>
      </c>
      <c r="G2550" s="4">
        <f t="shared" si="3"/>
        <v>9182056.5</v>
      </c>
      <c r="H2550" s="4">
        <f t="shared" si="1"/>
        <v>0.9620341953</v>
      </c>
      <c r="I2550" s="4" t="str">
        <f t="shared" si="2"/>
        <v>C</v>
      </c>
    </row>
    <row r="2551">
      <c r="A2551" s="2">
        <v>2550.0</v>
      </c>
      <c r="B2551" s="2">
        <v>21641.0</v>
      </c>
      <c r="C2551" s="2" t="s">
        <v>2920</v>
      </c>
      <c r="D2551" s="2">
        <v>1.63</v>
      </c>
      <c r="E2551" s="2">
        <v>833.0</v>
      </c>
      <c r="F2551" s="2">
        <v>473.16</v>
      </c>
      <c r="G2551" s="4">
        <f t="shared" si="3"/>
        <v>9182529.66</v>
      </c>
      <c r="H2551" s="4">
        <f t="shared" si="1"/>
        <v>0.9620837698</v>
      </c>
      <c r="I2551" s="4" t="str">
        <f t="shared" si="2"/>
        <v>C</v>
      </c>
    </row>
    <row r="2552">
      <c r="A2552" s="2">
        <v>2551.0</v>
      </c>
      <c r="B2552" s="2">
        <v>21335.0</v>
      </c>
      <c r="C2552" s="2" t="s">
        <v>2921</v>
      </c>
      <c r="D2552" s="2">
        <v>21.95</v>
      </c>
      <c r="E2552" s="2">
        <v>20.0</v>
      </c>
      <c r="F2552" s="2">
        <v>472.86</v>
      </c>
      <c r="G2552" s="4">
        <f t="shared" si="3"/>
        <v>9183002.52</v>
      </c>
      <c r="H2552" s="4">
        <f t="shared" si="1"/>
        <v>0.9621333129</v>
      </c>
      <c r="I2552" s="4" t="str">
        <f t="shared" si="2"/>
        <v>C</v>
      </c>
    </row>
    <row r="2553">
      <c r="A2553" s="2">
        <v>2552.0</v>
      </c>
      <c r="B2553" s="2">
        <v>23183.0</v>
      </c>
      <c r="C2553" s="2" t="s">
        <v>2922</v>
      </c>
      <c r="D2553" s="2">
        <v>3.75</v>
      </c>
      <c r="E2553" s="2">
        <v>110.0</v>
      </c>
      <c r="F2553" s="2">
        <v>472.34</v>
      </c>
      <c r="G2553" s="4">
        <f t="shared" si="3"/>
        <v>9183474.86</v>
      </c>
      <c r="H2553" s="4">
        <f t="shared" si="1"/>
        <v>0.9621828015</v>
      </c>
      <c r="I2553" s="4" t="str">
        <f t="shared" si="2"/>
        <v>C</v>
      </c>
    </row>
    <row r="2554">
      <c r="A2554" s="2">
        <v>2553.0</v>
      </c>
      <c r="B2554" s="2">
        <v>20778.0</v>
      </c>
      <c r="C2554" s="2" t="s">
        <v>2923</v>
      </c>
      <c r="D2554" s="2">
        <v>1.65</v>
      </c>
      <c r="E2554" s="2">
        <v>1806.0</v>
      </c>
      <c r="F2554" s="2">
        <v>472.18</v>
      </c>
      <c r="G2554" s="4">
        <f t="shared" si="3"/>
        <v>9183947.04</v>
      </c>
      <c r="H2554" s="4">
        <f t="shared" si="1"/>
        <v>0.9622322734</v>
      </c>
      <c r="I2554" s="4" t="str">
        <f t="shared" si="2"/>
        <v>C</v>
      </c>
    </row>
    <row r="2555">
      <c r="A2555" s="2">
        <v>2554.0</v>
      </c>
      <c r="B2555" s="2" t="s">
        <v>2924</v>
      </c>
      <c r="C2555" s="2" t="s">
        <v>2925</v>
      </c>
      <c r="D2555" s="2">
        <v>3.36</v>
      </c>
      <c r="E2555" s="2">
        <v>238.0</v>
      </c>
      <c r="F2555" s="2">
        <v>471.72</v>
      </c>
      <c r="G2555" s="4">
        <f t="shared" si="3"/>
        <v>9184418.76</v>
      </c>
      <c r="H2555" s="4">
        <f t="shared" si="1"/>
        <v>0.962281697</v>
      </c>
      <c r="I2555" s="4" t="str">
        <f t="shared" si="2"/>
        <v>C</v>
      </c>
    </row>
    <row r="2556">
      <c r="A2556" s="2">
        <v>2555.0</v>
      </c>
      <c r="B2556" s="2">
        <v>20998.0</v>
      </c>
      <c r="C2556" s="2" t="s">
        <v>2926</v>
      </c>
      <c r="D2556" s="2">
        <v>2.95</v>
      </c>
      <c r="E2556" s="2">
        <v>162.0</v>
      </c>
      <c r="F2556" s="2">
        <v>471.13</v>
      </c>
      <c r="G2556" s="4">
        <f t="shared" si="3"/>
        <v>9184889.89</v>
      </c>
      <c r="H2556" s="4">
        <f t="shared" si="1"/>
        <v>0.9623310589</v>
      </c>
      <c r="I2556" s="4" t="str">
        <f t="shared" si="2"/>
        <v>C</v>
      </c>
    </row>
    <row r="2557">
      <c r="A2557" s="2">
        <v>2556.0</v>
      </c>
      <c r="B2557" s="2">
        <v>23178.0</v>
      </c>
      <c r="C2557" s="2" t="s">
        <v>2927</v>
      </c>
      <c r="D2557" s="2">
        <v>2.89</v>
      </c>
      <c r="E2557" s="2">
        <v>164.0</v>
      </c>
      <c r="F2557" s="2">
        <v>470.52</v>
      </c>
      <c r="G2557" s="4">
        <f t="shared" si="3"/>
        <v>9185360.41</v>
      </c>
      <c r="H2557" s="4">
        <f t="shared" si="1"/>
        <v>0.9623803568</v>
      </c>
      <c r="I2557" s="4" t="str">
        <f t="shared" si="2"/>
        <v>C</v>
      </c>
    </row>
    <row r="2558">
      <c r="A2558" s="2">
        <v>2557.0</v>
      </c>
      <c r="B2558" s="2" t="s">
        <v>2928</v>
      </c>
      <c r="C2558" s="2" t="s">
        <v>2929</v>
      </c>
      <c r="D2558" s="2">
        <v>1.63</v>
      </c>
      <c r="E2558" s="2">
        <v>438.0</v>
      </c>
      <c r="F2558" s="2">
        <v>470.04</v>
      </c>
      <c r="G2558" s="4">
        <f t="shared" si="3"/>
        <v>9185830.45</v>
      </c>
      <c r="H2558" s="4">
        <f t="shared" si="1"/>
        <v>0.9624296044</v>
      </c>
      <c r="I2558" s="4" t="str">
        <f t="shared" si="2"/>
        <v>C</v>
      </c>
    </row>
    <row r="2559">
      <c r="A2559" s="2">
        <v>2558.0</v>
      </c>
      <c r="B2559" s="2">
        <v>21726.0</v>
      </c>
      <c r="C2559" s="2" t="s">
        <v>2930</v>
      </c>
      <c r="D2559" s="2">
        <v>0.85</v>
      </c>
      <c r="E2559" s="2">
        <v>542.0</v>
      </c>
      <c r="F2559" s="2">
        <v>468.47</v>
      </c>
      <c r="G2559" s="4">
        <f t="shared" si="3"/>
        <v>9186298.92</v>
      </c>
      <c r="H2559" s="4">
        <f t="shared" si="1"/>
        <v>0.9624786876</v>
      </c>
      <c r="I2559" s="4" t="str">
        <f t="shared" si="2"/>
        <v>C</v>
      </c>
    </row>
    <row r="2560">
      <c r="A2560" s="2">
        <v>2559.0</v>
      </c>
      <c r="B2560" s="2">
        <v>84664.0</v>
      </c>
      <c r="C2560" s="2" t="s">
        <v>2931</v>
      </c>
      <c r="D2560" s="2">
        <v>4.95</v>
      </c>
      <c r="E2560" s="2">
        <v>94.0</v>
      </c>
      <c r="F2560" s="2">
        <v>467.78</v>
      </c>
      <c r="G2560" s="4">
        <f t="shared" si="3"/>
        <v>9186766.7</v>
      </c>
      <c r="H2560" s="4">
        <f t="shared" si="1"/>
        <v>0.9625276984</v>
      </c>
      <c r="I2560" s="4" t="str">
        <f t="shared" si="2"/>
        <v>C</v>
      </c>
    </row>
    <row r="2561">
      <c r="A2561" s="2">
        <v>2560.0</v>
      </c>
      <c r="B2561" s="2">
        <v>20775.0</v>
      </c>
      <c r="C2561" s="2" t="s">
        <v>2932</v>
      </c>
      <c r="D2561" s="2">
        <v>1.65</v>
      </c>
      <c r="E2561" s="2">
        <v>1804.0</v>
      </c>
      <c r="F2561" s="2">
        <v>467.4</v>
      </c>
      <c r="G2561" s="4">
        <f t="shared" si="3"/>
        <v>9187234.1</v>
      </c>
      <c r="H2561" s="4">
        <f t="shared" si="1"/>
        <v>0.9625766695</v>
      </c>
      <c r="I2561" s="4" t="str">
        <f t="shared" si="2"/>
        <v>C</v>
      </c>
    </row>
    <row r="2562">
      <c r="A2562" s="2">
        <v>2561.0</v>
      </c>
      <c r="B2562" s="2">
        <v>21331.0</v>
      </c>
      <c r="C2562" s="2" t="s">
        <v>2933</v>
      </c>
      <c r="D2562" s="2">
        <v>12.75</v>
      </c>
      <c r="E2562" s="2">
        <v>54.0</v>
      </c>
      <c r="F2562" s="2">
        <v>466.96</v>
      </c>
      <c r="G2562" s="4">
        <f t="shared" si="3"/>
        <v>9187701.06</v>
      </c>
      <c r="H2562" s="4">
        <f t="shared" si="1"/>
        <v>0.9626255944</v>
      </c>
      <c r="I2562" s="4" t="str">
        <f t="shared" si="2"/>
        <v>C</v>
      </c>
    </row>
    <row r="2563">
      <c r="A2563" s="2">
        <v>2562.0</v>
      </c>
      <c r="B2563" s="2" t="s">
        <v>2934</v>
      </c>
      <c r="C2563" s="2" t="s">
        <v>2935</v>
      </c>
      <c r="D2563" s="2">
        <v>7.46</v>
      </c>
      <c r="E2563" s="2">
        <v>62.0</v>
      </c>
      <c r="F2563" s="2">
        <v>466.49</v>
      </c>
      <c r="G2563" s="4">
        <f t="shared" si="3"/>
        <v>9188167.55</v>
      </c>
      <c r="H2563" s="4">
        <f t="shared" si="1"/>
        <v>0.9626744701</v>
      </c>
      <c r="I2563" s="4" t="str">
        <f t="shared" si="2"/>
        <v>C</v>
      </c>
    </row>
    <row r="2564">
      <c r="A2564" s="2">
        <v>2563.0</v>
      </c>
      <c r="B2564" s="2" t="s">
        <v>2936</v>
      </c>
      <c r="C2564" s="2" t="s">
        <v>2937</v>
      </c>
      <c r="D2564" s="2">
        <v>1.25</v>
      </c>
      <c r="E2564" s="2">
        <v>2248.0</v>
      </c>
      <c r="F2564" s="2">
        <v>466.08</v>
      </c>
      <c r="G2564" s="4">
        <f t="shared" si="3"/>
        <v>9188633.63</v>
      </c>
      <c r="H2564" s="4">
        <f t="shared" si="1"/>
        <v>0.9627233028</v>
      </c>
      <c r="I2564" s="4" t="str">
        <f t="shared" si="2"/>
        <v>C</v>
      </c>
    </row>
    <row r="2565">
      <c r="A2565" s="2">
        <v>2564.0</v>
      </c>
      <c r="B2565" s="2" t="s">
        <v>2938</v>
      </c>
      <c r="C2565" s="2" t="s">
        <v>2939</v>
      </c>
      <c r="D2565" s="2">
        <v>1.25</v>
      </c>
      <c r="E2565" s="2">
        <v>2194.0</v>
      </c>
      <c r="F2565" s="2">
        <v>465.93</v>
      </c>
      <c r="G2565" s="4">
        <f t="shared" si="3"/>
        <v>9189099.56</v>
      </c>
      <c r="H2565" s="4">
        <f t="shared" si="1"/>
        <v>0.9627721198</v>
      </c>
      <c r="I2565" s="4" t="str">
        <f t="shared" si="2"/>
        <v>C</v>
      </c>
    </row>
    <row r="2566">
      <c r="A2566" s="2">
        <v>2565.0</v>
      </c>
      <c r="B2566" s="2">
        <v>23179.0</v>
      </c>
      <c r="C2566" s="2" t="s">
        <v>2940</v>
      </c>
      <c r="D2566" s="2">
        <v>2.89</v>
      </c>
      <c r="E2566" s="2">
        <v>162.0</v>
      </c>
      <c r="F2566" s="2">
        <v>465.24</v>
      </c>
      <c r="G2566" s="4">
        <f t="shared" si="3"/>
        <v>9189564.8</v>
      </c>
      <c r="H2566" s="4">
        <f t="shared" si="1"/>
        <v>0.9628208645</v>
      </c>
      <c r="I2566" s="4" t="str">
        <f t="shared" si="2"/>
        <v>C</v>
      </c>
    </row>
    <row r="2567">
      <c r="A2567" s="2">
        <v>2566.0</v>
      </c>
      <c r="B2567" s="2" t="s">
        <v>2941</v>
      </c>
      <c r="C2567" s="2" t="s">
        <v>2942</v>
      </c>
      <c r="D2567" s="2">
        <v>2.12</v>
      </c>
      <c r="E2567" s="2">
        <v>313.0</v>
      </c>
      <c r="F2567" s="2">
        <v>465.12</v>
      </c>
      <c r="G2567" s="4">
        <f t="shared" si="3"/>
        <v>9190029.92</v>
      </c>
      <c r="H2567" s="4">
        <f t="shared" si="1"/>
        <v>0.9628695967</v>
      </c>
      <c r="I2567" s="4" t="str">
        <f t="shared" si="2"/>
        <v>C</v>
      </c>
    </row>
    <row r="2568">
      <c r="A2568" s="2">
        <v>2567.0</v>
      </c>
      <c r="B2568" s="2" t="s">
        <v>2943</v>
      </c>
      <c r="C2568" s="2" t="s">
        <v>2944</v>
      </c>
      <c r="D2568" s="2">
        <v>2.55</v>
      </c>
      <c r="E2568" s="2">
        <v>331.0</v>
      </c>
      <c r="F2568" s="2">
        <v>464.97</v>
      </c>
      <c r="G2568" s="4">
        <f t="shared" si="3"/>
        <v>9190494.89</v>
      </c>
      <c r="H2568" s="4">
        <f t="shared" si="1"/>
        <v>0.9629183131</v>
      </c>
      <c r="I2568" s="4" t="str">
        <f t="shared" si="2"/>
        <v>C</v>
      </c>
    </row>
    <row r="2569">
      <c r="A2569" s="2">
        <v>2568.0</v>
      </c>
      <c r="B2569" s="2">
        <v>21014.0</v>
      </c>
      <c r="C2569" s="2" t="s">
        <v>2945</v>
      </c>
      <c r="D2569" s="2">
        <v>0.85</v>
      </c>
      <c r="E2569" s="2">
        <v>926.0</v>
      </c>
      <c r="F2569" s="2">
        <v>464.9</v>
      </c>
      <c r="G2569" s="4">
        <f t="shared" si="3"/>
        <v>9190959.79</v>
      </c>
      <c r="H2569" s="4">
        <f t="shared" si="1"/>
        <v>0.9629670222</v>
      </c>
      <c r="I2569" s="4" t="str">
        <f t="shared" si="2"/>
        <v>C</v>
      </c>
    </row>
    <row r="2570">
      <c r="A2570" s="2">
        <v>2569.0</v>
      </c>
      <c r="B2570" s="2">
        <v>22096.0</v>
      </c>
      <c r="C2570" s="2" t="s">
        <v>2946</v>
      </c>
      <c r="D2570" s="2">
        <v>0.39</v>
      </c>
      <c r="E2570" s="2">
        <v>832.0</v>
      </c>
      <c r="F2570" s="2">
        <v>464.54</v>
      </c>
      <c r="G2570" s="4">
        <f t="shared" si="3"/>
        <v>9191424.33</v>
      </c>
      <c r="H2570" s="4">
        <f t="shared" si="1"/>
        <v>0.9630156936</v>
      </c>
      <c r="I2570" s="4" t="str">
        <f t="shared" si="2"/>
        <v>C</v>
      </c>
    </row>
    <row r="2571">
      <c r="A2571" s="2">
        <v>2570.0</v>
      </c>
      <c r="B2571" s="2">
        <v>20831.0</v>
      </c>
      <c r="C2571" s="2" t="s">
        <v>2947</v>
      </c>
      <c r="D2571" s="2">
        <v>2.1</v>
      </c>
      <c r="E2571" s="2">
        <v>237.0</v>
      </c>
      <c r="F2571" s="2">
        <v>463.98</v>
      </c>
      <c r="G2571" s="4">
        <f t="shared" si="3"/>
        <v>9191888.31</v>
      </c>
      <c r="H2571" s="4">
        <f t="shared" si="1"/>
        <v>0.9630643063</v>
      </c>
      <c r="I2571" s="4" t="str">
        <f t="shared" si="2"/>
        <v>C</v>
      </c>
    </row>
    <row r="2572">
      <c r="A2572" s="2">
        <v>2571.0</v>
      </c>
      <c r="B2572" s="2">
        <v>37330.0</v>
      </c>
      <c r="C2572" s="2" t="s">
        <v>2948</v>
      </c>
      <c r="D2572" s="2">
        <v>1.95</v>
      </c>
      <c r="E2572" s="2">
        <v>258.0</v>
      </c>
      <c r="F2572" s="2">
        <v>463.73</v>
      </c>
      <c r="G2572" s="4">
        <f t="shared" si="3"/>
        <v>9192352.04</v>
      </c>
      <c r="H2572" s="4">
        <f t="shared" si="1"/>
        <v>0.9631128928</v>
      </c>
      <c r="I2572" s="4" t="str">
        <f t="shared" si="2"/>
        <v>C</v>
      </c>
    </row>
    <row r="2573">
      <c r="A2573" s="2">
        <v>2572.0</v>
      </c>
      <c r="B2573" s="2" t="s">
        <v>2949</v>
      </c>
      <c r="C2573" s="2" t="s">
        <v>2950</v>
      </c>
      <c r="D2573" s="2">
        <v>0.85</v>
      </c>
      <c r="E2573" s="2">
        <v>881.0</v>
      </c>
      <c r="F2573" s="2">
        <v>463.22</v>
      </c>
      <c r="G2573" s="4">
        <f t="shared" si="3"/>
        <v>9192815.26</v>
      </c>
      <c r="H2573" s="4">
        <f t="shared" si="1"/>
        <v>0.9631614259</v>
      </c>
      <c r="I2573" s="4" t="str">
        <f t="shared" si="2"/>
        <v>C</v>
      </c>
    </row>
    <row r="2574">
      <c r="A2574" s="2">
        <v>2573.0</v>
      </c>
      <c r="B2574" s="2" t="s">
        <v>2951</v>
      </c>
      <c r="C2574" s="2" t="s">
        <v>2952</v>
      </c>
      <c r="D2574" s="2">
        <v>1.25</v>
      </c>
      <c r="E2574" s="2">
        <v>332.0</v>
      </c>
      <c r="F2574" s="2">
        <v>462.48</v>
      </c>
      <c r="G2574" s="4">
        <f t="shared" si="3"/>
        <v>9193277.74</v>
      </c>
      <c r="H2574" s="4">
        <f t="shared" si="1"/>
        <v>0.9632098815</v>
      </c>
      <c r="I2574" s="4" t="str">
        <f t="shared" si="2"/>
        <v>C</v>
      </c>
    </row>
    <row r="2575">
      <c r="A2575" s="2">
        <v>2574.0</v>
      </c>
      <c r="B2575" s="2">
        <v>21850.0</v>
      </c>
      <c r="C2575" s="2" t="s">
        <v>2953</v>
      </c>
      <c r="D2575" s="2">
        <v>4.21</v>
      </c>
      <c r="E2575" s="2">
        <v>206.0</v>
      </c>
      <c r="F2575" s="2">
        <v>462.46</v>
      </c>
      <c r="G2575" s="4">
        <f t="shared" si="3"/>
        <v>9193740.2</v>
      </c>
      <c r="H2575" s="4">
        <f t="shared" si="1"/>
        <v>0.9632583349</v>
      </c>
      <c r="I2575" s="4" t="str">
        <f t="shared" si="2"/>
        <v>C</v>
      </c>
    </row>
    <row r="2576">
      <c r="A2576" s="2">
        <v>2575.0</v>
      </c>
      <c r="B2576" s="2">
        <v>22102.0</v>
      </c>
      <c r="C2576" s="2" t="s">
        <v>2954</v>
      </c>
      <c r="D2576" s="2">
        <v>1.65</v>
      </c>
      <c r="E2576" s="2">
        <v>565.0</v>
      </c>
      <c r="F2576" s="2">
        <v>462.04</v>
      </c>
      <c r="G2576" s="4">
        <f t="shared" si="3"/>
        <v>9194202.24</v>
      </c>
      <c r="H2576" s="4">
        <f t="shared" si="1"/>
        <v>0.9633067444</v>
      </c>
      <c r="I2576" s="4" t="str">
        <f t="shared" si="2"/>
        <v>C</v>
      </c>
    </row>
    <row r="2577">
      <c r="A2577" s="2">
        <v>2576.0</v>
      </c>
      <c r="B2577" s="2">
        <v>22703.0</v>
      </c>
      <c r="C2577" s="2" t="s">
        <v>2955</v>
      </c>
      <c r="D2577" s="2">
        <v>1.63</v>
      </c>
      <c r="E2577" s="2">
        <v>257.0</v>
      </c>
      <c r="F2577" s="2">
        <v>461.96</v>
      </c>
      <c r="G2577" s="4">
        <f t="shared" si="3"/>
        <v>9194664.2</v>
      </c>
      <c r="H2577" s="4">
        <f t="shared" si="1"/>
        <v>0.9633551454</v>
      </c>
      <c r="I2577" s="4" t="str">
        <f t="shared" si="2"/>
        <v>C</v>
      </c>
    </row>
    <row r="2578">
      <c r="A2578" s="2">
        <v>2577.0</v>
      </c>
      <c r="B2578" s="2" t="s">
        <v>2956</v>
      </c>
      <c r="C2578" s="2" t="s">
        <v>2957</v>
      </c>
      <c r="D2578" s="2">
        <v>2.55</v>
      </c>
      <c r="E2578" s="2">
        <v>174.0</v>
      </c>
      <c r="F2578" s="2">
        <v>461.58</v>
      </c>
      <c r="G2578" s="4">
        <f t="shared" si="3"/>
        <v>9195125.78</v>
      </c>
      <c r="H2578" s="4">
        <f t="shared" si="1"/>
        <v>0.9634035067</v>
      </c>
      <c r="I2578" s="4" t="str">
        <f t="shared" si="2"/>
        <v>C</v>
      </c>
    </row>
    <row r="2579">
      <c r="A2579" s="2">
        <v>2578.0</v>
      </c>
      <c r="B2579" s="2" t="s">
        <v>2958</v>
      </c>
      <c r="C2579" s="2" t="s">
        <v>2959</v>
      </c>
      <c r="D2579" s="2">
        <v>4.65</v>
      </c>
      <c r="E2579" s="2">
        <v>238.0</v>
      </c>
      <c r="F2579" s="2">
        <v>461.13</v>
      </c>
      <c r="G2579" s="4">
        <f t="shared" si="3"/>
        <v>9195586.91</v>
      </c>
      <c r="H2579" s="4">
        <f t="shared" si="1"/>
        <v>0.9634518208</v>
      </c>
      <c r="I2579" s="4" t="str">
        <f t="shared" si="2"/>
        <v>C</v>
      </c>
    </row>
    <row r="2580">
      <c r="A2580" s="2">
        <v>2579.0</v>
      </c>
      <c r="B2580" s="2">
        <v>21720.0</v>
      </c>
      <c r="C2580" s="2" t="s">
        <v>2960</v>
      </c>
      <c r="D2580" s="2">
        <v>0.85</v>
      </c>
      <c r="E2580" s="2">
        <v>528.0</v>
      </c>
      <c r="F2580" s="2">
        <v>460.23</v>
      </c>
      <c r="G2580" s="4">
        <f t="shared" si="3"/>
        <v>9196047.14</v>
      </c>
      <c r="H2580" s="4">
        <f t="shared" si="1"/>
        <v>0.9635000406</v>
      </c>
      <c r="I2580" s="4" t="str">
        <f t="shared" si="2"/>
        <v>C</v>
      </c>
    </row>
    <row r="2581">
      <c r="A2581" s="2">
        <v>2580.0</v>
      </c>
      <c r="B2581" s="2">
        <v>20903.0</v>
      </c>
      <c r="C2581" s="2" t="s">
        <v>2961</v>
      </c>
      <c r="D2581" s="2">
        <v>6.35</v>
      </c>
      <c r="E2581" s="2">
        <v>94.0</v>
      </c>
      <c r="F2581" s="2">
        <v>459.9</v>
      </c>
      <c r="G2581" s="4">
        <f t="shared" si="3"/>
        <v>9196507.04</v>
      </c>
      <c r="H2581" s="4">
        <f t="shared" si="1"/>
        <v>0.9635482258</v>
      </c>
      <c r="I2581" s="4" t="str">
        <f t="shared" si="2"/>
        <v>C</v>
      </c>
    </row>
    <row r="2582">
      <c r="A2582" s="2">
        <v>2581.0</v>
      </c>
      <c r="B2582" s="2" t="s">
        <v>2962</v>
      </c>
      <c r="C2582" s="2" t="s">
        <v>2963</v>
      </c>
      <c r="D2582" s="2">
        <v>2.12</v>
      </c>
      <c r="E2582" s="2">
        <v>232.0</v>
      </c>
      <c r="F2582" s="2">
        <v>459.38</v>
      </c>
      <c r="G2582" s="4">
        <f t="shared" si="3"/>
        <v>9196966.42</v>
      </c>
      <c r="H2582" s="4">
        <f t="shared" si="1"/>
        <v>0.9635963566</v>
      </c>
      <c r="I2582" s="4" t="str">
        <f t="shared" si="2"/>
        <v>C</v>
      </c>
    </row>
    <row r="2583">
      <c r="A2583" s="2">
        <v>2582.0</v>
      </c>
      <c r="B2583" s="2">
        <v>21702.0</v>
      </c>
      <c r="C2583" s="2" t="s">
        <v>2964</v>
      </c>
      <c r="D2583" s="2">
        <v>1.69</v>
      </c>
      <c r="E2583" s="2">
        <v>1318.0</v>
      </c>
      <c r="F2583" s="2">
        <v>459.34</v>
      </c>
      <c r="G2583" s="4">
        <f t="shared" si="3"/>
        <v>9197425.76</v>
      </c>
      <c r="H2583" s="4">
        <f t="shared" si="1"/>
        <v>0.9636444831</v>
      </c>
      <c r="I2583" s="4" t="str">
        <f t="shared" si="2"/>
        <v>C</v>
      </c>
    </row>
    <row r="2584">
      <c r="A2584" s="2">
        <v>2583.0</v>
      </c>
      <c r="B2584" s="2" t="s">
        <v>2965</v>
      </c>
      <c r="C2584" s="2" t="s">
        <v>2966</v>
      </c>
      <c r="D2584" s="2">
        <v>0.79</v>
      </c>
      <c r="E2584" s="2">
        <v>456.0</v>
      </c>
      <c r="F2584" s="2">
        <v>459.16</v>
      </c>
      <c r="G2584" s="4">
        <f t="shared" si="3"/>
        <v>9197884.92</v>
      </c>
      <c r="H2584" s="4">
        <f t="shared" si="1"/>
        <v>0.9636925908</v>
      </c>
      <c r="I2584" s="4" t="str">
        <f t="shared" si="2"/>
        <v>C</v>
      </c>
    </row>
    <row r="2585">
      <c r="A2585" s="2">
        <v>2584.0</v>
      </c>
      <c r="B2585" s="2" t="s">
        <v>2967</v>
      </c>
      <c r="C2585" s="2" t="s">
        <v>2968</v>
      </c>
      <c r="D2585" s="2">
        <v>2.95</v>
      </c>
      <c r="E2585" s="2">
        <v>160.0</v>
      </c>
      <c r="F2585" s="2">
        <v>459.02</v>
      </c>
      <c r="G2585" s="4">
        <f t="shared" si="3"/>
        <v>9198343.94</v>
      </c>
      <c r="H2585" s="4">
        <f t="shared" si="1"/>
        <v>0.9637406839</v>
      </c>
      <c r="I2585" s="4" t="str">
        <f t="shared" si="2"/>
        <v>C</v>
      </c>
    </row>
    <row r="2586">
      <c r="A2586" s="2">
        <v>2585.0</v>
      </c>
      <c r="B2586" s="2">
        <v>21264.0</v>
      </c>
      <c r="C2586" s="2" t="s">
        <v>2969</v>
      </c>
      <c r="D2586" s="2">
        <v>1.95</v>
      </c>
      <c r="E2586" s="2">
        <v>196.0</v>
      </c>
      <c r="F2586" s="2">
        <v>458.92</v>
      </c>
      <c r="G2586" s="4">
        <f t="shared" si="3"/>
        <v>9198802.86</v>
      </c>
      <c r="H2586" s="4">
        <f t="shared" si="1"/>
        <v>0.9637887664</v>
      </c>
      <c r="I2586" s="4" t="str">
        <f t="shared" si="2"/>
        <v>C</v>
      </c>
    </row>
    <row r="2587">
      <c r="A2587" s="2">
        <v>2586.0</v>
      </c>
      <c r="B2587" s="2">
        <v>90147.0</v>
      </c>
      <c r="C2587" s="2" t="s">
        <v>2970</v>
      </c>
      <c r="D2587" s="2">
        <v>9.95</v>
      </c>
      <c r="E2587" s="2">
        <v>46.0</v>
      </c>
      <c r="F2587" s="2">
        <v>458.78</v>
      </c>
      <c r="G2587" s="4">
        <f t="shared" si="3"/>
        <v>9199261.64</v>
      </c>
      <c r="H2587" s="4">
        <f t="shared" si="1"/>
        <v>0.9638368343</v>
      </c>
      <c r="I2587" s="4" t="str">
        <f t="shared" si="2"/>
        <v>C</v>
      </c>
    </row>
    <row r="2588">
      <c r="A2588" s="2">
        <v>2587.0</v>
      </c>
      <c r="B2588" s="2">
        <v>85111.0</v>
      </c>
      <c r="C2588" s="2" t="s">
        <v>2971</v>
      </c>
      <c r="D2588" s="2">
        <v>0.29</v>
      </c>
      <c r="E2588" s="2">
        <v>1388.0</v>
      </c>
      <c r="F2588" s="2">
        <v>457.94</v>
      </c>
      <c r="G2588" s="4">
        <f t="shared" si="3"/>
        <v>9199719.58</v>
      </c>
      <c r="H2588" s="4">
        <f t="shared" si="1"/>
        <v>0.9638848142</v>
      </c>
      <c r="I2588" s="4" t="str">
        <f t="shared" si="2"/>
        <v>C</v>
      </c>
    </row>
    <row r="2589">
      <c r="A2589" s="2">
        <v>2588.0</v>
      </c>
      <c r="B2589" s="2">
        <v>21220.0</v>
      </c>
      <c r="C2589" s="2" t="s">
        <v>2972</v>
      </c>
      <c r="D2589" s="2">
        <v>1.25</v>
      </c>
      <c r="E2589" s="2">
        <v>340.0</v>
      </c>
      <c r="F2589" s="2">
        <v>457.46</v>
      </c>
      <c r="G2589" s="4">
        <f t="shared" si="3"/>
        <v>9200177.04</v>
      </c>
      <c r="H2589" s="4">
        <f t="shared" si="1"/>
        <v>0.9639327438</v>
      </c>
      <c r="I2589" s="4" t="str">
        <f t="shared" si="2"/>
        <v>C</v>
      </c>
    </row>
    <row r="2590">
      <c r="A2590" s="2">
        <v>2589.0</v>
      </c>
      <c r="B2590" s="2" t="s">
        <v>2973</v>
      </c>
      <c r="C2590" s="2" t="s">
        <v>2974</v>
      </c>
      <c r="D2590" s="2">
        <v>0.55</v>
      </c>
      <c r="E2590" s="2">
        <v>840.0</v>
      </c>
      <c r="F2590" s="2">
        <v>457.46</v>
      </c>
      <c r="G2590" s="4">
        <f t="shared" si="3"/>
        <v>9200634.5</v>
      </c>
      <c r="H2590" s="4">
        <f t="shared" si="1"/>
        <v>0.9639806733</v>
      </c>
      <c r="I2590" s="4" t="str">
        <f t="shared" si="2"/>
        <v>C</v>
      </c>
    </row>
    <row r="2591">
      <c r="A2591" s="2">
        <v>2590.0</v>
      </c>
      <c r="B2591" s="2">
        <v>21007.0</v>
      </c>
      <c r="C2591" s="2" t="s">
        <v>2975</v>
      </c>
      <c r="D2591" s="2">
        <v>0.38</v>
      </c>
      <c r="E2591" s="2">
        <v>964.0</v>
      </c>
      <c r="F2591" s="2">
        <v>457.34</v>
      </c>
      <c r="G2591" s="4">
        <f t="shared" si="3"/>
        <v>9201091.84</v>
      </c>
      <c r="H2591" s="4">
        <f t="shared" si="1"/>
        <v>0.9640285904</v>
      </c>
      <c r="I2591" s="4" t="str">
        <f t="shared" si="2"/>
        <v>C</v>
      </c>
    </row>
    <row r="2592">
      <c r="A2592" s="2">
        <v>2591.0</v>
      </c>
      <c r="B2592" s="2">
        <v>21320.0</v>
      </c>
      <c r="C2592" s="2" t="s">
        <v>2976</v>
      </c>
      <c r="D2592" s="2">
        <v>2.55</v>
      </c>
      <c r="E2592" s="2">
        <v>199.0</v>
      </c>
      <c r="F2592" s="2">
        <v>456.67</v>
      </c>
      <c r="G2592" s="4">
        <f t="shared" si="3"/>
        <v>9201548.51</v>
      </c>
      <c r="H2592" s="4">
        <f t="shared" si="1"/>
        <v>0.9640764372</v>
      </c>
      <c r="I2592" s="4" t="str">
        <f t="shared" si="2"/>
        <v>C</v>
      </c>
    </row>
    <row r="2593">
      <c r="A2593" s="2">
        <v>2592.0</v>
      </c>
      <c r="B2593" s="2" t="s">
        <v>2977</v>
      </c>
      <c r="C2593" s="2" t="s">
        <v>2978</v>
      </c>
      <c r="D2593" s="2">
        <v>2.55</v>
      </c>
      <c r="E2593" s="2">
        <v>340.0</v>
      </c>
      <c r="F2593" s="2">
        <v>455.5</v>
      </c>
      <c r="G2593" s="4">
        <f t="shared" si="3"/>
        <v>9202004.01</v>
      </c>
      <c r="H2593" s="4">
        <f t="shared" si="1"/>
        <v>0.9641241614</v>
      </c>
      <c r="I2593" s="4" t="str">
        <f t="shared" si="2"/>
        <v>C</v>
      </c>
    </row>
    <row r="2594">
      <c r="A2594" s="2">
        <v>2593.0</v>
      </c>
      <c r="B2594" s="2">
        <v>84600.0</v>
      </c>
      <c r="C2594" s="2" t="s">
        <v>2979</v>
      </c>
      <c r="D2594" s="2">
        <v>7.95</v>
      </c>
      <c r="E2594" s="2">
        <v>54.0</v>
      </c>
      <c r="F2594" s="2">
        <v>455.16</v>
      </c>
      <c r="G2594" s="4">
        <f t="shared" si="3"/>
        <v>9202459.17</v>
      </c>
      <c r="H2594" s="4">
        <f t="shared" si="1"/>
        <v>0.96417185</v>
      </c>
      <c r="I2594" s="4" t="str">
        <f t="shared" si="2"/>
        <v>C</v>
      </c>
    </row>
    <row r="2595">
      <c r="A2595" s="2">
        <v>2594.0</v>
      </c>
      <c r="B2595" s="2">
        <v>23472.0</v>
      </c>
      <c r="C2595" s="2" t="s">
        <v>2980</v>
      </c>
      <c r="D2595" s="2">
        <v>14.95</v>
      </c>
      <c r="E2595" s="2">
        <v>30.0</v>
      </c>
      <c r="F2595" s="2">
        <v>454.68</v>
      </c>
      <c r="G2595" s="4">
        <f t="shared" si="3"/>
        <v>9202913.85</v>
      </c>
      <c r="H2595" s="4">
        <f t="shared" si="1"/>
        <v>0.9642194883</v>
      </c>
      <c r="I2595" s="4" t="str">
        <f t="shared" si="2"/>
        <v>C</v>
      </c>
    </row>
    <row r="2596">
      <c r="A2596" s="2">
        <v>2595.0</v>
      </c>
      <c r="B2596" s="2">
        <v>22707.0</v>
      </c>
      <c r="C2596" s="2" t="s">
        <v>2981</v>
      </c>
      <c r="D2596" s="2">
        <v>0.42</v>
      </c>
      <c r="E2596" s="2">
        <v>1078.0</v>
      </c>
      <c r="F2596" s="2">
        <v>452.97</v>
      </c>
      <c r="G2596" s="4">
        <f t="shared" si="3"/>
        <v>9203366.82</v>
      </c>
      <c r="H2596" s="4">
        <f t="shared" si="1"/>
        <v>0.9642669475</v>
      </c>
      <c r="I2596" s="4" t="str">
        <f t="shared" si="2"/>
        <v>C</v>
      </c>
    </row>
    <row r="2597">
      <c r="A2597" s="2">
        <v>2596.0</v>
      </c>
      <c r="B2597" s="2" t="s">
        <v>2982</v>
      </c>
      <c r="C2597" s="2" t="s">
        <v>2983</v>
      </c>
      <c r="D2597" s="2">
        <v>4.13</v>
      </c>
      <c r="E2597" s="2">
        <v>129.0</v>
      </c>
      <c r="F2597" s="2">
        <v>452.55</v>
      </c>
      <c r="G2597" s="4">
        <f t="shared" si="3"/>
        <v>9203819.37</v>
      </c>
      <c r="H2597" s="4">
        <f t="shared" si="1"/>
        <v>0.9643143626</v>
      </c>
      <c r="I2597" s="4" t="str">
        <f t="shared" si="2"/>
        <v>C</v>
      </c>
    </row>
    <row r="2598">
      <c r="A2598" s="2">
        <v>2597.0</v>
      </c>
      <c r="B2598" s="2">
        <v>21318.0</v>
      </c>
      <c r="C2598" s="2" t="s">
        <v>2984</v>
      </c>
      <c r="D2598" s="2">
        <v>1.65</v>
      </c>
      <c r="E2598" s="2">
        <v>487.0</v>
      </c>
      <c r="F2598" s="2">
        <v>451.86</v>
      </c>
      <c r="G2598" s="4">
        <f t="shared" si="3"/>
        <v>9204271.23</v>
      </c>
      <c r="H2598" s="4">
        <f t="shared" si="1"/>
        <v>0.9643617055</v>
      </c>
      <c r="I2598" s="4" t="str">
        <f t="shared" si="2"/>
        <v>C</v>
      </c>
    </row>
    <row r="2599">
      <c r="A2599" s="2">
        <v>2598.0</v>
      </c>
      <c r="B2599" s="2">
        <v>23338.0</v>
      </c>
      <c r="C2599" s="2" t="s">
        <v>2985</v>
      </c>
      <c r="D2599" s="2">
        <v>2.08</v>
      </c>
      <c r="E2599" s="2">
        <v>212.0</v>
      </c>
      <c r="F2599" s="2">
        <v>451.46</v>
      </c>
      <c r="G2599" s="4">
        <f t="shared" si="3"/>
        <v>9204722.69</v>
      </c>
      <c r="H2599" s="4">
        <f t="shared" si="1"/>
        <v>0.9644090064</v>
      </c>
      <c r="I2599" s="4" t="str">
        <f t="shared" si="2"/>
        <v>C</v>
      </c>
    </row>
    <row r="2600">
      <c r="A2600" s="2">
        <v>2599.0</v>
      </c>
      <c r="B2600" s="2">
        <v>21480.0</v>
      </c>
      <c r="C2600" s="2" t="s">
        <v>2986</v>
      </c>
      <c r="D2600" s="2">
        <v>2.95</v>
      </c>
      <c r="E2600" s="2">
        <v>143.0</v>
      </c>
      <c r="F2600" s="2">
        <v>451.24</v>
      </c>
      <c r="G2600" s="4">
        <f t="shared" si="3"/>
        <v>9205173.93</v>
      </c>
      <c r="H2600" s="4">
        <f t="shared" si="1"/>
        <v>0.9644562843</v>
      </c>
      <c r="I2600" s="4" t="str">
        <f t="shared" si="2"/>
        <v>C</v>
      </c>
    </row>
    <row r="2601">
      <c r="A2601" s="2">
        <v>2600.0</v>
      </c>
      <c r="B2601" s="2" t="s">
        <v>2987</v>
      </c>
      <c r="C2601" s="2" t="s">
        <v>2988</v>
      </c>
      <c r="D2601" s="2">
        <v>8.5</v>
      </c>
      <c r="E2601" s="2">
        <v>48.0</v>
      </c>
      <c r="F2601" s="2">
        <v>450.96</v>
      </c>
      <c r="G2601" s="4">
        <f t="shared" si="3"/>
        <v>9205624.89</v>
      </c>
      <c r="H2601" s="4">
        <f t="shared" si="1"/>
        <v>0.9645035329</v>
      </c>
      <c r="I2601" s="4" t="str">
        <f t="shared" si="2"/>
        <v>C</v>
      </c>
    </row>
    <row r="2602">
      <c r="A2602" s="2">
        <v>2601.0</v>
      </c>
      <c r="B2602" s="2">
        <v>23532.0</v>
      </c>
      <c r="C2602" s="2" t="s">
        <v>2989</v>
      </c>
      <c r="D2602" s="2">
        <v>4.95</v>
      </c>
      <c r="E2602" s="2">
        <v>105.0</v>
      </c>
      <c r="F2602" s="2">
        <v>450.79</v>
      </c>
      <c r="G2602" s="4">
        <f t="shared" si="3"/>
        <v>9206075.68</v>
      </c>
      <c r="H2602" s="4">
        <f t="shared" si="1"/>
        <v>0.9645507636</v>
      </c>
      <c r="I2602" s="4" t="str">
        <f t="shared" si="2"/>
        <v>C</v>
      </c>
    </row>
    <row r="2603">
      <c r="A2603" s="2">
        <v>2602.0</v>
      </c>
      <c r="B2603" s="2" t="s">
        <v>2990</v>
      </c>
      <c r="C2603" s="2" t="s">
        <v>2991</v>
      </c>
      <c r="D2603" s="2">
        <v>3.36</v>
      </c>
      <c r="E2603" s="2">
        <v>374.0</v>
      </c>
      <c r="F2603" s="2">
        <v>450.53</v>
      </c>
      <c r="G2603" s="4">
        <f t="shared" si="3"/>
        <v>9206526.21</v>
      </c>
      <c r="H2603" s="4">
        <f t="shared" si="1"/>
        <v>0.9645979671</v>
      </c>
      <c r="I2603" s="4" t="str">
        <f t="shared" si="2"/>
        <v>C</v>
      </c>
    </row>
    <row r="2604">
      <c r="A2604" s="2">
        <v>2603.0</v>
      </c>
      <c r="B2604" s="2" t="s">
        <v>2992</v>
      </c>
      <c r="C2604" s="2" t="s">
        <v>2993</v>
      </c>
      <c r="D2604" s="2">
        <v>3.36</v>
      </c>
      <c r="E2604" s="2">
        <v>248.0</v>
      </c>
      <c r="F2604" s="2">
        <v>450.52</v>
      </c>
      <c r="G2604" s="4">
        <f t="shared" si="3"/>
        <v>9206976.73</v>
      </c>
      <c r="H2604" s="4">
        <f t="shared" si="1"/>
        <v>0.9646451696</v>
      </c>
      <c r="I2604" s="4" t="str">
        <f t="shared" si="2"/>
        <v>C</v>
      </c>
    </row>
    <row r="2605">
      <c r="A2605" s="2">
        <v>2604.0</v>
      </c>
      <c r="B2605" s="2">
        <v>22647.0</v>
      </c>
      <c r="C2605" s="2" t="s">
        <v>2994</v>
      </c>
      <c r="D2605" s="2">
        <v>1.45</v>
      </c>
      <c r="E2605" s="2">
        <v>522.0</v>
      </c>
      <c r="F2605" s="2">
        <v>450.39</v>
      </c>
      <c r="G2605" s="4">
        <f t="shared" si="3"/>
        <v>9207427.12</v>
      </c>
      <c r="H2605" s="4">
        <f t="shared" si="1"/>
        <v>0.9646923584</v>
      </c>
      <c r="I2605" s="4" t="str">
        <f t="shared" si="2"/>
        <v>C</v>
      </c>
    </row>
    <row r="2606">
      <c r="A2606" s="2">
        <v>2605.0</v>
      </c>
      <c r="B2606" s="2">
        <v>21270.0</v>
      </c>
      <c r="C2606" s="2" t="s">
        <v>2995</v>
      </c>
      <c r="D2606" s="2">
        <v>12.75</v>
      </c>
      <c r="E2606" s="2">
        <v>39.0</v>
      </c>
      <c r="F2606" s="2">
        <v>449.96</v>
      </c>
      <c r="G2606" s="4">
        <f t="shared" si="3"/>
        <v>9207877.08</v>
      </c>
      <c r="H2606" s="4">
        <f t="shared" si="1"/>
        <v>0.9647395022</v>
      </c>
      <c r="I2606" s="4" t="str">
        <f t="shared" si="2"/>
        <v>C</v>
      </c>
    </row>
    <row r="2607">
      <c r="A2607" s="2">
        <v>2606.0</v>
      </c>
      <c r="B2607" s="2">
        <v>84974.0</v>
      </c>
      <c r="C2607" s="2" t="s">
        <v>2996</v>
      </c>
      <c r="D2607" s="2">
        <v>9.95</v>
      </c>
      <c r="E2607" s="2">
        <v>46.0</v>
      </c>
      <c r="F2607" s="2">
        <v>449.72</v>
      </c>
      <c r="G2607" s="4">
        <f t="shared" si="3"/>
        <v>9208326.8</v>
      </c>
      <c r="H2607" s="4">
        <f t="shared" si="1"/>
        <v>0.9647866209</v>
      </c>
      <c r="I2607" s="4" t="str">
        <f t="shared" si="2"/>
        <v>C</v>
      </c>
    </row>
    <row r="2608">
      <c r="A2608" s="2">
        <v>2607.0</v>
      </c>
      <c r="B2608" s="2">
        <v>20913.0</v>
      </c>
      <c r="C2608" s="2" t="s">
        <v>2997</v>
      </c>
      <c r="D2608" s="2">
        <v>2.95</v>
      </c>
      <c r="E2608" s="2">
        <v>157.0</v>
      </c>
      <c r="F2608" s="2">
        <v>449.36</v>
      </c>
      <c r="G2608" s="4">
        <f t="shared" si="3"/>
        <v>9208776.16</v>
      </c>
      <c r="H2608" s="4">
        <f t="shared" si="1"/>
        <v>0.9648337018</v>
      </c>
      <c r="I2608" s="4" t="str">
        <f t="shared" si="2"/>
        <v>C</v>
      </c>
    </row>
    <row r="2609">
      <c r="A2609" s="2">
        <v>2608.0</v>
      </c>
      <c r="B2609" s="2">
        <v>20757.0</v>
      </c>
      <c r="C2609" s="2" t="s">
        <v>2998</v>
      </c>
      <c r="D2609" s="2">
        <v>0.85</v>
      </c>
      <c r="E2609" s="2">
        <v>2678.0</v>
      </c>
      <c r="F2609" s="2">
        <v>449.18</v>
      </c>
      <c r="G2609" s="4">
        <f t="shared" si="3"/>
        <v>9209225.34</v>
      </c>
      <c r="H2609" s="4">
        <f t="shared" si="1"/>
        <v>0.9648807639</v>
      </c>
      <c r="I2609" s="4" t="str">
        <f t="shared" si="2"/>
        <v>C</v>
      </c>
    </row>
    <row r="2610">
      <c r="A2610" s="2">
        <v>2609.0</v>
      </c>
      <c r="B2610" s="2">
        <v>21444.0</v>
      </c>
      <c r="C2610" s="2" t="s">
        <v>2999</v>
      </c>
      <c r="D2610" s="2">
        <v>3.75</v>
      </c>
      <c r="E2610" s="2">
        <v>145.0</v>
      </c>
      <c r="F2610" s="2">
        <v>449.14</v>
      </c>
      <c r="G2610" s="4">
        <f t="shared" si="3"/>
        <v>9209674.48</v>
      </c>
      <c r="H2610" s="4">
        <f t="shared" si="1"/>
        <v>0.9649278217</v>
      </c>
      <c r="I2610" s="4" t="str">
        <f t="shared" si="2"/>
        <v>C</v>
      </c>
    </row>
    <row r="2611">
      <c r="A2611" s="2">
        <v>2610.0</v>
      </c>
      <c r="B2611" s="2">
        <v>23004.0</v>
      </c>
      <c r="C2611" s="2" t="s">
        <v>3000</v>
      </c>
      <c r="D2611" s="2">
        <v>0.42</v>
      </c>
      <c r="E2611" s="2">
        <v>994.0</v>
      </c>
      <c r="F2611" s="2">
        <v>448.43</v>
      </c>
      <c r="G2611" s="4">
        <f t="shared" si="3"/>
        <v>9210122.91</v>
      </c>
      <c r="H2611" s="4">
        <f t="shared" si="1"/>
        <v>0.9649748052</v>
      </c>
      <c r="I2611" s="4" t="str">
        <f t="shared" si="2"/>
        <v>C</v>
      </c>
    </row>
    <row r="2612">
      <c r="A2612" s="2">
        <v>2611.0</v>
      </c>
      <c r="B2612" s="2" t="s">
        <v>3001</v>
      </c>
      <c r="C2612" s="2" t="s">
        <v>3002</v>
      </c>
      <c r="D2612" s="2">
        <v>2.95</v>
      </c>
      <c r="E2612" s="2">
        <v>150.0</v>
      </c>
      <c r="F2612" s="2">
        <v>448.28</v>
      </c>
      <c r="G2612" s="4">
        <f t="shared" si="3"/>
        <v>9210571.19</v>
      </c>
      <c r="H2612" s="4">
        <f t="shared" si="1"/>
        <v>0.965021773</v>
      </c>
      <c r="I2612" s="4" t="str">
        <f t="shared" si="2"/>
        <v>C</v>
      </c>
    </row>
    <row r="2613">
      <c r="A2613" s="2">
        <v>2612.0</v>
      </c>
      <c r="B2613" s="2">
        <v>23502.0</v>
      </c>
      <c r="C2613" s="2" t="s">
        <v>3003</v>
      </c>
      <c r="D2613" s="2">
        <v>1.25</v>
      </c>
      <c r="E2613" s="2">
        <v>357.0</v>
      </c>
      <c r="F2613" s="2">
        <v>448.2</v>
      </c>
      <c r="G2613" s="4">
        <f t="shared" si="3"/>
        <v>9211019.39</v>
      </c>
      <c r="H2613" s="4">
        <f t="shared" si="1"/>
        <v>0.9650687324</v>
      </c>
      <c r="I2613" s="4" t="str">
        <f t="shared" si="2"/>
        <v>C</v>
      </c>
    </row>
    <row r="2614">
      <c r="A2614" s="2">
        <v>2613.0</v>
      </c>
      <c r="B2614" s="2" t="s">
        <v>3004</v>
      </c>
      <c r="C2614" s="2" t="s">
        <v>3005</v>
      </c>
      <c r="D2614" s="2">
        <v>1.69</v>
      </c>
      <c r="E2614" s="2">
        <v>2271.0</v>
      </c>
      <c r="F2614" s="2">
        <v>448.17</v>
      </c>
      <c r="G2614" s="4">
        <f t="shared" si="3"/>
        <v>9211467.56</v>
      </c>
      <c r="H2614" s="4">
        <f t="shared" si="1"/>
        <v>0.9651156886</v>
      </c>
      <c r="I2614" s="4" t="str">
        <f t="shared" si="2"/>
        <v>C</v>
      </c>
    </row>
    <row r="2615">
      <c r="A2615" s="2">
        <v>2614.0</v>
      </c>
      <c r="B2615" s="2" t="s">
        <v>3006</v>
      </c>
      <c r="C2615" s="2" t="s">
        <v>3007</v>
      </c>
      <c r="D2615" s="2">
        <v>1.6</v>
      </c>
      <c r="E2615" s="2">
        <v>280.0</v>
      </c>
      <c r="F2615" s="2">
        <v>448.0</v>
      </c>
      <c r="G2615" s="4">
        <f t="shared" si="3"/>
        <v>9211915.56</v>
      </c>
      <c r="H2615" s="4">
        <f t="shared" si="1"/>
        <v>0.965162627</v>
      </c>
      <c r="I2615" s="4" t="str">
        <f t="shared" si="2"/>
        <v>C</v>
      </c>
    </row>
    <row r="2616">
      <c r="A2616" s="2">
        <v>2615.0</v>
      </c>
      <c r="B2616" s="2">
        <v>23002.0</v>
      </c>
      <c r="C2616" s="2" t="s">
        <v>3008</v>
      </c>
      <c r="D2616" s="2">
        <v>0.42</v>
      </c>
      <c r="E2616" s="2">
        <v>1036.0</v>
      </c>
      <c r="F2616" s="2">
        <v>447.52</v>
      </c>
      <c r="G2616" s="4">
        <f t="shared" si="3"/>
        <v>9212363.08</v>
      </c>
      <c r="H2616" s="4">
        <f t="shared" si="1"/>
        <v>0.9652095152</v>
      </c>
      <c r="I2616" s="4" t="str">
        <f t="shared" si="2"/>
        <v>C</v>
      </c>
    </row>
    <row r="2617">
      <c r="A2617" s="2">
        <v>2616.0</v>
      </c>
      <c r="B2617" s="2">
        <v>21676.0</v>
      </c>
      <c r="C2617" s="2" t="s">
        <v>3009</v>
      </c>
      <c r="D2617" s="2">
        <v>0.85</v>
      </c>
      <c r="E2617" s="2">
        <v>596.0</v>
      </c>
      <c r="F2617" s="2">
        <v>446.86</v>
      </c>
      <c r="G2617" s="4">
        <f t="shared" si="3"/>
        <v>9212809.94</v>
      </c>
      <c r="H2617" s="4">
        <f t="shared" si="1"/>
        <v>0.9652563342</v>
      </c>
      <c r="I2617" s="4" t="str">
        <f t="shared" si="2"/>
        <v>C</v>
      </c>
    </row>
    <row r="2618">
      <c r="A2618" s="2">
        <v>2617.0</v>
      </c>
      <c r="B2618" s="2" t="s">
        <v>3010</v>
      </c>
      <c r="C2618" s="2" t="s">
        <v>668</v>
      </c>
      <c r="D2618" s="2">
        <v>3.29</v>
      </c>
      <c r="E2618" s="2">
        <v>134.0</v>
      </c>
      <c r="F2618" s="2">
        <v>446.62</v>
      </c>
      <c r="G2618" s="4">
        <f t="shared" si="3"/>
        <v>9213256.56</v>
      </c>
      <c r="H2618" s="4">
        <f t="shared" si="1"/>
        <v>0.965303128</v>
      </c>
      <c r="I2618" s="4" t="str">
        <f t="shared" si="2"/>
        <v>C</v>
      </c>
    </row>
    <row r="2619">
      <c r="A2619" s="2">
        <v>2618.0</v>
      </c>
      <c r="B2619" s="2" t="s">
        <v>3011</v>
      </c>
      <c r="C2619" s="2" t="s">
        <v>3012</v>
      </c>
      <c r="D2619" s="2">
        <v>9.15</v>
      </c>
      <c r="E2619" s="2">
        <v>50.0</v>
      </c>
      <c r="F2619" s="2">
        <v>446.42</v>
      </c>
      <c r="G2619" s="4">
        <f t="shared" si="3"/>
        <v>9213702.98</v>
      </c>
      <c r="H2619" s="4">
        <f t="shared" si="1"/>
        <v>0.9653499009</v>
      </c>
      <c r="I2619" s="4" t="str">
        <f t="shared" si="2"/>
        <v>C</v>
      </c>
    </row>
    <row r="2620">
      <c r="A2620" s="2">
        <v>2619.0</v>
      </c>
      <c r="B2620" s="2">
        <v>84666.0</v>
      </c>
      <c r="C2620" s="2" t="s">
        <v>2562</v>
      </c>
      <c r="D2620" s="2">
        <v>3.95</v>
      </c>
      <c r="E2620" s="2">
        <v>113.0</v>
      </c>
      <c r="F2620" s="2">
        <v>446.35</v>
      </c>
      <c r="G2620" s="4">
        <f t="shared" si="3"/>
        <v>9214149.33</v>
      </c>
      <c r="H2620" s="4">
        <f t="shared" si="1"/>
        <v>0.9653966664</v>
      </c>
      <c r="I2620" s="4" t="str">
        <f t="shared" si="2"/>
        <v>C</v>
      </c>
    </row>
    <row r="2621">
      <c r="A2621" s="2">
        <v>2620.0</v>
      </c>
      <c r="B2621" s="2" t="s">
        <v>3013</v>
      </c>
      <c r="C2621" s="2" t="s">
        <v>3014</v>
      </c>
      <c r="D2621" s="2">
        <v>4.25</v>
      </c>
      <c r="E2621" s="2">
        <v>105.0</v>
      </c>
      <c r="F2621" s="2">
        <v>446.25</v>
      </c>
      <c r="G2621" s="4">
        <f t="shared" si="3"/>
        <v>9214595.58</v>
      </c>
      <c r="H2621" s="4">
        <f t="shared" si="1"/>
        <v>0.9654434215</v>
      </c>
      <c r="I2621" s="4" t="str">
        <f t="shared" si="2"/>
        <v>C</v>
      </c>
    </row>
    <row r="2622">
      <c r="A2622" s="2">
        <v>2621.0</v>
      </c>
      <c r="B2622" s="2">
        <v>20759.0</v>
      </c>
      <c r="C2622" s="2" t="s">
        <v>3015</v>
      </c>
      <c r="D2622" s="2">
        <v>0.85</v>
      </c>
      <c r="E2622" s="2">
        <v>2888.0</v>
      </c>
      <c r="F2622" s="2">
        <v>445.56</v>
      </c>
      <c r="G2622" s="4">
        <f t="shared" si="3"/>
        <v>9215041.14</v>
      </c>
      <c r="H2622" s="4">
        <f t="shared" si="1"/>
        <v>0.9654901043</v>
      </c>
      <c r="I2622" s="4" t="str">
        <f t="shared" si="2"/>
        <v>C</v>
      </c>
    </row>
    <row r="2623">
      <c r="A2623" s="2">
        <v>2622.0</v>
      </c>
      <c r="B2623" s="2">
        <v>23072.0</v>
      </c>
      <c r="C2623" s="2" t="s">
        <v>3016</v>
      </c>
      <c r="D2623" s="2">
        <v>12.5</v>
      </c>
      <c r="E2623" s="2">
        <v>131.0</v>
      </c>
      <c r="F2623" s="2">
        <v>444.88</v>
      </c>
      <c r="G2623" s="4">
        <f t="shared" si="3"/>
        <v>9215486.02</v>
      </c>
      <c r="H2623" s="4">
        <f t="shared" si="1"/>
        <v>0.9655367158</v>
      </c>
      <c r="I2623" s="4" t="str">
        <f t="shared" si="2"/>
        <v>C</v>
      </c>
    </row>
    <row r="2624">
      <c r="A2624" s="2">
        <v>2623.0</v>
      </c>
      <c r="B2624" s="2">
        <v>85214.0</v>
      </c>
      <c r="C2624" s="2" t="s">
        <v>3017</v>
      </c>
      <c r="D2624" s="2">
        <v>1.65</v>
      </c>
      <c r="E2624" s="2">
        <v>258.0</v>
      </c>
      <c r="F2624" s="2">
        <v>444.76</v>
      </c>
      <c r="G2624" s="4">
        <f t="shared" si="3"/>
        <v>9215930.78</v>
      </c>
      <c r="H2624" s="4">
        <f t="shared" si="1"/>
        <v>0.9655833148</v>
      </c>
      <c r="I2624" s="4" t="str">
        <f t="shared" si="2"/>
        <v>C</v>
      </c>
    </row>
    <row r="2625">
      <c r="A2625" s="2">
        <v>2624.0</v>
      </c>
      <c r="B2625" s="2">
        <v>22248.0</v>
      </c>
      <c r="C2625" s="2" t="s">
        <v>3018</v>
      </c>
      <c r="D2625" s="2">
        <v>0.85</v>
      </c>
      <c r="E2625" s="2">
        <v>499.0</v>
      </c>
      <c r="F2625" s="2">
        <v>444.38</v>
      </c>
      <c r="G2625" s="4">
        <f t="shared" si="3"/>
        <v>9216375.16</v>
      </c>
      <c r="H2625" s="4">
        <f t="shared" si="1"/>
        <v>0.965629874</v>
      </c>
      <c r="I2625" s="4" t="str">
        <f t="shared" si="2"/>
        <v>C</v>
      </c>
    </row>
    <row r="2626">
      <c r="A2626" s="2">
        <v>2625.0</v>
      </c>
      <c r="B2626" s="2">
        <v>21724.0</v>
      </c>
      <c r="C2626" s="2" t="s">
        <v>3019</v>
      </c>
      <c r="D2626" s="2">
        <v>0.85</v>
      </c>
      <c r="E2626" s="2">
        <v>497.0</v>
      </c>
      <c r="F2626" s="2">
        <v>443.32</v>
      </c>
      <c r="G2626" s="4">
        <f t="shared" si="3"/>
        <v>9216818.48</v>
      </c>
      <c r="H2626" s="4">
        <f t="shared" si="1"/>
        <v>0.965676322</v>
      </c>
      <c r="I2626" s="4" t="str">
        <f t="shared" si="2"/>
        <v>C</v>
      </c>
    </row>
    <row r="2627">
      <c r="A2627" s="2">
        <v>2626.0</v>
      </c>
      <c r="B2627" s="2" t="s">
        <v>3020</v>
      </c>
      <c r="C2627" s="2" t="s">
        <v>3021</v>
      </c>
      <c r="D2627" s="2">
        <v>8.5</v>
      </c>
      <c r="E2627" s="2">
        <v>40.0</v>
      </c>
      <c r="F2627" s="2">
        <v>442.87</v>
      </c>
      <c r="G2627" s="4">
        <f t="shared" si="3"/>
        <v>9217261.35</v>
      </c>
      <c r="H2627" s="4">
        <f t="shared" si="1"/>
        <v>0.965722723</v>
      </c>
      <c r="I2627" s="4" t="str">
        <f t="shared" si="2"/>
        <v>C</v>
      </c>
    </row>
    <row r="2628">
      <c r="A2628" s="2">
        <v>2627.0</v>
      </c>
      <c r="B2628" s="2">
        <v>23099.0</v>
      </c>
      <c r="C2628" s="2" t="s">
        <v>3022</v>
      </c>
      <c r="D2628" s="2">
        <v>6.65</v>
      </c>
      <c r="E2628" s="2">
        <v>66.0</v>
      </c>
      <c r="F2628" s="2">
        <v>442.72</v>
      </c>
      <c r="G2628" s="4">
        <f t="shared" si="3"/>
        <v>9217704.07</v>
      </c>
      <c r="H2628" s="4">
        <f t="shared" si="1"/>
        <v>0.9657691082</v>
      </c>
      <c r="I2628" s="4" t="str">
        <f t="shared" si="2"/>
        <v>C</v>
      </c>
    </row>
    <row r="2629">
      <c r="A2629" s="2">
        <v>2628.0</v>
      </c>
      <c r="B2629" s="2" t="s">
        <v>3023</v>
      </c>
      <c r="C2629" s="2" t="s">
        <v>3024</v>
      </c>
      <c r="D2629" s="2">
        <v>1.25</v>
      </c>
      <c r="E2629" s="2">
        <v>312.0</v>
      </c>
      <c r="F2629" s="2">
        <v>442.52</v>
      </c>
      <c r="G2629" s="4">
        <f t="shared" si="3"/>
        <v>9218146.59</v>
      </c>
      <c r="H2629" s="4">
        <f t="shared" si="1"/>
        <v>0.9658154725</v>
      </c>
      <c r="I2629" s="4" t="str">
        <f t="shared" si="2"/>
        <v>C</v>
      </c>
    </row>
    <row r="2630">
      <c r="A2630" s="2">
        <v>2629.0</v>
      </c>
      <c r="B2630" s="2">
        <v>20991.0</v>
      </c>
      <c r="C2630" s="2" t="s">
        <v>3025</v>
      </c>
      <c r="D2630" s="2">
        <v>0.97</v>
      </c>
      <c r="E2630" s="2">
        <v>3542.0</v>
      </c>
      <c r="F2630" s="2">
        <v>442.28</v>
      </c>
      <c r="G2630" s="4">
        <f t="shared" si="3"/>
        <v>9218588.87</v>
      </c>
      <c r="H2630" s="4">
        <f t="shared" si="1"/>
        <v>0.9658618116</v>
      </c>
      <c r="I2630" s="4" t="str">
        <f t="shared" si="2"/>
        <v>C</v>
      </c>
    </row>
    <row r="2631">
      <c r="A2631" s="2">
        <v>2630.0</v>
      </c>
      <c r="B2631" s="2" t="s">
        <v>3026</v>
      </c>
      <c r="C2631" s="2" t="s">
        <v>3027</v>
      </c>
      <c r="D2631" s="2">
        <v>2.95</v>
      </c>
      <c r="E2631" s="2">
        <v>467.0</v>
      </c>
      <c r="F2631" s="2">
        <v>441.75</v>
      </c>
      <c r="G2631" s="4">
        <f t="shared" si="3"/>
        <v>9219030.62</v>
      </c>
      <c r="H2631" s="4">
        <f t="shared" si="1"/>
        <v>0.9659080952</v>
      </c>
      <c r="I2631" s="4" t="str">
        <f t="shared" si="2"/>
        <v>C</v>
      </c>
    </row>
    <row r="2632">
      <c r="A2632" s="2">
        <v>2631.0</v>
      </c>
      <c r="B2632" s="2">
        <v>22164.0</v>
      </c>
      <c r="C2632" s="2" t="s">
        <v>3028</v>
      </c>
      <c r="D2632" s="2">
        <v>2.95</v>
      </c>
      <c r="E2632" s="2">
        <v>158.0</v>
      </c>
      <c r="F2632" s="2">
        <v>441.61</v>
      </c>
      <c r="G2632" s="4">
        <f t="shared" si="3"/>
        <v>9219472.23</v>
      </c>
      <c r="H2632" s="4">
        <f t="shared" si="1"/>
        <v>0.9659543641</v>
      </c>
      <c r="I2632" s="4" t="str">
        <f t="shared" si="2"/>
        <v>C</v>
      </c>
    </row>
    <row r="2633">
      <c r="A2633" s="2">
        <v>2632.0</v>
      </c>
      <c r="B2633" s="2">
        <v>21147.0</v>
      </c>
      <c r="C2633" s="2" t="s">
        <v>3029</v>
      </c>
      <c r="D2633" s="2">
        <v>2.1</v>
      </c>
      <c r="E2633" s="2">
        <v>242.0</v>
      </c>
      <c r="F2633" s="2">
        <v>441.54</v>
      </c>
      <c r="G2633" s="4">
        <f t="shared" si="3"/>
        <v>9219913.77</v>
      </c>
      <c r="H2633" s="4">
        <f t="shared" si="1"/>
        <v>0.9660006257</v>
      </c>
      <c r="I2633" s="4" t="str">
        <f t="shared" si="2"/>
        <v>C</v>
      </c>
    </row>
    <row r="2634">
      <c r="A2634" s="2">
        <v>2633.0</v>
      </c>
      <c r="B2634" s="2">
        <v>23479.0</v>
      </c>
      <c r="C2634" s="2" t="s">
        <v>3030</v>
      </c>
      <c r="D2634" s="2">
        <v>7.85</v>
      </c>
      <c r="E2634" s="2">
        <v>57.0</v>
      </c>
      <c r="F2634" s="2">
        <v>440.12</v>
      </c>
      <c r="G2634" s="4">
        <f t="shared" si="3"/>
        <v>9220353.89</v>
      </c>
      <c r="H2634" s="4">
        <f t="shared" si="1"/>
        <v>0.9660467386</v>
      </c>
      <c r="I2634" s="4" t="str">
        <f t="shared" si="2"/>
        <v>C</v>
      </c>
    </row>
    <row r="2635">
      <c r="A2635" s="2">
        <v>2634.0</v>
      </c>
      <c r="B2635" s="2">
        <v>20840.0</v>
      </c>
      <c r="C2635" s="2" t="s">
        <v>3031</v>
      </c>
      <c r="D2635" s="2">
        <v>0.85</v>
      </c>
      <c r="E2635" s="2">
        <v>333.0</v>
      </c>
      <c r="F2635" s="2">
        <v>439.92</v>
      </c>
      <c r="G2635" s="4">
        <f t="shared" si="3"/>
        <v>9220793.81</v>
      </c>
      <c r="H2635" s="4">
        <f t="shared" si="1"/>
        <v>0.9660928304</v>
      </c>
      <c r="I2635" s="4" t="str">
        <f t="shared" si="2"/>
        <v>C</v>
      </c>
    </row>
    <row r="2636">
      <c r="A2636" s="2">
        <v>2635.0</v>
      </c>
      <c r="B2636" s="2" t="s">
        <v>3032</v>
      </c>
      <c r="C2636" s="2" t="s">
        <v>3033</v>
      </c>
      <c r="D2636" s="2">
        <v>4.25</v>
      </c>
      <c r="E2636" s="2">
        <v>105.0</v>
      </c>
      <c r="F2636" s="2">
        <v>439.11</v>
      </c>
      <c r="G2636" s="4">
        <f t="shared" si="3"/>
        <v>9221232.92</v>
      </c>
      <c r="H2636" s="4">
        <f t="shared" si="1"/>
        <v>0.9661388374</v>
      </c>
      <c r="I2636" s="4" t="str">
        <f t="shared" si="2"/>
        <v>C</v>
      </c>
    </row>
    <row r="2637">
      <c r="A2637" s="2">
        <v>2636.0</v>
      </c>
      <c r="B2637" s="2" t="s">
        <v>3034</v>
      </c>
      <c r="C2637" s="2" t="s">
        <v>3035</v>
      </c>
      <c r="D2637" s="2">
        <v>2.95</v>
      </c>
      <c r="E2637" s="2">
        <v>306.0</v>
      </c>
      <c r="F2637" s="2">
        <v>438.9</v>
      </c>
      <c r="G2637" s="4">
        <f t="shared" si="3"/>
        <v>9221671.82</v>
      </c>
      <c r="H2637" s="4">
        <f t="shared" si="1"/>
        <v>0.9661848224</v>
      </c>
      <c r="I2637" s="4" t="str">
        <f t="shared" si="2"/>
        <v>C</v>
      </c>
    </row>
    <row r="2638">
      <c r="A2638" s="2">
        <v>2637.0</v>
      </c>
      <c r="B2638" s="2">
        <v>23423.0</v>
      </c>
      <c r="C2638" s="2" t="s">
        <v>3036</v>
      </c>
      <c r="D2638" s="2">
        <v>3.75</v>
      </c>
      <c r="E2638" s="2">
        <v>110.0</v>
      </c>
      <c r="F2638" s="2">
        <v>438.45</v>
      </c>
      <c r="G2638" s="4">
        <f t="shared" si="3"/>
        <v>9222110.27</v>
      </c>
      <c r="H2638" s="4">
        <f t="shared" si="1"/>
        <v>0.9662307603</v>
      </c>
      <c r="I2638" s="4" t="str">
        <f t="shared" si="2"/>
        <v>C</v>
      </c>
    </row>
    <row r="2639">
      <c r="A2639" s="2">
        <v>2638.0</v>
      </c>
      <c r="B2639" s="2">
        <v>21062.0</v>
      </c>
      <c r="C2639" s="2" t="s">
        <v>3037</v>
      </c>
      <c r="D2639" s="2">
        <v>0.85</v>
      </c>
      <c r="E2639" s="2">
        <v>527.0</v>
      </c>
      <c r="F2639" s="2">
        <v>438.36</v>
      </c>
      <c r="G2639" s="4">
        <f t="shared" si="3"/>
        <v>9222548.63</v>
      </c>
      <c r="H2639" s="4">
        <f t="shared" si="1"/>
        <v>0.9662766887</v>
      </c>
      <c r="I2639" s="4" t="str">
        <f t="shared" si="2"/>
        <v>C</v>
      </c>
    </row>
    <row r="2640">
      <c r="A2640" s="2">
        <v>2639.0</v>
      </c>
      <c r="B2640" s="2" t="s">
        <v>3038</v>
      </c>
      <c r="C2640" s="2" t="s">
        <v>3039</v>
      </c>
      <c r="D2640" s="2">
        <v>2.55</v>
      </c>
      <c r="E2640" s="2">
        <v>358.0</v>
      </c>
      <c r="F2640" s="2">
        <v>437.83</v>
      </c>
      <c r="G2640" s="4">
        <f t="shared" si="3"/>
        <v>9222986.46</v>
      </c>
      <c r="H2640" s="4">
        <f t="shared" si="1"/>
        <v>0.9663225616</v>
      </c>
      <c r="I2640" s="4" t="str">
        <f t="shared" si="2"/>
        <v>C</v>
      </c>
    </row>
    <row r="2641">
      <c r="A2641" s="2">
        <v>2640.0</v>
      </c>
      <c r="B2641" s="2" t="s">
        <v>3040</v>
      </c>
      <c r="C2641" s="2" t="s">
        <v>3041</v>
      </c>
      <c r="D2641" s="2">
        <v>4.25</v>
      </c>
      <c r="E2641" s="2">
        <v>103.0</v>
      </c>
      <c r="F2641" s="2">
        <v>437.32</v>
      </c>
      <c r="G2641" s="4">
        <f t="shared" si="3"/>
        <v>9223423.78</v>
      </c>
      <c r="H2641" s="4">
        <f t="shared" si="1"/>
        <v>0.966368381</v>
      </c>
      <c r="I2641" s="4" t="str">
        <f t="shared" si="2"/>
        <v>C</v>
      </c>
    </row>
    <row r="2642">
      <c r="A2642" s="2">
        <v>2641.0</v>
      </c>
      <c r="B2642" s="2" t="s">
        <v>3042</v>
      </c>
      <c r="C2642" s="2" t="s">
        <v>3043</v>
      </c>
      <c r="D2642" s="2">
        <v>0.65</v>
      </c>
      <c r="E2642" s="2">
        <v>868.0</v>
      </c>
      <c r="F2642" s="2">
        <v>436.84</v>
      </c>
      <c r="G2642" s="4">
        <f t="shared" si="3"/>
        <v>9223860.62</v>
      </c>
      <c r="H2642" s="4">
        <f t="shared" si="1"/>
        <v>0.9664141502</v>
      </c>
      <c r="I2642" s="4" t="str">
        <f t="shared" si="2"/>
        <v>C</v>
      </c>
    </row>
    <row r="2643">
      <c r="A2643" s="2">
        <v>2642.0</v>
      </c>
      <c r="B2643" s="2">
        <v>21338.0</v>
      </c>
      <c r="C2643" s="2" t="s">
        <v>3044</v>
      </c>
      <c r="D2643" s="2">
        <v>5.95</v>
      </c>
      <c r="E2643" s="2">
        <v>100.0</v>
      </c>
      <c r="F2643" s="2">
        <v>436.62</v>
      </c>
      <c r="G2643" s="4">
        <f t="shared" si="3"/>
        <v>9224297.24</v>
      </c>
      <c r="H2643" s="4">
        <f t="shared" si="1"/>
        <v>0.9664598963</v>
      </c>
      <c r="I2643" s="4" t="str">
        <f t="shared" si="2"/>
        <v>C</v>
      </c>
    </row>
    <row r="2644">
      <c r="A2644" s="2">
        <v>2643.0</v>
      </c>
      <c r="B2644" s="2">
        <v>85165.0</v>
      </c>
      <c r="C2644" s="2" t="s">
        <v>3045</v>
      </c>
      <c r="D2644" s="2">
        <v>8.47</v>
      </c>
      <c r="E2644" s="2">
        <v>45.0</v>
      </c>
      <c r="F2644" s="2">
        <v>436.38</v>
      </c>
      <c r="G2644" s="4">
        <f t="shared" si="3"/>
        <v>9224733.62</v>
      </c>
      <c r="H2644" s="4">
        <f t="shared" si="1"/>
        <v>0.9665056172</v>
      </c>
      <c r="I2644" s="4" t="str">
        <f t="shared" si="2"/>
        <v>C</v>
      </c>
    </row>
    <row r="2645">
      <c r="A2645" s="2">
        <v>2644.0</v>
      </c>
      <c r="B2645" s="2">
        <v>21293.0</v>
      </c>
      <c r="C2645" s="2" t="s">
        <v>3046</v>
      </c>
      <c r="D2645" s="2">
        <v>3.36</v>
      </c>
      <c r="E2645" s="2">
        <v>172.0</v>
      </c>
      <c r="F2645" s="2">
        <v>436.17</v>
      </c>
      <c r="G2645" s="4">
        <f t="shared" si="3"/>
        <v>9225169.79</v>
      </c>
      <c r="H2645" s="4">
        <f t="shared" si="1"/>
        <v>0.9665513162</v>
      </c>
      <c r="I2645" s="4" t="str">
        <f t="shared" si="2"/>
        <v>C</v>
      </c>
    </row>
    <row r="2646">
      <c r="A2646" s="2">
        <v>2645.0</v>
      </c>
      <c r="B2646" s="2">
        <v>23071.0</v>
      </c>
      <c r="C2646" s="2" t="s">
        <v>3047</v>
      </c>
      <c r="D2646" s="2">
        <v>12.5</v>
      </c>
      <c r="E2646" s="2">
        <v>124.0</v>
      </c>
      <c r="F2646" s="2">
        <v>435.55</v>
      </c>
      <c r="G2646" s="4">
        <f t="shared" si="3"/>
        <v>9225605.34</v>
      </c>
      <c r="H2646" s="4">
        <f t="shared" si="1"/>
        <v>0.9665969502</v>
      </c>
      <c r="I2646" s="4" t="str">
        <f t="shared" si="2"/>
        <v>C</v>
      </c>
    </row>
    <row r="2647">
      <c r="A2647" s="2">
        <v>2646.0</v>
      </c>
      <c r="B2647" s="2">
        <v>21414.0</v>
      </c>
      <c r="C2647" s="2" t="s">
        <v>3048</v>
      </c>
      <c r="D2647" s="2">
        <v>2.1</v>
      </c>
      <c r="E2647" s="2">
        <v>818.0</v>
      </c>
      <c r="F2647" s="2">
        <v>435.44</v>
      </c>
      <c r="G2647" s="4">
        <f t="shared" si="3"/>
        <v>9226040.78</v>
      </c>
      <c r="H2647" s="4">
        <f t="shared" si="1"/>
        <v>0.9666425727</v>
      </c>
      <c r="I2647" s="4" t="str">
        <f t="shared" si="2"/>
        <v>C</v>
      </c>
    </row>
    <row r="2648">
      <c r="A2648" s="2">
        <v>2647.0</v>
      </c>
      <c r="B2648" s="2">
        <v>23220.0</v>
      </c>
      <c r="C2648" s="2" t="s">
        <v>3049</v>
      </c>
      <c r="D2648" s="2">
        <v>0.83</v>
      </c>
      <c r="E2648" s="2">
        <v>497.0</v>
      </c>
      <c r="F2648" s="2">
        <v>434.99</v>
      </c>
      <c r="G2648" s="4">
        <f t="shared" si="3"/>
        <v>9226475.77</v>
      </c>
      <c r="H2648" s="4">
        <f t="shared" si="1"/>
        <v>0.966688148</v>
      </c>
      <c r="I2648" s="4" t="str">
        <f t="shared" si="2"/>
        <v>C</v>
      </c>
    </row>
    <row r="2649">
      <c r="A2649" s="2">
        <v>2648.0</v>
      </c>
      <c r="B2649" s="2">
        <v>23413.0</v>
      </c>
      <c r="C2649" s="2" t="s">
        <v>3050</v>
      </c>
      <c r="D2649" s="2">
        <v>4.95</v>
      </c>
      <c r="E2649" s="2">
        <v>82.0</v>
      </c>
      <c r="F2649" s="2">
        <v>434.86</v>
      </c>
      <c r="G2649" s="4">
        <f t="shared" si="3"/>
        <v>9226910.63</v>
      </c>
      <c r="H2649" s="4">
        <f t="shared" si="1"/>
        <v>0.9667337097</v>
      </c>
      <c r="I2649" s="4" t="str">
        <f t="shared" si="2"/>
        <v>C</v>
      </c>
    </row>
    <row r="2650">
      <c r="A2650" s="2">
        <v>2649.0</v>
      </c>
      <c r="B2650" s="2" t="s">
        <v>3051</v>
      </c>
      <c r="C2650" s="2" t="s">
        <v>3052</v>
      </c>
      <c r="D2650" s="2">
        <v>2.46</v>
      </c>
      <c r="E2650" s="2">
        <v>360.0</v>
      </c>
      <c r="F2650" s="2">
        <v>433.72</v>
      </c>
      <c r="G2650" s="4">
        <f t="shared" si="3"/>
        <v>9227344.35</v>
      </c>
      <c r="H2650" s="4">
        <f t="shared" si="1"/>
        <v>0.966779152</v>
      </c>
      <c r="I2650" s="4" t="str">
        <f t="shared" si="2"/>
        <v>C</v>
      </c>
    </row>
    <row r="2651">
      <c r="A2651" s="2">
        <v>2650.0</v>
      </c>
      <c r="B2651" s="2">
        <v>20941.0</v>
      </c>
      <c r="C2651" s="2" t="s">
        <v>3053</v>
      </c>
      <c r="D2651" s="2">
        <v>1.25</v>
      </c>
      <c r="E2651" s="2">
        <v>487.0</v>
      </c>
      <c r="F2651" s="2">
        <v>433.14</v>
      </c>
      <c r="G2651" s="4">
        <f t="shared" si="3"/>
        <v>9227777.49</v>
      </c>
      <c r="H2651" s="4">
        <f t="shared" si="1"/>
        <v>0.9668245335</v>
      </c>
      <c r="I2651" s="4" t="str">
        <f t="shared" si="2"/>
        <v>C</v>
      </c>
    </row>
    <row r="2652">
      <c r="A2652" s="2">
        <v>2651.0</v>
      </c>
      <c r="B2652" s="2">
        <v>21478.0</v>
      </c>
      <c r="C2652" s="2" t="s">
        <v>3054</v>
      </c>
      <c r="D2652" s="2">
        <v>3.75</v>
      </c>
      <c r="E2652" s="2">
        <v>104.0</v>
      </c>
      <c r="F2652" s="2">
        <v>432.74</v>
      </c>
      <c r="G2652" s="4">
        <f t="shared" si="3"/>
        <v>9228210.23</v>
      </c>
      <c r="H2652" s="4">
        <f t="shared" si="1"/>
        <v>0.9668698731</v>
      </c>
      <c r="I2652" s="4" t="str">
        <f t="shared" si="2"/>
        <v>C</v>
      </c>
    </row>
    <row r="2653">
      <c r="A2653" s="2">
        <v>2652.0</v>
      </c>
      <c r="B2653" s="2">
        <v>35954.0</v>
      </c>
      <c r="C2653" s="2" t="s">
        <v>3055</v>
      </c>
      <c r="D2653" s="2">
        <v>0.42</v>
      </c>
      <c r="E2653" s="2">
        <v>1122.0</v>
      </c>
      <c r="F2653" s="2">
        <v>432.74</v>
      </c>
      <c r="G2653" s="4">
        <f t="shared" si="3"/>
        <v>9228642.97</v>
      </c>
      <c r="H2653" s="4">
        <f t="shared" si="1"/>
        <v>0.9669152127</v>
      </c>
      <c r="I2653" s="4" t="str">
        <f t="shared" si="2"/>
        <v>C</v>
      </c>
    </row>
    <row r="2654">
      <c r="A2654" s="2">
        <v>2653.0</v>
      </c>
      <c r="B2654" s="2">
        <v>84820.0</v>
      </c>
      <c r="C2654" s="2" t="s">
        <v>3056</v>
      </c>
      <c r="D2654" s="2">
        <v>5.95</v>
      </c>
      <c r="E2654" s="2">
        <v>160.0</v>
      </c>
      <c r="F2654" s="2">
        <v>432.62</v>
      </c>
      <c r="G2654" s="4">
        <f t="shared" si="3"/>
        <v>9229075.59</v>
      </c>
      <c r="H2654" s="4">
        <f t="shared" si="1"/>
        <v>0.9669605397</v>
      </c>
      <c r="I2654" s="4" t="str">
        <f t="shared" si="2"/>
        <v>C</v>
      </c>
    </row>
    <row r="2655">
      <c r="A2655" s="2">
        <v>2654.0</v>
      </c>
      <c r="B2655" s="2" t="s">
        <v>3057</v>
      </c>
      <c r="C2655" s="2" t="s">
        <v>3058</v>
      </c>
      <c r="D2655" s="2">
        <v>3.75</v>
      </c>
      <c r="E2655" s="2">
        <v>255.0</v>
      </c>
      <c r="F2655" s="2">
        <v>432.05</v>
      </c>
      <c r="G2655" s="4">
        <f t="shared" si="3"/>
        <v>9229507.64</v>
      </c>
      <c r="H2655" s="4">
        <f t="shared" si="1"/>
        <v>0.967005807</v>
      </c>
      <c r="I2655" s="4" t="str">
        <f t="shared" si="2"/>
        <v>C</v>
      </c>
    </row>
    <row r="2656">
      <c r="A2656" s="2">
        <v>2655.0</v>
      </c>
      <c r="B2656" s="2">
        <v>84817.0</v>
      </c>
      <c r="C2656" s="2" t="s">
        <v>3059</v>
      </c>
      <c r="D2656" s="2">
        <v>2.1</v>
      </c>
      <c r="E2656" s="2">
        <v>512.0</v>
      </c>
      <c r="F2656" s="2">
        <v>430.92</v>
      </c>
      <c r="G2656" s="4">
        <f t="shared" si="3"/>
        <v>9229938.56</v>
      </c>
      <c r="H2656" s="4">
        <f t="shared" si="1"/>
        <v>0.9670509559</v>
      </c>
      <c r="I2656" s="4" t="str">
        <f t="shared" si="2"/>
        <v>C</v>
      </c>
    </row>
    <row r="2657">
      <c r="A2657" s="2">
        <v>2656.0</v>
      </c>
      <c r="B2657" s="2">
        <v>37424.0</v>
      </c>
      <c r="C2657" s="2" t="s">
        <v>3060</v>
      </c>
      <c r="D2657" s="2">
        <v>1.66</v>
      </c>
      <c r="E2657" s="2">
        <v>1570.0</v>
      </c>
      <c r="F2657" s="2">
        <v>430.91</v>
      </c>
      <c r="G2657" s="4">
        <f t="shared" si="3"/>
        <v>9230369.47</v>
      </c>
      <c r="H2657" s="4">
        <f t="shared" si="1"/>
        <v>0.9670961037</v>
      </c>
      <c r="I2657" s="4" t="str">
        <f t="shared" si="2"/>
        <v>C</v>
      </c>
    </row>
    <row r="2658">
      <c r="A2658" s="2">
        <v>2657.0</v>
      </c>
      <c r="B2658" s="2">
        <v>20803.0</v>
      </c>
      <c r="C2658" s="2" t="s">
        <v>3061</v>
      </c>
      <c r="D2658" s="2">
        <v>1.65</v>
      </c>
      <c r="E2658" s="2">
        <v>560.0</v>
      </c>
      <c r="F2658" s="2">
        <v>430.84</v>
      </c>
      <c r="G2658" s="4">
        <f t="shared" si="3"/>
        <v>9230800.31</v>
      </c>
      <c r="H2658" s="4">
        <f t="shared" si="1"/>
        <v>0.9671412443</v>
      </c>
      <c r="I2658" s="4" t="str">
        <f t="shared" si="2"/>
        <v>C</v>
      </c>
    </row>
    <row r="2659">
      <c r="A2659" s="2">
        <v>2658.0</v>
      </c>
      <c r="B2659" s="2">
        <v>21255.0</v>
      </c>
      <c r="C2659" s="2" t="s">
        <v>3062</v>
      </c>
      <c r="D2659" s="2">
        <v>1.65</v>
      </c>
      <c r="E2659" s="2">
        <v>238.0</v>
      </c>
      <c r="F2659" s="2">
        <v>430.04</v>
      </c>
      <c r="G2659" s="4">
        <f t="shared" si="3"/>
        <v>9231230.35</v>
      </c>
      <c r="H2659" s="4">
        <f t="shared" si="1"/>
        <v>0.967186301</v>
      </c>
      <c r="I2659" s="4" t="str">
        <f t="shared" si="2"/>
        <v>C</v>
      </c>
    </row>
    <row r="2660">
      <c r="A2660" s="2">
        <v>2659.0</v>
      </c>
      <c r="B2660" s="2">
        <v>84578.0</v>
      </c>
      <c r="C2660" s="2" t="s">
        <v>3063</v>
      </c>
      <c r="D2660" s="2">
        <v>3.75</v>
      </c>
      <c r="E2660" s="2">
        <v>112.0</v>
      </c>
      <c r="F2660" s="2">
        <v>429.33</v>
      </c>
      <c r="G2660" s="4">
        <f t="shared" si="3"/>
        <v>9231659.68</v>
      </c>
      <c r="H2660" s="4">
        <f t="shared" si="1"/>
        <v>0.9672312833</v>
      </c>
      <c r="I2660" s="4" t="str">
        <f t="shared" si="2"/>
        <v>C</v>
      </c>
    </row>
    <row r="2661">
      <c r="A2661" s="2">
        <v>2660.0</v>
      </c>
      <c r="B2661" s="2">
        <v>16046.0</v>
      </c>
      <c r="C2661" s="2" t="s">
        <v>3064</v>
      </c>
      <c r="D2661" s="2">
        <v>0.85</v>
      </c>
      <c r="E2661" s="2">
        <v>2726.0</v>
      </c>
      <c r="F2661" s="2">
        <v>429.13</v>
      </c>
      <c r="G2661" s="4">
        <f t="shared" si="3"/>
        <v>9232088.81</v>
      </c>
      <c r="H2661" s="4">
        <f t="shared" si="1"/>
        <v>0.9672762446</v>
      </c>
      <c r="I2661" s="4" t="str">
        <f t="shared" si="2"/>
        <v>C</v>
      </c>
    </row>
    <row r="2662">
      <c r="A2662" s="2">
        <v>2661.0</v>
      </c>
      <c r="B2662" s="2">
        <v>17033.0</v>
      </c>
      <c r="C2662" s="2" t="s">
        <v>3065</v>
      </c>
      <c r="D2662" s="2">
        <v>0.29</v>
      </c>
      <c r="E2662" s="2">
        <v>1622.0</v>
      </c>
      <c r="F2662" s="2">
        <v>428.7</v>
      </c>
      <c r="G2662" s="4">
        <f t="shared" si="3"/>
        <v>9232517.51</v>
      </c>
      <c r="H2662" s="4">
        <f t="shared" si="1"/>
        <v>0.9673211609</v>
      </c>
      <c r="I2662" s="4" t="str">
        <f t="shared" si="2"/>
        <v>C</v>
      </c>
    </row>
    <row r="2663">
      <c r="A2663" s="2">
        <v>2662.0</v>
      </c>
      <c r="B2663" s="2">
        <v>20756.0</v>
      </c>
      <c r="C2663" s="2" t="s">
        <v>3066</v>
      </c>
      <c r="D2663" s="2">
        <v>0.85</v>
      </c>
      <c r="E2663" s="2">
        <v>2867.0</v>
      </c>
      <c r="F2663" s="2">
        <v>428.33</v>
      </c>
      <c r="G2663" s="4">
        <f t="shared" si="3"/>
        <v>9232945.84</v>
      </c>
      <c r="H2663" s="4">
        <f t="shared" si="1"/>
        <v>0.9673660385</v>
      </c>
      <c r="I2663" s="4" t="str">
        <f t="shared" si="2"/>
        <v>C</v>
      </c>
    </row>
    <row r="2664">
      <c r="A2664" s="2">
        <v>2663.0</v>
      </c>
      <c r="B2664" s="2" t="s">
        <v>3067</v>
      </c>
      <c r="C2664" s="2" t="s">
        <v>3068</v>
      </c>
      <c r="D2664" s="2">
        <v>0.79</v>
      </c>
      <c r="E2664" s="2">
        <v>430.0</v>
      </c>
      <c r="F2664" s="2">
        <v>427.63</v>
      </c>
      <c r="G2664" s="4">
        <f t="shared" si="3"/>
        <v>9233373.47</v>
      </c>
      <c r="H2664" s="4">
        <f t="shared" si="1"/>
        <v>0.9674108427</v>
      </c>
      <c r="I2664" s="4" t="str">
        <f t="shared" si="2"/>
        <v>C</v>
      </c>
    </row>
    <row r="2665">
      <c r="A2665" s="2">
        <v>2664.0</v>
      </c>
      <c r="B2665" s="2">
        <v>21376.0</v>
      </c>
      <c r="C2665" s="2" t="s">
        <v>3069</v>
      </c>
      <c r="D2665" s="2">
        <v>5.45</v>
      </c>
      <c r="E2665" s="2">
        <v>94.0</v>
      </c>
      <c r="F2665" s="2">
        <v>427.46</v>
      </c>
      <c r="G2665" s="4">
        <f t="shared" si="3"/>
        <v>9233800.93</v>
      </c>
      <c r="H2665" s="4">
        <f t="shared" si="1"/>
        <v>0.9674556291</v>
      </c>
      <c r="I2665" s="4" t="str">
        <f t="shared" si="2"/>
        <v>C</v>
      </c>
    </row>
    <row r="2666">
      <c r="A2666" s="2">
        <v>2665.0</v>
      </c>
      <c r="B2666" s="2">
        <v>20894.0</v>
      </c>
      <c r="C2666" s="2" t="s">
        <v>3070</v>
      </c>
      <c r="D2666" s="2">
        <v>2.95</v>
      </c>
      <c r="E2666" s="2">
        <v>138.0</v>
      </c>
      <c r="F2666" s="2">
        <v>425.45</v>
      </c>
      <c r="G2666" s="4">
        <f t="shared" si="3"/>
        <v>9234226.38</v>
      </c>
      <c r="H2666" s="4">
        <f t="shared" si="1"/>
        <v>0.9675002049</v>
      </c>
      <c r="I2666" s="4" t="str">
        <f t="shared" si="2"/>
        <v>C</v>
      </c>
    </row>
    <row r="2667">
      <c r="A2667" s="2">
        <v>2666.0</v>
      </c>
      <c r="B2667" s="2">
        <v>22547.0</v>
      </c>
      <c r="C2667" s="2" t="s">
        <v>3071</v>
      </c>
      <c r="D2667" s="2">
        <v>0.42</v>
      </c>
      <c r="E2667" s="2">
        <v>994.0</v>
      </c>
      <c r="F2667" s="2">
        <v>425.3</v>
      </c>
      <c r="G2667" s="4">
        <f t="shared" si="3"/>
        <v>9234651.68</v>
      </c>
      <c r="H2667" s="4">
        <f t="shared" si="1"/>
        <v>0.9675447649</v>
      </c>
      <c r="I2667" s="4" t="str">
        <f t="shared" si="2"/>
        <v>C</v>
      </c>
    </row>
    <row r="2668">
      <c r="A2668" s="2">
        <v>2667.0</v>
      </c>
      <c r="B2668" s="2">
        <v>20936.0</v>
      </c>
      <c r="C2668" s="2" t="s">
        <v>3072</v>
      </c>
      <c r="D2668" s="2">
        <v>2.95</v>
      </c>
      <c r="E2668" s="2">
        <v>168.0</v>
      </c>
      <c r="F2668" s="2">
        <v>424.65</v>
      </c>
      <c r="G2668" s="4">
        <f t="shared" si="3"/>
        <v>9235076.33</v>
      </c>
      <c r="H2668" s="4">
        <f t="shared" si="1"/>
        <v>0.9675892569</v>
      </c>
      <c r="I2668" s="4" t="str">
        <f t="shared" si="2"/>
        <v>C</v>
      </c>
    </row>
    <row r="2669">
      <c r="A2669" s="2">
        <v>2668.0</v>
      </c>
      <c r="B2669" s="2">
        <v>21458.0</v>
      </c>
      <c r="C2669" s="2" t="s">
        <v>3073</v>
      </c>
      <c r="D2669" s="2">
        <v>1.25</v>
      </c>
      <c r="E2669" s="2">
        <v>384.0</v>
      </c>
      <c r="F2669" s="2">
        <v>424.62</v>
      </c>
      <c r="G2669" s="4">
        <f t="shared" si="3"/>
        <v>9235500.95</v>
      </c>
      <c r="H2669" s="4">
        <f t="shared" si="1"/>
        <v>0.9676337457</v>
      </c>
      <c r="I2669" s="4" t="str">
        <f t="shared" si="2"/>
        <v>C</v>
      </c>
    </row>
    <row r="2670">
      <c r="A2670" s="2">
        <v>2669.0</v>
      </c>
      <c r="B2670" s="2" t="s">
        <v>3074</v>
      </c>
      <c r="C2670" s="2" t="s">
        <v>1222</v>
      </c>
      <c r="D2670" s="2">
        <v>4.13</v>
      </c>
      <c r="E2670" s="2">
        <v>102.0</v>
      </c>
      <c r="F2670" s="2">
        <v>424.2</v>
      </c>
      <c r="G2670" s="4">
        <f t="shared" si="3"/>
        <v>9235925.15</v>
      </c>
      <c r="H2670" s="4">
        <f t="shared" si="1"/>
        <v>0.9676781906</v>
      </c>
      <c r="I2670" s="4" t="str">
        <f t="shared" si="2"/>
        <v>C</v>
      </c>
    </row>
    <row r="2671">
      <c r="A2671" s="2">
        <v>2670.0</v>
      </c>
      <c r="B2671" s="2">
        <v>21393.0</v>
      </c>
      <c r="C2671" s="2" t="s">
        <v>3075</v>
      </c>
      <c r="D2671" s="2">
        <v>2.1</v>
      </c>
      <c r="E2671" s="2">
        <v>1374.0</v>
      </c>
      <c r="F2671" s="2">
        <v>424.16</v>
      </c>
      <c r="G2671" s="4">
        <f t="shared" si="3"/>
        <v>9236349.31</v>
      </c>
      <c r="H2671" s="4">
        <f t="shared" si="1"/>
        <v>0.9677226312</v>
      </c>
      <c r="I2671" s="4" t="str">
        <f t="shared" si="2"/>
        <v>C</v>
      </c>
    </row>
    <row r="2672">
      <c r="A2672" s="2">
        <v>2671.0</v>
      </c>
      <c r="B2672" s="2">
        <v>85208.0</v>
      </c>
      <c r="C2672" s="2" t="s">
        <v>3076</v>
      </c>
      <c r="D2672" s="2">
        <v>2.1</v>
      </c>
      <c r="E2672" s="2">
        <v>212.0</v>
      </c>
      <c r="F2672" s="2">
        <v>422.67</v>
      </c>
      <c r="G2672" s="4">
        <f t="shared" si="3"/>
        <v>9236771.98</v>
      </c>
      <c r="H2672" s="4">
        <f t="shared" si="1"/>
        <v>0.9677669157</v>
      </c>
      <c r="I2672" s="4" t="str">
        <f t="shared" si="2"/>
        <v>C</v>
      </c>
    </row>
    <row r="2673">
      <c r="A2673" s="2">
        <v>2672.0</v>
      </c>
      <c r="B2673" s="2">
        <v>22820.0</v>
      </c>
      <c r="C2673" s="2" t="s">
        <v>3077</v>
      </c>
      <c r="D2673" s="2">
        <v>0.65</v>
      </c>
      <c r="E2673" s="2">
        <v>676.0</v>
      </c>
      <c r="F2673" s="2">
        <v>422.57</v>
      </c>
      <c r="G2673" s="4">
        <f t="shared" si="3"/>
        <v>9237194.55</v>
      </c>
      <c r="H2673" s="4">
        <f t="shared" si="1"/>
        <v>0.9678111898</v>
      </c>
      <c r="I2673" s="4" t="str">
        <f t="shared" si="2"/>
        <v>C</v>
      </c>
    </row>
    <row r="2674">
      <c r="A2674" s="2">
        <v>2673.0</v>
      </c>
      <c r="B2674" s="2" t="s">
        <v>3078</v>
      </c>
      <c r="C2674" s="2" t="s">
        <v>905</v>
      </c>
      <c r="D2674" s="2">
        <v>7.46</v>
      </c>
      <c r="E2674" s="2">
        <v>56.0</v>
      </c>
      <c r="F2674" s="2">
        <v>422.37</v>
      </c>
      <c r="G2674" s="4">
        <f t="shared" si="3"/>
        <v>9237616.92</v>
      </c>
      <c r="H2674" s="4">
        <f t="shared" si="1"/>
        <v>0.9678554429</v>
      </c>
      <c r="I2674" s="4" t="str">
        <f t="shared" si="2"/>
        <v>C</v>
      </c>
    </row>
    <row r="2675">
      <c r="A2675" s="2">
        <v>2674.0</v>
      </c>
      <c r="B2675" s="2" t="s">
        <v>3079</v>
      </c>
      <c r="C2675" s="2" t="s">
        <v>3080</v>
      </c>
      <c r="D2675" s="2">
        <v>4.98</v>
      </c>
      <c r="E2675" s="2">
        <v>84.0</v>
      </c>
      <c r="F2675" s="2">
        <v>421.96</v>
      </c>
      <c r="G2675" s="4">
        <f t="shared" si="3"/>
        <v>9238038.88</v>
      </c>
      <c r="H2675" s="4">
        <f t="shared" si="1"/>
        <v>0.967899653</v>
      </c>
      <c r="I2675" s="4" t="str">
        <f t="shared" si="2"/>
        <v>C</v>
      </c>
    </row>
    <row r="2676">
      <c r="A2676" s="2">
        <v>2675.0</v>
      </c>
      <c r="B2676" s="2">
        <v>21552.0</v>
      </c>
      <c r="C2676" s="2" t="s">
        <v>3081</v>
      </c>
      <c r="D2676" s="2">
        <v>5.95</v>
      </c>
      <c r="E2676" s="2">
        <v>83.0</v>
      </c>
      <c r="F2676" s="2">
        <v>421.78</v>
      </c>
      <c r="G2676" s="4">
        <f t="shared" si="3"/>
        <v>9238460.66</v>
      </c>
      <c r="H2676" s="4">
        <f t="shared" si="1"/>
        <v>0.9679438443</v>
      </c>
      <c r="I2676" s="4" t="str">
        <f t="shared" si="2"/>
        <v>C</v>
      </c>
    </row>
    <row r="2677">
      <c r="A2677" s="2">
        <v>2676.0</v>
      </c>
      <c r="B2677" s="2">
        <v>20661.0</v>
      </c>
      <c r="C2677" s="2" t="s">
        <v>3082</v>
      </c>
      <c r="D2677" s="2">
        <v>2.51</v>
      </c>
      <c r="E2677" s="2">
        <v>284.0</v>
      </c>
      <c r="F2677" s="2">
        <v>421.76</v>
      </c>
      <c r="G2677" s="4">
        <f t="shared" si="3"/>
        <v>9238882.42</v>
      </c>
      <c r="H2677" s="4">
        <f t="shared" si="1"/>
        <v>0.9679880335</v>
      </c>
      <c r="I2677" s="4" t="str">
        <f t="shared" si="2"/>
        <v>C</v>
      </c>
    </row>
    <row r="2678">
      <c r="A2678" s="2">
        <v>2677.0</v>
      </c>
      <c r="B2678" s="2" t="s">
        <v>3083</v>
      </c>
      <c r="C2678" s="2" t="s">
        <v>3084</v>
      </c>
      <c r="D2678" s="2">
        <v>0.85</v>
      </c>
      <c r="E2678" s="2">
        <v>522.0</v>
      </c>
      <c r="F2678" s="2">
        <v>420.88</v>
      </c>
      <c r="G2678" s="4">
        <f t="shared" si="3"/>
        <v>9239303.3</v>
      </c>
      <c r="H2678" s="4">
        <f t="shared" si="1"/>
        <v>0.9680321304</v>
      </c>
      <c r="I2678" s="4" t="str">
        <f t="shared" si="2"/>
        <v>C</v>
      </c>
    </row>
    <row r="2679">
      <c r="A2679" s="2">
        <v>2678.0</v>
      </c>
      <c r="B2679" s="2">
        <v>21300.0</v>
      </c>
      <c r="C2679" s="2" t="s">
        <v>3085</v>
      </c>
      <c r="D2679" s="2">
        <v>12.75</v>
      </c>
      <c r="E2679" s="2">
        <v>26.0</v>
      </c>
      <c r="F2679" s="2">
        <v>420.85</v>
      </c>
      <c r="G2679" s="4">
        <f t="shared" si="3"/>
        <v>9239724.15</v>
      </c>
      <c r="H2679" s="4">
        <f t="shared" si="1"/>
        <v>0.9680762243</v>
      </c>
      <c r="I2679" s="4" t="str">
        <f t="shared" si="2"/>
        <v>C</v>
      </c>
    </row>
    <row r="2680">
      <c r="A2680" s="2">
        <v>2679.0</v>
      </c>
      <c r="B2680" s="2">
        <v>21128.0</v>
      </c>
      <c r="C2680" s="2" t="s">
        <v>3086</v>
      </c>
      <c r="D2680" s="2">
        <v>12.46</v>
      </c>
      <c r="E2680" s="2">
        <v>63.0</v>
      </c>
      <c r="F2680" s="2">
        <v>420.82</v>
      </c>
      <c r="G2680" s="4">
        <f t="shared" si="3"/>
        <v>9240144.97</v>
      </c>
      <c r="H2680" s="4">
        <f t="shared" si="1"/>
        <v>0.968120315</v>
      </c>
      <c r="I2680" s="4" t="str">
        <f t="shared" si="2"/>
        <v>C</v>
      </c>
    </row>
    <row r="2681">
      <c r="A2681" s="2">
        <v>2680.0</v>
      </c>
      <c r="B2681" s="2">
        <v>23564.0</v>
      </c>
      <c r="C2681" s="2" t="s">
        <v>3087</v>
      </c>
      <c r="D2681" s="2">
        <v>1.25</v>
      </c>
      <c r="E2681" s="2">
        <v>322.0</v>
      </c>
      <c r="F2681" s="2">
        <v>420.66</v>
      </c>
      <c r="G2681" s="4">
        <f t="shared" si="3"/>
        <v>9240565.63</v>
      </c>
      <c r="H2681" s="4">
        <f t="shared" si="1"/>
        <v>0.9681643889</v>
      </c>
      <c r="I2681" s="4" t="str">
        <f t="shared" si="2"/>
        <v>C</v>
      </c>
    </row>
    <row r="2682">
      <c r="A2682" s="2">
        <v>2681.0</v>
      </c>
      <c r="B2682" s="2">
        <v>23551.0</v>
      </c>
      <c r="C2682" s="2" t="s">
        <v>3088</v>
      </c>
      <c r="D2682" s="2">
        <v>0.39</v>
      </c>
      <c r="E2682" s="2">
        <v>922.0</v>
      </c>
      <c r="F2682" s="2">
        <v>420.5</v>
      </c>
      <c r="G2682" s="4">
        <f t="shared" si="3"/>
        <v>9240986.13</v>
      </c>
      <c r="H2682" s="4">
        <f t="shared" si="1"/>
        <v>0.9682084461</v>
      </c>
      <c r="I2682" s="4" t="str">
        <f t="shared" si="2"/>
        <v>C</v>
      </c>
    </row>
    <row r="2683">
      <c r="A2683" s="2">
        <v>2682.0</v>
      </c>
      <c r="B2683" s="2" t="s">
        <v>3089</v>
      </c>
      <c r="C2683" s="2" t="s">
        <v>3090</v>
      </c>
      <c r="D2683" s="2">
        <v>1.95</v>
      </c>
      <c r="E2683" s="2">
        <v>193.0</v>
      </c>
      <c r="F2683" s="2">
        <v>420.46</v>
      </c>
      <c r="G2683" s="4">
        <f t="shared" si="3"/>
        <v>9241406.59</v>
      </c>
      <c r="H2683" s="4">
        <f t="shared" si="1"/>
        <v>0.968252499</v>
      </c>
      <c r="I2683" s="4" t="str">
        <f t="shared" si="2"/>
        <v>C</v>
      </c>
    </row>
    <row r="2684">
      <c r="A2684" s="2">
        <v>2683.0</v>
      </c>
      <c r="B2684" s="2">
        <v>17039.0</v>
      </c>
      <c r="C2684" s="2" t="s">
        <v>3091</v>
      </c>
      <c r="D2684" s="2">
        <v>0.29</v>
      </c>
      <c r="E2684" s="2">
        <v>1854.0</v>
      </c>
      <c r="F2684" s="2">
        <v>418.94</v>
      </c>
      <c r="G2684" s="4">
        <f t="shared" si="3"/>
        <v>9241825.53</v>
      </c>
      <c r="H2684" s="4">
        <f t="shared" si="1"/>
        <v>0.9682963928</v>
      </c>
      <c r="I2684" s="4" t="str">
        <f t="shared" si="2"/>
        <v>C</v>
      </c>
    </row>
    <row r="2685">
      <c r="A2685" s="2">
        <v>2684.0</v>
      </c>
      <c r="B2685" s="2" t="s">
        <v>3092</v>
      </c>
      <c r="C2685" s="2" t="s">
        <v>3093</v>
      </c>
      <c r="D2685" s="2">
        <v>3.29</v>
      </c>
      <c r="E2685" s="2">
        <v>172.0</v>
      </c>
      <c r="F2685" s="2">
        <v>418.94</v>
      </c>
      <c r="G2685" s="4">
        <f t="shared" si="3"/>
        <v>9242244.47</v>
      </c>
      <c r="H2685" s="4">
        <f t="shared" si="1"/>
        <v>0.9683402865</v>
      </c>
      <c r="I2685" s="4" t="str">
        <f t="shared" si="2"/>
        <v>C</v>
      </c>
    </row>
    <row r="2686">
      <c r="A2686" s="2">
        <v>2685.0</v>
      </c>
      <c r="B2686" s="2" t="s">
        <v>3094</v>
      </c>
      <c r="C2686" s="2" t="s">
        <v>3095</v>
      </c>
      <c r="D2686" s="2">
        <v>8.47</v>
      </c>
      <c r="E2686" s="2">
        <v>56.0</v>
      </c>
      <c r="F2686" s="2">
        <v>418.88</v>
      </c>
      <c r="G2686" s="4">
        <f t="shared" si="3"/>
        <v>9242663.35</v>
      </c>
      <c r="H2686" s="4">
        <f t="shared" si="1"/>
        <v>0.9683841739</v>
      </c>
      <c r="I2686" s="4" t="str">
        <f t="shared" si="2"/>
        <v>C</v>
      </c>
    </row>
    <row r="2687">
      <c r="A2687" s="2">
        <v>2686.0</v>
      </c>
      <c r="B2687" s="2" t="s">
        <v>3096</v>
      </c>
      <c r="C2687" s="2" t="s">
        <v>3097</v>
      </c>
      <c r="D2687" s="2">
        <v>0.83</v>
      </c>
      <c r="E2687" s="2">
        <v>642.0</v>
      </c>
      <c r="F2687" s="2">
        <v>418.62</v>
      </c>
      <c r="G2687" s="4">
        <f t="shared" si="3"/>
        <v>9243081.97</v>
      </c>
      <c r="H2687" s="4">
        <f t="shared" si="1"/>
        <v>0.9684280341</v>
      </c>
      <c r="I2687" s="4" t="str">
        <f t="shared" si="2"/>
        <v>C</v>
      </c>
    </row>
    <row r="2688">
      <c r="A2688" s="2">
        <v>2687.0</v>
      </c>
      <c r="B2688" s="2" t="s">
        <v>3098</v>
      </c>
      <c r="C2688" s="2" t="s">
        <v>3099</v>
      </c>
      <c r="D2688" s="2">
        <v>1.69</v>
      </c>
      <c r="E2688" s="2">
        <v>236.0</v>
      </c>
      <c r="F2688" s="2">
        <v>417.63</v>
      </c>
      <c r="G2688" s="4">
        <f t="shared" si="3"/>
        <v>9243499.6</v>
      </c>
      <c r="H2688" s="4">
        <f t="shared" si="1"/>
        <v>0.9684717906</v>
      </c>
      <c r="I2688" s="4" t="str">
        <f t="shared" si="2"/>
        <v>C</v>
      </c>
    </row>
    <row r="2689">
      <c r="A2689" s="2">
        <v>2688.0</v>
      </c>
      <c r="B2689" s="2" t="s">
        <v>3100</v>
      </c>
      <c r="C2689" s="2" t="s">
        <v>3101</v>
      </c>
      <c r="D2689" s="2">
        <v>3.36</v>
      </c>
      <c r="E2689" s="2">
        <v>121.0</v>
      </c>
      <c r="F2689" s="2">
        <v>417.48</v>
      </c>
      <c r="G2689" s="4">
        <f t="shared" si="3"/>
        <v>9243917.08</v>
      </c>
      <c r="H2689" s="4">
        <f t="shared" si="1"/>
        <v>0.9685155313</v>
      </c>
      <c r="I2689" s="4" t="str">
        <f t="shared" si="2"/>
        <v>C</v>
      </c>
    </row>
    <row r="2690">
      <c r="A2690" s="2">
        <v>2689.0</v>
      </c>
      <c r="B2690" s="2">
        <v>20776.0</v>
      </c>
      <c r="C2690" s="2" t="s">
        <v>3102</v>
      </c>
      <c r="D2690" s="2">
        <v>1.65</v>
      </c>
      <c r="E2690" s="2">
        <v>1630.0</v>
      </c>
      <c r="F2690" s="2">
        <v>417.16</v>
      </c>
      <c r="G2690" s="4">
        <f t="shared" si="3"/>
        <v>9244334.24</v>
      </c>
      <c r="H2690" s="4">
        <f t="shared" si="1"/>
        <v>0.9685592385</v>
      </c>
      <c r="I2690" s="4" t="str">
        <f t="shared" si="2"/>
        <v>C</v>
      </c>
    </row>
    <row r="2691">
      <c r="A2691" s="2">
        <v>2690.0</v>
      </c>
      <c r="B2691" s="2" t="s">
        <v>3103</v>
      </c>
      <c r="C2691" s="2" t="s">
        <v>3104</v>
      </c>
      <c r="D2691" s="2">
        <v>1.68</v>
      </c>
      <c r="E2691" s="2">
        <v>300.0</v>
      </c>
      <c r="F2691" s="2">
        <v>416.57</v>
      </c>
      <c r="G2691" s="4">
        <f t="shared" si="3"/>
        <v>9244750.81</v>
      </c>
      <c r="H2691" s="4">
        <f t="shared" si="1"/>
        <v>0.9686028839</v>
      </c>
      <c r="I2691" s="4" t="str">
        <f t="shared" si="2"/>
        <v>C</v>
      </c>
    </row>
    <row r="2692">
      <c r="A2692" s="2">
        <v>2691.0</v>
      </c>
      <c r="B2692" s="2">
        <v>21185.0</v>
      </c>
      <c r="C2692" s="2" t="s">
        <v>3105</v>
      </c>
      <c r="D2692" s="2">
        <v>6.35</v>
      </c>
      <c r="E2692" s="2">
        <v>62.0</v>
      </c>
      <c r="F2692" s="2">
        <v>415.92</v>
      </c>
      <c r="G2692" s="4">
        <f t="shared" si="3"/>
        <v>9245166.73</v>
      </c>
      <c r="H2692" s="4">
        <f t="shared" si="1"/>
        <v>0.9686464612</v>
      </c>
      <c r="I2692" s="4" t="str">
        <f t="shared" si="2"/>
        <v>C</v>
      </c>
    </row>
    <row r="2693">
      <c r="A2693" s="2">
        <v>2692.0</v>
      </c>
      <c r="B2693" s="2">
        <v>85213.0</v>
      </c>
      <c r="C2693" s="2" t="s">
        <v>3106</v>
      </c>
      <c r="D2693" s="2">
        <v>0.85</v>
      </c>
      <c r="E2693" s="2">
        <v>694.0</v>
      </c>
      <c r="F2693" s="2">
        <v>415.81</v>
      </c>
      <c r="G2693" s="4">
        <f t="shared" si="3"/>
        <v>9245582.54</v>
      </c>
      <c r="H2693" s="4">
        <f t="shared" si="1"/>
        <v>0.968690027</v>
      </c>
      <c r="I2693" s="4" t="str">
        <f t="shared" si="2"/>
        <v>C</v>
      </c>
    </row>
    <row r="2694">
      <c r="A2694" s="2">
        <v>2693.0</v>
      </c>
      <c r="B2694" s="2">
        <v>85196.0</v>
      </c>
      <c r="C2694" s="2" t="s">
        <v>3107</v>
      </c>
      <c r="D2694" s="2">
        <v>0.55</v>
      </c>
      <c r="E2694" s="2">
        <v>782.0</v>
      </c>
      <c r="F2694" s="2">
        <v>415.52</v>
      </c>
      <c r="G2694" s="4">
        <f t="shared" si="3"/>
        <v>9245998.06</v>
      </c>
      <c r="H2694" s="4">
        <f t="shared" si="1"/>
        <v>0.9687335624</v>
      </c>
      <c r="I2694" s="4" t="str">
        <f t="shared" si="2"/>
        <v>C</v>
      </c>
    </row>
    <row r="2695">
      <c r="A2695" s="2">
        <v>2694.0</v>
      </c>
      <c r="B2695" s="2">
        <v>23017.0</v>
      </c>
      <c r="C2695" s="2" t="s">
        <v>3108</v>
      </c>
      <c r="D2695" s="2">
        <v>12.5</v>
      </c>
      <c r="E2695" s="2">
        <v>34.0</v>
      </c>
      <c r="F2695" s="2">
        <v>413.14</v>
      </c>
      <c r="G2695" s="4">
        <f t="shared" si="3"/>
        <v>9246411.2</v>
      </c>
      <c r="H2695" s="4">
        <f t="shared" si="1"/>
        <v>0.9687768484</v>
      </c>
      <c r="I2695" s="4" t="str">
        <f t="shared" si="2"/>
        <v>C</v>
      </c>
    </row>
    <row r="2696">
      <c r="A2696" s="2">
        <v>2695.0</v>
      </c>
      <c r="B2696" s="2">
        <v>85161.0</v>
      </c>
      <c r="C2696" s="2" t="s">
        <v>3109</v>
      </c>
      <c r="D2696" s="2">
        <v>18.95</v>
      </c>
      <c r="E2696" s="2">
        <v>24.0</v>
      </c>
      <c r="F2696" s="2">
        <v>412.98</v>
      </c>
      <c r="G2696" s="4">
        <f t="shared" si="3"/>
        <v>9246824.18</v>
      </c>
      <c r="H2696" s="4">
        <f t="shared" si="1"/>
        <v>0.9688201177</v>
      </c>
      <c r="I2696" s="4" t="str">
        <f t="shared" si="2"/>
        <v>C</v>
      </c>
    </row>
    <row r="2697">
      <c r="A2697" s="2">
        <v>2696.0</v>
      </c>
      <c r="B2697" s="2">
        <v>22510.0</v>
      </c>
      <c r="C2697" s="2" t="s">
        <v>3110</v>
      </c>
      <c r="D2697" s="2">
        <v>3.75</v>
      </c>
      <c r="E2697" s="2">
        <v>158.0</v>
      </c>
      <c r="F2697" s="2">
        <v>412.66</v>
      </c>
      <c r="G2697" s="4">
        <f t="shared" si="3"/>
        <v>9247236.84</v>
      </c>
      <c r="H2697" s="4">
        <f t="shared" si="1"/>
        <v>0.9688633535</v>
      </c>
      <c r="I2697" s="4" t="str">
        <f t="shared" si="2"/>
        <v>C</v>
      </c>
    </row>
    <row r="2698">
      <c r="A2698" s="2">
        <v>2697.0</v>
      </c>
      <c r="B2698" s="2">
        <v>21551.0</v>
      </c>
      <c r="C2698" s="2" t="s">
        <v>3111</v>
      </c>
      <c r="D2698" s="2">
        <v>5.95</v>
      </c>
      <c r="E2698" s="2">
        <v>84.0</v>
      </c>
      <c r="F2698" s="2">
        <v>412.48</v>
      </c>
      <c r="G2698" s="4">
        <f t="shared" si="3"/>
        <v>9247649.32</v>
      </c>
      <c r="H2698" s="4">
        <f t="shared" si="1"/>
        <v>0.9689065703</v>
      </c>
      <c r="I2698" s="4" t="str">
        <f t="shared" si="2"/>
        <v>C</v>
      </c>
    </row>
    <row r="2699">
      <c r="A2699" s="2">
        <v>2698.0</v>
      </c>
      <c r="B2699" s="2">
        <v>22229.0</v>
      </c>
      <c r="C2699" s="2" t="s">
        <v>3112</v>
      </c>
      <c r="D2699" s="2">
        <v>0.85</v>
      </c>
      <c r="E2699" s="2">
        <v>492.0</v>
      </c>
      <c r="F2699" s="2">
        <v>412.45</v>
      </c>
      <c r="G2699" s="4">
        <f t="shared" si="3"/>
        <v>9248061.77</v>
      </c>
      <c r="H2699" s="4">
        <f t="shared" si="1"/>
        <v>0.9689497841</v>
      </c>
      <c r="I2699" s="4" t="str">
        <f t="shared" si="2"/>
        <v>C</v>
      </c>
    </row>
    <row r="2700">
      <c r="A2700" s="2">
        <v>2699.0</v>
      </c>
      <c r="B2700" s="2">
        <v>21654.0</v>
      </c>
      <c r="C2700" s="2" t="s">
        <v>3113</v>
      </c>
      <c r="D2700" s="2">
        <v>1.45</v>
      </c>
      <c r="E2700" s="2">
        <v>598.0</v>
      </c>
      <c r="F2700" s="2">
        <v>412.44</v>
      </c>
      <c r="G2700" s="4">
        <f t="shared" si="3"/>
        <v>9248474.21</v>
      </c>
      <c r="H2700" s="4">
        <f t="shared" si="1"/>
        <v>0.9689929968</v>
      </c>
      <c r="I2700" s="4" t="str">
        <f t="shared" si="2"/>
        <v>C</v>
      </c>
    </row>
    <row r="2701">
      <c r="A2701" s="2">
        <v>2700.0</v>
      </c>
      <c r="B2701" s="2">
        <v>22289.0</v>
      </c>
      <c r="C2701" s="2" t="s">
        <v>3114</v>
      </c>
      <c r="D2701" s="2">
        <v>1.25</v>
      </c>
      <c r="E2701" s="2">
        <v>384.0</v>
      </c>
      <c r="F2701" s="2">
        <v>411.24</v>
      </c>
      <c r="G2701" s="4">
        <f t="shared" si="3"/>
        <v>9248885.45</v>
      </c>
      <c r="H2701" s="4">
        <f t="shared" si="1"/>
        <v>0.9690360837</v>
      </c>
      <c r="I2701" s="4" t="str">
        <f t="shared" si="2"/>
        <v>C</v>
      </c>
    </row>
    <row r="2702">
      <c r="A2702" s="2">
        <v>2701.0</v>
      </c>
      <c r="B2702" s="2" t="s">
        <v>3115</v>
      </c>
      <c r="C2702" s="2" t="s">
        <v>2858</v>
      </c>
      <c r="D2702" s="2">
        <v>1.25</v>
      </c>
      <c r="E2702" s="2">
        <v>386.0</v>
      </c>
      <c r="F2702" s="2">
        <v>410.63</v>
      </c>
      <c r="G2702" s="4">
        <f t="shared" si="3"/>
        <v>9249296.08</v>
      </c>
      <c r="H2702" s="4">
        <f t="shared" si="1"/>
        <v>0.9690791068</v>
      </c>
      <c r="I2702" s="4" t="str">
        <f t="shared" si="2"/>
        <v>C</v>
      </c>
    </row>
    <row r="2703">
      <c r="A2703" s="2">
        <v>2702.0</v>
      </c>
      <c r="B2703" s="2">
        <v>21375.0</v>
      </c>
      <c r="C2703" s="2" t="s">
        <v>3116</v>
      </c>
      <c r="D2703" s="2">
        <v>10.79</v>
      </c>
      <c r="E2703" s="2">
        <v>68.0</v>
      </c>
      <c r="F2703" s="2">
        <v>410.05</v>
      </c>
      <c r="G2703" s="4">
        <f t="shared" si="3"/>
        <v>9249706.13</v>
      </c>
      <c r="H2703" s="4">
        <f t="shared" si="1"/>
        <v>0.9691220691</v>
      </c>
      <c r="I2703" s="4" t="str">
        <f t="shared" si="2"/>
        <v>C</v>
      </c>
    </row>
    <row r="2704">
      <c r="A2704" s="2">
        <v>2703.0</v>
      </c>
      <c r="B2704" s="2" t="s">
        <v>3117</v>
      </c>
      <c r="C2704" s="2" t="s">
        <v>3118</v>
      </c>
      <c r="D2704" s="2">
        <v>2.55</v>
      </c>
      <c r="E2704" s="2">
        <v>160.0</v>
      </c>
      <c r="F2704" s="2">
        <v>409.28</v>
      </c>
      <c r="G2704" s="4">
        <f t="shared" si="3"/>
        <v>9250115.41</v>
      </c>
      <c r="H2704" s="4">
        <f t="shared" si="1"/>
        <v>0.9691649507</v>
      </c>
      <c r="I2704" s="4" t="str">
        <f t="shared" si="2"/>
        <v>C</v>
      </c>
    </row>
    <row r="2705">
      <c r="A2705" s="2">
        <v>2704.0</v>
      </c>
      <c r="B2705" s="2">
        <v>85187.0</v>
      </c>
      <c r="C2705" s="2" t="s">
        <v>3119</v>
      </c>
      <c r="D2705" s="2">
        <v>1.65</v>
      </c>
      <c r="E2705" s="2">
        <v>240.0</v>
      </c>
      <c r="F2705" s="2">
        <v>409.06</v>
      </c>
      <c r="G2705" s="4">
        <f t="shared" si="3"/>
        <v>9250524.47</v>
      </c>
      <c r="H2705" s="4">
        <f t="shared" si="1"/>
        <v>0.9692078092</v>
      </c>
      <c r="I2705" s="4" t="str">
        <f t="shared" si="2"/>
        <v>C</v>
      </c>
    </row>
    <row r="2706">
      <c r="A2706" s="2">
        <v>2705.0</v>
      </c>
      <c r="B2706" s="2">
        <v>21719.0</v>
      </c>
      <c r="C2706" s="2" t="s">
        <v>3120</v>
      </c>
      <c r="D2706" s="2">
        <v>0.85</v>
      </c>
      <c r="E2706" s="2">
        <v>455.0</v>
      </c>
      <c r="F2706" s="2">
        <v>408.27</v>
      </c>
      <c r="G2706" s="4">
        <f t="shared" si="3"/>
        <v>9250932.74</v>
      </c>
      <c r="H2706" s="4">
        <f t="shared" si="1"/>
        <v>0.969250585</v>
      </c>
      <c r="I2706" s="4" t="str">
        <f t="shared" si="2"/>
        <v>C</v>
      </c>
    </row>
    <row r="2707">
      <c r="A2707" s="2">
        <v>2706.0</v>
      </c>
      <c r="B2707" s="2">
        <v>20897.0</v>
      </c>
      <c r="C2707" s="2" t="s">
        <v>3121</v>
      </c>
      <c r="D2707" s="2">
        <v>2.95</v>
      </c>
      <c r="E2707" s="2">
        <v>170.0</v>
      </c>
      <c r="F2707" s="2">
        <v>406.65</v>
      </c>
      <c r="G2707" s="4">
        <f t="shared" si="3"/>
        <v>9251339.39</v>
      </c>
      <c r="H2707" s="4">
        <f t="shared" si="1"/>
        <v>0.9692931911</v>
      </c>
      <c r="I2707" s="4" t="str">
        <f t="shared" si="2"/>
        <v>C</v>
      </c>
    </row>
    <row r="2708">
      <c r="A2708" s="2">
        <v>2707.0</v>
      </c>
      <c r="B2708" s="2">
        <v>84920.0</v>
      </c>
      <c r="C2708" s="2" t="s">
        <v>3122</v>
      </c>
      <c r="D2708" s="2">
        <v>3.75</v>
      </c>
      <c r="E2708" s="2">
        <v>102.0</v>
      </c>
      <c r="F2708" s="2">
        <v>406.44</v>
      </c>
      <c r="G2708" s="4">
        <f t="shared" si="3"/>
        <v>9251745.83</v>
      </c>
      <c r="H2708" s="4">
        <f t="shared" si="1"/>
        <v>0.9693357751</v>
      </c>
      <c r="I2708" s="4" t="str">
        <f t="shared" si="2"/>
        <v>C</v>
      </c>
    </row>
    <row r="2709">
      <c r="A2709" s="2">
        <v>2708.0</v>
      </c>
      <c r="B2709" s="2">
        <v>21222.0</v>
      </c>
      <c r="C2709" s="2" t="s">
        <v>3123</v>
      </c>
      <c r="D2709" s="2">
        <v>1.25</v>
      </c>
      <c r="E2709" s="2">
        <v>314.0</v>
      </c>
      <c r="F2709" s="2">
        <v>406.08</v>
      </c>
      <c r="G2709" s="4">
        <f t="shared" si="3"/>
        <v>9252151.91</v>
      </c>
      <c r="H2709" s="4">
        <f t="shared" si="1"/>
        <v>0.9693783215</v>
      </c>
      <c r="I2709" s="4" t="str">
        <f t="shared" si="2"/>
        <v>C</v>
      </c>
    </row>
    <row r="2710">
      <c r="A2710" s="2">
        <v>2709.0</v>
      </c>
      <c r="B2710" s="2">
        <v>23186.0</v>
      </c>
      <c r="C2710" s="2" t="s">
        <v>3124</v>
      </c>
      <c r="D2710" s="2">
        <v>0.29</v>
      </c>
      <c r="E2710" s="2">
        <v>988.0</v>
      </c>
      <c r="F2710" s="2">
        <v>405.98</v>
      </c>
      <c r="G2710" s="4">
        <f t="shared" si="3"/>
        <v>9252557.89</v>
      </c>
      <c r="H2710" s="4">
        <f t="shared" si="1"/>
        <v>0.9694208573</v>
      </c>
      <c r="I2710" s="4" t="str">
        <f t="shared" si="2"/>
        <v>C</v>
      </c>
    </row>
    <row r="2711">
      <c r="A2711" s="2">
        <v>2710.0</v>
      </c>
      <c r="B2711" s="2">
        <v>20833.0</v>
      </c>
      <c r="C2711" s="2" t="s">
        <v>3125</v>
      </c>
      <c r="D2711" s="2">
        <v>12.75</v>
      </c>
      <c r="E2711" s="2">
        <v>26.0</v>
      </c>
      <c r="F2711" s="2">
        <v>405.9</v>
      </c>
      <c r="G2711" s="4">
        <f t="shared" si="3"/>
        <v>9252963.79</v>
      </c>
      <c r="H2711" s="4">
        <f t="shared" si="1"/>
        <v>0.9694633848</v>
      </c>
      <c r="I2711" s="4" t="str">
        <f t="shared" si="2"/>
        <v>C</v>
      </c>
    </row>
    <row r="2712">
      <c r="A2712" s="2">
        <v>2711.0</v>
      </c>
      <c r="B2712" s="2" t="s">
        <v>3126</v>
      </c>
      <c r="C2712" s="2" t="s">
        <v>3127</v>
      </c>
      <c r="D2712" s="2">
        <v>1.25</v>
      </c>
      <c r="E2712" s="2">
        <v>668.0</v>
      </c>
      <c r="F2712" s="2">
        <v>405.56</v>
      </c>
      <c r="G2712" s="4">
        <f t="shared" si="3"/>
        <v>9253369.35</v>
      </c>
      <c r="H2712" s="4">
        <f t="shared" si="1"/>
        <v>0.9695058767</v>
      </c>
      <c r="I2712" s="4" t="str">
        <f t="shared" si="2"/>
        <v>C</v>
      </c>
    </row>
    <row r="2713">
      <c r="A2713" s="2">
        <v>2712.0</v>
      </c>
      <c r="B2713" s="2">
        <v>21635.0</v>
      </c>
      <c r="C2713" s="2" t="s">
        <v>3128</v>
      </c>
      <c r="D2713" s="2">
        <v>3.75</v>
      </c>
      <c r="E2713" s="2">
        <v>193.0</v>
      </c>
      <c r="F2713" s="2">
        <v>405.12</v>
      </c>
      <c r="G2713" s="4">
        <f t="shared" si="3"/>
        <v>9253774.47</v>
      </c>
      <c r="H2713" s="4">
        <f t="shared" si="1"/>
        <v>0.9695483224</v>
      </c>
      <c r="I2713" s="4" t="str">
        <f t="shared" si="2"/>
        <v>C</v>
      </c>
    </row>
    <row r="2714">
      <c r="A2714" s="2">
        <v>2713.0</v>
      </c>
      <c r="B2714" s="2">
        <v>37333.0</v>
      </c>
      <c r="C2714" s="2" t="s">
        <v>3129</v>
      </c>
      <c r="D2714" s="2">
        <v>4.95</v>
      </c>
      <c r="E2714" s="2">
        <v>73.0</v>
      </c>
      <c r="F2714" s="2">
        <v>405.02</v>
      </c>
      <c r="G2714" s="4">
        <f t="shared" si="3"/>
        <v>9254179.49</v>
      </c>
      <c r="H2714" s="4">
        <f t="shared" si="1"/>
        <v>0.9695907577</v>
      </c>
      <c r="I2714" s="4" t="str">
        <f t="shared" si="2"/>
        <v>C</v>
      </c>
    </row>
    <row r="2715">
      <c r="A2715" s="2">
        <v>2714.0</v>
      </c>
      <c r="B2715" s="2">
        <v>21374.0</v>
      </c>
      <c r="C2715" s="2" t="s">
        <v>3130</v>
      </c>
      <c r="D2715" s="2">
        <v>1.25</v>
      </c>
      <c r="E2715" s="2">
        <v>235.0</v>
      </c>
      <c r="F2715" s="2">
        <v>404.84</v>
      </c>
      <c r="G2715" s="4">
        <f t="shared" si="3"/>
        <v>9254584.33</v>
      </c>
      <c r="H2715" s="4">
        <f t="shared" si="1"/>
        <v>0.9696331741</v>
      </c>
      <c r="I2715" s="4" t="str">
        <f t="shared" si="2"/>
        <v>C</v>
      </c>
    </row>
    <row r="2716">
      <c r="A2716" s="2">
        <v>2715.0</v>
      </c>
      <c r="B2716" s="2">
        <v>21454.0</v>
      </c>
      <c r="C2716" s="2" t="s">
        <v>3131</v>
      </c>
      <c r="D2716" s="2">
        <v>0.85</v>
      </c>
      <c r="E2716" s="2">
        <v>470.0</v>
      </c>
      <c r="F2716" s="2">
        <v>404.65</v>
      </c>
      <c r="G2716" s="4">
        <f t="shared" si="3"/>
        <v>9254988.98</v>
      </c>
      <c r="H2716" s="4">
        <f t="shared" si="1"/>
        <v>0.9696755706</v>
      </c>
      <c r="I2716" s="4" t="str">
        <f t="shared" si="2"/>
        <v>C</v>
      </c>
    </row>
    <row r="2717">
      <c r="A2717" s="2">
        <v>2716.0</v>
      </c>
      <c r="B2717" s="2">
        <v>20769.0</v>
      </c>
      <c r="C2717" s="2" t="s">
        <v>3132</v>
      </c>
      <c r="D2717" s="2">
        <v>2.55</v>
      </c>
      <c r="E2717" s="2">
        <v>219.0</v>
      </c>
      <c r="F2717" s="2">
        <v>404.4</v>
      </c>
      <c r="G2717" s="4">
        <f t="shared" si="3"/>
        <v>9255393.38</v>
      </c>
      <c r="H2717" s="4">
        <f t="shared" si="1"/>
        <v>0.9697179409</v>
      </c>
      <c r="I2717" s="4" t="str">
        <f t="shared" si="2"/>
        <v>C</v>
      </c>
    </row>
    <row r="2718">
      <c r="A2718" s="2">
        <v>2717.0</v>
      </c>
      <c r="B2718" s="2">
        <v>84922.0</v>
      </c>
      <c r="C2718" s="2" t="s">
        <v>3133</v>
      </c>
      <c r="D2718" s="2">
        <v>4.25</v>
      </c>
      <c r="E2718" s="2">
        <v>171.0</v>
      </c>
      <c r="F2718" s="2">
        <v>404.11</v>
      </c>
      <c r="G2718" s="4">
        <f t="shared" si="3"/>
        <v>9255797.49</v>
      </c>
      <c r="H2718" s="4">
        <f t="shared" si="1"/>
        <v>0.9697602809</v>
      </c>
      <c r="I2718" s="4" t="str">
        <f t="shared" si="2"/>
        <v>C</v>
      </c>
    </row>
    <row r="2719">
      <c r="A2719" s="2">
        <v>2718.0</v>
      </c>
      <c r="B2719" s="2">
        <v>22344.0</v>
      </c>
      <c r="C2719" s="2" t="s">
        <v>3134</v>
      </c>
      <c r="D2719" s="2">
        <v>0.85</v>
      </c>
      <c r="E2719" s="2">
        <v>792.0</v>
      </c>
      <c r="F2719" s="2">
        <v>403.94</v>
      </c>
      <c r="G2719" s="4">
        <f t="shared" si="3"/>
        <v>9256201.43</v>
      </c>
      <c r="H2719" s="4">
        <f t="shared" si="1"/>
        <v>0.969802603</v>
      </c>
      <c r="I2719" s="4" t="str">
        <f t="shared" si="2"/>
        <v>C</v>
      </c>
    </row>
    <row r="2720">
      <c r="A2720" s="2">
        <v>2719.0</v>
      </c>
      <c r="B2720" s="2">
        <v>23055.0</v>
      </c>
      <c r="C2720" s="2" t="s">
        <v>3135</v>
      </c>
      <c r="D2720" s="2">
        <v>6.25</v>
      </c>
      <c r="E2720" s="2">
        <v>161.0</v>
      </c>
      <c r="F2720" s="2">
        <v>403.36</v>
      </c>
      <c r="G2720" s="4">
        <f t="shared" si="3"/>
        <v>9256604.79</v>
      </c>
      <c r="H2720" s="4">
        <f t="shared" si="1"/>
        <v>0.9698448643</v>
      </c>
      <c r="I2720" s="4" t="str">
        <f t="shared" si="2"/>
        <v>C</v>
      </c>
    </row>
    <row r="2721">
      <c r="A2721" s="2">
        <v>2720.0</v>
      </c>
      <c r="B2721" s="2">
        <v>22135.0</v>
      </c>
      <c r="C2721" s="2" t="s">
        <v>3136</v>
      </c>
      <c r="D2721" s="2">
        <v>0.83</v>
      </c>
      <c r="E2721" s="2">
        <v>812.0</v>
      </c>
      <c r="F2721" s="2">
        <v>403.28</v>
      </c>
      <c r="G2721" s="4">
        <f t="shared" si="3"/>
        <v>9257008.07</v>
      </c>
      <c r="H2721" s="4">
        <f t="shared" si="1"/>
        <v>0.9698871173</v>
      </c>
      <c r="I2721" s="4" t="str">
        <f t="shared" si="2"/>
        <v>C</v>
      </c>
    </row>
    <row r="2722">
      <c r="A2722" s="2">
        <v>2721.0</v>
      </c>
      <c r="B2722" s="2">
        <v>85044.0</v>
      </c>
      <c r="C2722" s="2" t="s">
        <v>3137</v>
      </c>
      <c r="D2722" s="2">
        <v>4.95</v>
      </c>
      <c r="E2722" s="2">
        <v>75.0</v>
      </c>
      <c r="F2722" s="2">
        <v>403.18</v>
      </c>
      <c r="G2722" s="4">
        <f t="shared" si="3"/>
        <v>9257411.25</v>
      </c>
      <c r="H2722" s="4">
        <f t="shared" si="1"/>
        <v>0.9699293598</v>
      </c>
      <c r="I2722" s="4" t="str">
        <f t="shared" si="2"/>
        <v>C</v>
      </c>
    </row>
    <row r="2723">
      <c r="A2723" s="2">
        <v>2722.0</v>
      </c>
      <c r="B2723" s="2">
        <v>84767.0</v>
      </c>
      <c r="C2723" s="2" t="s">
        <v>3138</v>
      </c>
      <c r="D2723" s="2">
        <v>5.95</v>
      </c>
      <c r="E2723" s="2">
        <v>98.0</v>
      </c>
      <c r="F2723" s="2">
        <v>403.11</v>
      </c>
      <c r="G2723" s="4">
        <f t="shared" si="3"/>
        <v>9257814.36</v>
      </c>
      <c r="H2723" s="4">
        <f t="shared" si="1"/>
        <v>0.9699715949</v>
      </c>
      <c r="I2723" s="4" t="str">
        <f t="shared" si="2"/>
        <v>C</v>
      </c>
    </row>
    <row r="2724">
      <c r="A2724" s="2">
        <v>2723.0</v>
      </c>
      <c r="B2724" s="2" t="s">
        <v>3139</v>
      </c>
      <c r="C2724" s="2" t="s">
        <v>3140</v>
      </c>
      <c r="D2724" s="2">
        <v>2.46</v>
      </c>
      <c r="E2724" s="2">
        <v>363.0</v>
      </c>
      <c r="F2724" s="2">
        <v>403.08</v>
      </c>
      <c r="G2724" s="4">
        <f t="shared" si="3"/>
        <v>9258217.44</v>
      </c>
      <c r="H2724" s="4">
        <f t="shared" si="1"/>
        <v>0.970013827</v>
      </c>
      <c r="I2724" s="4" t="str">
        <f t="shared" si="2"/>
        <v>C</v>
      </c>
    </row>
    <row r="2725">
      <c r="A2725" s="2">
        <v>2724.0</v>
      </c>
      <c r="B2725" s="2" t="s">
        <v>3141</v>
      </c>
      <c r="C2725" s="2" t="s">
        <v>3142</v>
      </c>
      <c r="D2725" s="2">
        <v>0.85</v>
      </c>
      <c r="E2725" s="2">
        <v>460.0</v>
      </c>
      <c r="F2725" s="2">
        <v>402.71</v>
      </c>
      <c r="G2725" s="4">
        <f t="shared" si="3"/>
        <v>9258620.15</v>
      </c>
      <c r="H2725" s="4">
        <f t="shared" si="1"/>
        <v>0.9700560202</v>
      </c>
      <c r="I2725" s="4" t="str">
        <f t="shared" si="2"/>
        <v>C</v>
      </c>
    </row>
    <row r="2726">
      <c r="A2726" s="2">
        <v>2725.0</v>
      </c>
      <c r="B2726" s="2">
        <v>16011.0</v>
      </c>
      <c r="C2726" s="2" t="s">
        <v>3143</v>
      </c>
      <c r="D2726" s="2">
        <v>0.21</v>
      </c>
      <c r="E2726" s="2">
        <v>1918.0</v>
      </c>
      <c r="F2726" s="2">
        <v>402.18</v>
      </c>
      <c r="G2726" s="4">
        <f t="shared" si="3"/>
        <v>9259022.33</v>
      </c>
      <c r="H2726" s="4">
        <f t="shared" si="1"/>
        <v>0.9700981579</v>
      </c>
      <c r="I2726" s="4" t="str">
        <f t="shared" si="2"/>
        <v>C</v>
      </c>
    </row>
    <row r="2727">
      <c r="A2727" s="2">
        <v>2726.0</v>
      </c>
      <c r="B2727" s="2" t="s">
        <v>3144</v>
      </c>
      <c r="C2727" s="2" t="s">
        <v>3145</v>
      </c>
      <c r="D2727" s="2">
        <v>1.66</v>
      </c>
      <c r="E2727" s="2">
        <v>282.0</v>
      </c>
      <c r="F2727" s="2">
        <v>401.36</v>
      </c>
      <c r="G2727" s="4">
        <f t="shared" si="3"/>
        <v>9259423.69</v>
      </c>
      <c r="H2727" s="4">
        <f t="shared" si="1"/>
        <v>0.9701402097</v>
      </c>
      <c r="I2727" s="4" t="str">
        <f t="shared" si="2"/>
        <v>C</v>
      </c>
    </row>
    <row r="2728">
      <c r="A2728" s="2">
        <v>2727.0</v>
      </c>
      <c r="B2728" s="2">
        <v>22408.0</v>
      </c>
      <c r="C2728" s="2" t="s">
        <v>3146</v>
      </c>
      <c r="D2728" s="2">
        <v>1.25</v>
      </c>
      <c r="E2728" s="2">
        <v>326.0</v>
      </c>
      <c r="F2728" s="2">
        <v>400.58</v>
      </c>
      <c r="G2728" s="4">
        <f t="shared" si="3"/>
        <v>9259824.27</v>
      </c>
      <c r="H2728" s="4">
        <f t="shared" si="1"/>
        <v>0.9701821798</v>
      </c>
      <c r="I2728" s="4" t="str">
        <f t="shared" si="2"/>
        <v>C</v>
      </c>
    </row>
    <row r="2729">
      <c r="A2729" s="2">
        <v>2728.0</v>
      </c>
      <c r="B2729" s="2">
        <v>20699.0</v>
      </c>
      <c r="C2729" s="2" t="s">
        <v>3147</v>
      </c>
      <c r="D2729" s="2">
        <v>2.55</v>
      </c>
      <c r="E2729" s="2">
        <v>148.0</v>
      </c>
      <c r="F2729" s="2">
        <v>400.26</v>
      </c>
      <c r="G2729" s="4">
        <f t="shared" si="3"/>
        <v>9260224.53</v>
      </c>
      <c r="H2729" s="4">
        <f t="shared" si="1"/>
        <v>0.9702241164</v>
      </c>
      <c r="I2729" s="4" t="str">
        <f t="shared" si="2"/>
        <v>C</v>
      </c>
    </row>
    <row r="2730">
      <c r="A2730" s="2">
        <v>2729.0</v>
      </c>
      <c r="B2730" s="2">
        <v>20901.0</v>
      </c>
      <c r="C2730" s="2" t="s">
        <v>3148</v>
      </c>
      <c r="D2730" s="2">
        <v>12.72</v>
      </c>
      <c r="E2730" s="2">
        <v>45.0</v>
      </c>
      <c r="F2730" s="2">
        <v>400.12</v>
      </c>
      <c r="G2730" s="4">
        <f t="shared" si="3"/>
        <v>9260624.65</v>
      </c>
      <c r="H2730" s="4">
        <f t="shared" si="1"/>
        <v>0.9702660383</v>
      </c>
      <c r="I2730" s="4" t="str">
        <f t="shared" si="2"/>
        <v>C</v>
      </c>
    </row>
    <row r="2731">
      <c r="A2731" s="2">
        <v>2730.0</v>
      </c>
      <c r="B2731" s="2">
        <v>84632.0</v>
      </c>
      <c r="C2731" s="2" t="s">
        <v>3149</v>
      </c>
      <c r="D2731" s="2">
        <v>59.95</v>
      </c>
      <c r="E2731" s="2">
        <v>7.0</v>
      </c>
      <c r="F2731" s="2">
        <v>399.65</v>
      </c>
      <c r="G2731" s="4">
        <f t="shared" si="3"/>
        <v>9261024.3</v>
      </c>
      <c r="H2731" s="4">
        <f t="shared" si="1"/>
        <v>0.9703079109</v>
      </c>
      <c r="I2731" s="4" t="str">
        <f t="shared" si="2"/>
        <v>C</v>
      </c>
    </row>
    <row r="2732">
      <c r="A2732" s="2">
        <v>2731.0</v>
      </c>
      <c r="B2732" s="2" t="s">
        <v>3150</v>
      </c>
      <c r="C2732" s="2" t="s">
        <v>3151</v>
      </c>
      <c r="D2732" s="2">
        <v>6.75</v>
      </c>
      <c r="E2732" s="2">
        <v>58.0</v>
      </c>
      <c r="F2732" s="2">
        <v>398.98</v>
      </c>
      <c r="G2732" s="4">
        <f t="shared" si="3"/>
        <v>9261423.28</v>
      </c>
      <c r="H2732" s="4">
        <f t="shared" si="1"/>
        <v>0.9703497133</v>
      </c>
      <c r="I2732" s="4" t="str">
        <f t="shared" si="2"/>
        <v>C</v>
      </c>
    </row>
    <row r="2733">
      <c r="A2733" s="2">
        <v>2732.0</v>
      </c>
      <c r="B2733" s="2">
        <v>21455.0</v>
      </c>
      <c r="C2733" s="2" t="s">
        <v>3152</v>
      </c>
      <c r="D2733" s="2">
        <v>0.85</v>
      </c>
      <c r="E2733" s="2">
        <v>450.0</v>
      </c>
      <c r="F2733" s="2">
        <v>398.64</v>
      </c>
      <c r="G2733" s="4">
        <f t="shared" si="3"/>
        <v>9261821.92</v>
      </c>
      <c r="H2733" s="4">
        <f t="shared" si="1"/>
        <v>0.9703914802</v>
      </c>
      <c r="I2733" s="4" t="str">
        <f t="shared" si="2"/>
        <v>C</v>
      </c>
    </row>
    <row r="2734">
      <c r="A2734" s="2">
        <v>2733.0</v>
      </c>
      <c r="B2734" s="2">
        <v>22058.0</v>
      </c>
      <c r="C2734" s="2" t="s">
        <v>3153</v>
      </c>
      <c r="D2734" s="2">
        <v>1.49</v>
      </c>
      <c r="E2734" s="2">
        <v>260.0</v>
      </c>
      <c r="F2734" s="2">
        <v>398.6</v>
      </c>
      <c r="G2734" s="4">
        <f t="shared" si="3"/>
        <v>9262220.52</v>
      </c>
      <c r="H2734" s="4">
        <f t="shared" si="1"/>
        <v>0.9704332428</v>
      </c>
      <c r="I2734" s="4" t="str">
        <f t="shared" si="2"/>
        <v>C</v>
      </c>
    </row>
    <row r="2735">
      <c r="A2735" s="2">
        <v>2734.0</v>
      </c>
      <c r="B2735" s="2">
        <v>20997.0</v>
      </c>
      <c r="C2735" s="2" t="s">
        <v>3154</v>
      </c>
      <c r="D2735" s="2">
        <v>4.21</v>
      </c>
      <c r="E2735" s="2">
        <v>85.0</v>
      </c>
      <c r="F2735" s="2">
        <v>398.37</v>
      </c>
      <c r="G2735" s="4">
        <f t="shared" si="3"/>
        <v>9262618.89</v>
      </c>
      <c r="H2735" s="4">
        <f t="shared" si="1"/>
        <v>0.9704749813</v>
      </c>
      <c r="I2735" s="4" t="str">
        <f t="shared" si="2"/>
        <v>C</v>
      </c>
    </row>
    <row r="2736">
      <c r="A2736" s="2">
        <v>2735.0</v>
      </c>
      <c r="B2736" s="2" t="s">
        <v>3155</v>
      </c>
      <c r="C2736" s="2" t="s">
        <v>3156</v>
      </c>
      <c r="D2736" s="2">
        <v>1.95</v>
      </c>
      <c r="E2736" s="2">
        <v>200.0</v>
      </c>
      <c r="F2736" s="2">
        <v>397.37</v>
      </c>
      <c r="G2736" s="4">
        <f t="shared" si="3"/>
        <v>9263016.26</v>
      </c>
      <c r="H2736" s="4">
        <f t="shared" si="1"/>
        <v>0.9705166151</v>
      </c>
      <c r="I2736" s="4" t="str">
        <f t="shared" si="2"/>
        <v>C</v>
      </c>
    </row>
    <row r="2737">
      <c r="A2737" s="2">
        <v>2736.0</v>
      </c>
      <c r="B2737" s="2" t="s">
        <v>3157</v>
      </c>
      <c r="C2737" s="2" t="s">
        <v>3158</v>
      </c>
      <c r="D2737" s="2">
        <v>5.91</v>
      </c>
      <c r="E2737" s="2">
        <v>118.0</v>
      </c>
      <c r="F2737" s="2">
        <v>396.72</v>
      </c>
      <c r="G2737" s="4">
        <f t="shared" si="3"/>
        <v>9263412.98</v>
      </c>
      <c r="H2737" s="4">
        <f t="shared" si="1"/>
        <v>0.9705581807</v>
      </c>
      <c r="I2737" s="4" t="str">
        <f t="shared" si="2"/>
        <v>C</v>
      </c>
    </row>
    <row r="2738">
      <c r="A2738" s="2">
        <v>2737.0</v>
      </c>
      <c r="B2738" s="2">
        <v>23521.0</v>
      </c>
      <c r="C2738" s="2" t="s">
        <v>3159</v>
      </c>
      <c r="D2738" s="2">
        <v>4.34</v>
      </c>
      <c r="E2738" s="2">
        <v>206.0</v>
      </c>
      <c r="F2738" s="2">
        <v>396.68</v>
      </c>
      <c r="G2738" s="4">
        <f t="shared" si="3"/>
        <v>9263809.66</v>
      </c>
      <c r="H2738" s="4">
        <f t="shared" si="1"/>
        <v>0.9705997422</v>
      </c>
      <c r="I2738" s="4" t="str">
        <f t="shared" si="2"/>
        <v>C</v>
      </c>
    </row>
    <row r="2739">
      <c r="A2739" s="2">
        <v>2738.0</v>
      </c>
      <c r="B2739" s="2" t="s">
        <v>3160</v>
      </c>
      <c r="C2739" s="2" t="s">
        <v>3161</v>
      </c>
      <c r="D2739" s="2">
        <v>0.83</v>
      </c>
      <c r="E2739" s="2">
        <v>331.0</v>
      </c>
      <c r="F2739" s="2">
        <v>396.66</v>
      </c>
      <c r="G2739" s="4">
        <f t="shared" si="3"/>
        <v>9264206.32</v>
      </c>
      <c r="H2739" s="4">
        <f t="shared" si="1"/>
        <v>0.9706413016</v>
      </c>
      <c r="I2739" s="4" t="str">
        <f t="shared" si="2"/>
        <v>C</v>
      </c>
    </row>
    <row r="2740">
      <c r="A2740" s="2">
        <v>2739.0</v>
      </c>
      <c r="B2740" s="2" t="s">
        <v>3162</v>
      </c>
      <c r="C2740" s="2" t="s">
        <v>3163</v>
      </c>
      <c r="D2740" s="2">
        <v>0.83</v>
      </c>
      <c r="E2740" s="2">
        <v>579.0</v>
      </c>
      <c r="F2740" s="2">
        <v>396.5</v>
      </c>
      <c r="G2740" s="4">
        <f t="shared" si="3"/>
        <v>9264602.82</v>
      </c>
      <c r="H2740" s="4">
        <f t="shared" si="1"/>
        <v>0.9706828442</v>
      </c>
      <c r="I2740" s="4" t="str">
        <f t="shared" si="2"/>
        <v>C</v>
      </c>
    </row>
    <row r="2741">
      <c r="A2741" s="2">
        <v>2740.0</v>
      </c>
      <c r="B2741" s="2">
        <v>23519.0</v>
      </c>
      <c r="C2741" s="2" t="s">
        <v>3164</v>
      </c>
      <c r="D2741" s="2">
        <v>3.75</v>
      </c>
      <c r="E2741" s="2">
        <v>112.0</v>
      </c>
      <c r="F2741" s="2">
        <v>396.16</v>
      </c>
      <c r="G2741" s="4">
        <f t="shared" si="3"/>
        <v>9264998.98</v>
      </c>
      <c r="H2741" s="4">
        <f t="shared" si="1"/>
        <v>0.9707243512</v>
      </c>
      <c r="I2741" s="4" t="str">
        <f t="shared" si="2"/>
        <v>C</v>
      </c>
    </row>
    <row r="2742">
      <c r="A2742" s="2">
        <v>2741.0</v>
      </c>
      <c r="B2742" s="2" t="s">
        <v>3165</v>
      </c>
      <c r="C2742" s="2" t="s">
        <v>3166</v>
      </c>
      <c r="D2742" s="2">
        <v>8.95</v>
      </c>
      <c r="E2742" s="2">
        <v>42.0</v>
      </c>
      <c r="F2742" s="2">
        <v>396.04</v>
      </c>
      <c r="G2742" s="4">
        <f t="shared" si="3"/>
        <v>9265395.02</v>
      </c>
      <c r="H2742" s="4">
        <f t="shared" si="1"/>
        <v>0.9707658456</v>
      </c>
      <c r="I2742" s="4" t="str">
        <f t="shared" si="2"/>
        <v>C</v>
      </c>
    </row>
    <row r="2743">
      <c r="A2743" s="2">
        <v>2742.0</v>
      </c>
      <c r="B2743" s="2">
        <v>23324.0</v>
      </c>
      <c r="C2743" s="2" t="s">
        <v>3167</v>
      </c>
      <c r="D2743" s="2">
        <v>2.08</v>
      </c>
      <c r="E2743" s="2">
        <v>194.0</v>
      </c>
      <c r="F2743" s="2">
        <v>395.54</v>
      </c>
      <c r="G2743" s="4">
        <f t="shared" si="3"/>
        <v>9265790.56</v>
      </c>
      <c r="H2743" s="4">
        <f t="shared" si="1"/>
        <v>0.9708072876</v>
      </c>
      <c r="I2743" s="4" t="str">
        <f t="shared" si="2"/>
        <v>C</v>
      </c>
    </row>
    <row r="2744">
      <c r="A2744" s="2">
        <v>2743.0</v>
      </c>
      <c r="B2744" s="2" t="s">
        <v>3168</v>
      </c>
      <c r="C2744" s="2" t="s">
        <v>3169</v>
      </c>
      <c r="D2744" s="2">
        <v>12.75</v>
      </c>
      <c r="E2744" s="2">
        <v>58.0</v>
      </c>
      <c r="F2744" s="2">
        <v>394.72</v>
      </c>
      <c r="G2744" s="4">
        <f t="shared" si="3"/>
        <v>9266185.28</v>
      </c>
      <c r="H2744" s="4">
        <f t="shared" si="1"/>
        <v>0.9708486437</v>
      </c>
      <c r="I2744" s="4" t="str">
        <f t="shared" si="2"/>
        <v>C</v>
      </c>
    </row>
    <row r="2745">
      <c r="A2745" s="2">
        <v>2744.0</v>
      </c>
      <c r="B2745" s="2" t="s">
        <v>3170</v>
      </c>
      <c r="C2745" s="2" t="s">
        <v>3171</v>
      </c>
      <c r="D2745" s="2">
        <v>2.46</v>
      </c>
      <c r="E2745" s="2">
        <v>286.0</v>
      </c>
      <c r="F2745" s="2">
        <v>394.62</v>
      </c>
      <c r="G2745" s="4">
        <f t="shared" si="3"/>
        <v>9266579.9</v>
      </c>
      <c r="H2745" s="4">
        <f t="shared" si="1"/>
        <v>0.9708899893</v>
      </c>
      <c r="I2745" s="4" t="str">
        <f t="shared" si="2"/>
        <v>C</v>
      </c>
    </row>
    <row r="2746">
      <c r="A2746" s="2">
        <v>2745.0</v>
      </c>
      <c r="B2746" s="2">
        <v>84847.0</v>
      </c>
      <c r="C2746" s="2" t="s">
        <v>3172</v>
      </c>
      <c r="D2746" s="2">
        <v>3.75</v>
      </c>
      <c r="E2746" s="2">
        <v>608.0</v>
      </c>
      <c r="F2746" s="2">
        <v>394.48</v>
      </c>
      <c r="G2746" s="4">
        <f t="shared" si="3"/>
        <v>9266974.38</v>
      </c>
      <c r="H2746" s="4">
        <f t="shared" si="1"/>
        <v>0.9709313203</v>
      </c>
      <c r="I2746" s="4" t="str">
        <f t="shared" si="2"/>
        <v>C</v>
      </c>
    </row>
    <row r="2747">
      <c r="A2747" s="2">
        <v>2746.0</v>
      </c>
      <c r="B2747" s="2">
        <v>23568.0</v>
      </c>
      <c r="C2747" s="2" t="s">
        <v>3173</v>
      </c>
      <c r="D2747" s="2">
        <v>1.25</v>
      </c>
      <c r="E2747" s="2">
        <v>315.0</v>
      </c>
      <c r="F2747" s="2">
        <v>393.76</v>
      </c>
      <c r="G2747" s="4">
        <f t="shared" si="3"/>
        <v>9267368.14</v>
      </c>
      <c r="H2747" s="4">
        <f t="shared" si="1"/>
        <v>0.9709725758</v>
      </c>
      <c r="I2747" s="4" t="str">
        <f t="shared" si="2"/>
        <v>C</v>
      </c>
    </row>
    <row r="2748">
      <c r="A2748" s="2">
        <v>2747.0</v>
      </c>
      <c r="B2748" s="2">
        <v>23115.0</v>
      </c>
      <c r="C2748" s="2" t="s">
        <v>3174</v>
      </c>
      <c r="D2748" s="2">
        <v>4.95</v>
      </c>
      <c r="E2748" s="2">
        <v>78.0</v>
      </c>
      <c r="F2748" s="2">
        <v>392.58</v>
      </c>
      <c r="G2748" s="4">
        <f t="shared" si="3"/>
        <v>9267760.72</v>
      </c>
      <c r="H2748" s="4">
        <f t="shared" si="1"/>
        <v>0.9710137077</v>
      </c>
      <c r="I2748" s="4" t="str">
        <f t="shared" si="2"/>
        <v>C</v>
      </c>
    </row>
    <row r="2749">
      <c r="A2749" s="2">
        <v>2748.0</v>
      </c>
      <c r="B2749" s="2" t="s">
        <v>3175</v>
      </c>
      <c r="C2749" s="2" t="s">
        <v>253</v>
      </c>
      <c r="D2749" s="2">
        <v>2.08</v>
      </c>
      <c r="E2749" s="2">
        <v>186.0</v>
      </c>
      <c r="F2749" s="2">
        <v>392.02</v>
      </c>
      <c r="G2749" s="4">
        <f t="shared" si="3"/>
        <v>9268152.74</v>
      </c>
      <c r="H2749" s="4">
        <f t="shared" si="1"/>
        <v>0.971054781</v>
      </c>
      <c r="I2749" s="4" t="str">
        <f t="shared" si="2"/>
        <v>C</v>
      </c>
    </row>
    <row r="2750">
      <c r="A2750" s="2">
        <v>2749.0</v>
      </c>
      <c r="B2750" s="2" t="s">
        <v>3176</v>
      </c>
      <c r="C2750" s="2" t="s">
        <v>3177</v>
      </c>
      <c r="D2750" s="2">
        <v>2.95</v>
      </c>
      <c r="E2750" s="2">
        <v>236.0</v>
      </c>
      <c r="F2750" s="2">
        <v>391.55</v>
      </c>
      <c r="G2750" s="4">
        <f t="shared" si="3"/>
        <v>9268544.29</v>
      </c>
      <c r="H2750" s="4">
        <f t="shared" si="1"/>
        <v>0.9710958049</v>
      </c>
      <c r="I2750" s="4" t="str">
        <f t="shared" si="2"/>
        <v>C</v>
      </c>
    </row>
    <row r="2751">
      <c r="A2751" s="2">
        <v>2750.0</v>
      </c>
      <c r="B2751" s="2">
        <v>20989.0</v>
      </c>
      <c r="C2751" s="2" t="s">
        <v>3178</v>
      </c>
      <c r="D2751" s="2">
        <v>1.95</v>
      </c>
      <c r="E2751" s="2">
        <v>204.0</v>
      </c>
      <c r="F2751" s="2">
        <v>391.09</v>
      </c>
      <c r="G2751" s="4">
        <f t="shared" si="3"/>
        <v>9268935.38</v>
      </c>
      <c r="H2751" s="4">
        <f t="shared" si="1"/>
        <v>0.9711367807</v>
      </c>
      <c r="I2751" s="4" t="str">
        <f t="shared" si="2"/>
        <v>C</v>
      </c>
    </row>
    <row r="2752">
      <c r="A2752" s="2">
        <v>2751.0</v>
      </c>
      <c r="B2752" s="2">
        <v>20910.0</v>
      </c>
      <c r="C2752" s="2" t="s">
        <v>3179</v>
      </c>
      <c r="D2752" s="2">
        <v>6.35</v>
      </c>
      <c r="E2752" s="2">
        <v>54.0</v>
      </c>
      <c r="F2752" s="2">
        <v>390.91</v>
      </c>
      <c r="G2752" s="4">
        <f t="shared" si="3"/>
        <v>9269326.29</v>
      </c>
      <c r="H2752" s="4">
        <f t="shared" si="1"/>
        <v>0.9711777376</v>
      </c>
      <c r="I2752" s="4" t="str">
        <f t="shared" si="2"/>
        <v>C</v>
      </c>
    </row>
    <row r="2753">
      <c r="A2753" s="2">
        <v>2752.0</v>
      </c>
      <c r="B2753" s="2">
        <v>23106.0</v>
      </c>
      <c r="C2753" s="2" t="s">
        <v>3180</v>
      </c>
      <c r="D2753" s="2">
        <v>2.89</v>
      </c>
      <c r="E2753" s="2">
        <v>140.0</v>
      </c>
      <c r="F2753" s="2">
        <v>390.46</v>
      </c>
      <c r="G2753" s="4">
        <f t="shared" si="3"/>
        <v>9269716.75</v>
      </c>
      <c r="H2753" s="4">
        <f t="shared" si="1"/>
        <v>0.9712186474</v>
      </c>
      <c r="I2753" s="4" t="str">
        <f t="shared" si="2"/>
        <v>C</v>
      </c>
    </row>
    <row r="2754">
      <c r="A2754" s="2">
        <v>2753.0</v>
      </c>
      <c r="B2754" s="2">
        <v>18007.0</v>
      </c>
      <c r="C2754" s="2" t="s">
        <v>3181</v>
      </c>
      <c r="D2754" s="2">
        <v>0.18</v>
      </c>
      <c r="E2754" s="2">
        <v>4498.0</v>
      </c>
      <c r="F2754" s="2">
        <v>389.7</v>
      </c>
      <c r="G2754" s="4">
        <f t="shared" si="3"/>
        <v>9270106.45</v>
      </c>
      <c r="H2754" s="4">
        <f t="shared" si="1"/>
        <v>0.9712594776</v>
      </c>
      <c r="I2754" s="4" t="str">
        <f t="shared" si="2"/>
        <v>C</v>
      </c>
    </row>
    <row r="2755">
      <c r="A2755" s="2">
        <v>2754.0</v>
      </c>
      <c r="B2755" s="2">
        <v>23409.0</v>
      </c>
      <c r="C2755" s="2" t="s">
        <v>3182</v>
      </c>
      <c r="D2755" s="2">
        <v>3.75</v>
      </c>
      <c r="E2755" s="2">
        <v>104.0</v>
      </c>
      <c r="F2755" s="2">
        <v>389.59</v>
      </c>
      <c r="G2755" s="4">
        <f t="shared" si="3"/>
        <v>9270496.04</v>
      </c>
      <c r="H2755" s="4">
        <f t="shared" si="1"/>
        <v>0.9713002962</v>
      </c>
      <c r="I2755" s="4" t="str">
        <f t="shared" si="2"/>
        <v>C</v>
      </c>
    </row>
    <row r="2756">
      <c r="A2756" s="2">
        <v>2755.0</v>
      </c>
      <c r="B2756" s="2" t="s">
        <v>3183</v>
      </c>
      <c r="C2756" s="2" t="s">
        <v>3184</v>
      </c>
      <c r="D2756" s="2">
        <v>0.79</v>
      </c>
      <c r="E2756" s="2">
        <v>342.0</v>
      </c>
      <c r="F2756" s="2">
        <v>389.57</v>
      </c>
      <c r="G2756" s="4">
        <f t="shared" si="3"/>
        <v>9270885.61</v>
      </c>
      <c r="H2756" s="4">
        <f t="shared" si="1"/>
        <v>0.9713411127</v>
      </c>
      <c r="I2756" s="4" t="str">
        <f t="shared" si="2"/>
        <v>C</v>
      </c>
    </row>
    <row r="2757">
      <c r="A2757" s="2">
        <v>2756.0</v>
      </c>
      <c r="B2757" s="2">
        <v>37461.0</v>
      </c>
      <c r="C2757" s="2" t="s">
        <v>3185</v>
      </c>
      <c r="D2757" s="2">
        <v>1.25</v>
      </c>
      <c r="E2757" s="2">
        <v>371.0</v>
      </c>
      <c r="F2757" s="2">
        <v>389.32</v>
      </c>
      <c r="G2757" s="4">
        <f t="shared" si="3"/>
        <v>9271274.93</v>
      </c>
      <c r="H2757" s="4">
        <f t="shared" si="1"/>
        <v>0.971381903</v>
      </c>
      <c r="I2757" s="4" t="str">
        <f t="shared" si="2"/>
        <v>C</v>
      </c>
    </row>
    <row r="2758">
      <c r="A2758" s="2">
        <v>2757.0</v>
      </c>
      <c r="B2758" s="2" t="s">
        <v>3186</v>
      </c>
      <c r="C2758" s="2" t="s">
        <v>3187</v>
      </c>
      <c r="D2758" s="2">
        <v>2.95</v>
      </c>
      <c r="E2758" s="2">
        <v>322.0</v>
      </c>
      <c r="F2758" s="2">
        <v>389.3</v>
      </c>
      <c r="G2758" s="4">
        <f t="shared" si="3"/>
        <v>9271664.23</v>
      </c>
      <c r="H2758" s="4">
        <f t="shared" si="1"/>
        <v>0.9714226913</v>
      </c>
      <c r="I2758" s="4" t="str">
        <f t="shared" si="2"/>
        <v>C</v>
      </c>
    </row>
    <row r="2759">
      <c r="A2759" s="2">
        <v>2758.0</v>
      </c>
      <c r="B2759" s="2">
        <v>84826.0</v>
      </c>
      <c r="C2759" s="2" t="s">
        <v>3188</v>
      </c>
      <c r="D2759" s="2">
        <v>0.85</v>
      </c>
      <c r="E2759" s="2">
        <v>812.0</v>
      </c>
      <c r="F2759" s="2">
        <v>388.22</v>
      </c>
      <c r="G2759" s="4">
        <f t="shared" si="3"/>
        <v>9272052.45</v>
      </c>
      <c r="H2759" s="4">
        <f t="shared" si="1"/>
        <v>0.9714633664</v>
      </c>
      <c r="I2759" s="4" t="str">
        <f t="shared" si="2"/>
        <v>C</v>
      </c>
    </row>
    <row r="2760">
      <c r="A2760" s="2">
        <v>2759.0</v>
      </c>
      <c r="B2760" s="2">
        <v>22447.0</v>
      </c>
      <c r="C2760" s="2" t="s">
        <v>3189</v>
      </c>
      <c r="D2760" s="2">
        <v>3.35</v>
      </c>
      <c r="E2760" s="2">
        <v>121.0</v>
      </c>
      <c r="F2760" s="2">
        <v>388.12</v>
      </c>
      <c r="G2760" s="4">
        <f t="shared" si="3"/>
        <v>9272440.57</v>
      </c>
      <c r="H2760" s="4">
        <f t="shared" si="1"/>
        <v>0.971504031</v>
      </c>
      <c r="I2760" s="4" t="str">
        <f t="shared" si="2"/>
        <v>C</v>
      </c>
    </row>
    <row r="2761">
      <c r="A2761" s="2">
        <v>2760.0</v>
      </c>
      <c r="B2761" s="2">
        <v>21456.0</v>
      </c>
      <c r="C2761" s="2" t="s">
        <v>3190</v>
      </c>
      <c r="D2761" s="2">
        <v>1.25</v>
      </c>
      <c r="E2761" s="2">
        <v>369.0</v>
      </c>
      <c r="F2761" s="2">
        <v>388.02</v>
      </c>
      <c r="G2761" s="4">
        <f t="shared" si="3"/>
        <v>9272828.59</v>
      </c>
      <c r="H2761" s="4">
        <f t="shared" si="1"/>
        <v>0.9715446851</v>
      </c>
      <c r="I2761" s="4" t="str">
        <f t="shared" si="2"/>
        <v>C</v>
      </c>
    </row>
    <row r="2762">
      <c r="A2762" s="2">
        <v>2761.0</v>
      </c>
      <c r="B2762" s="2" t="s">
        <v>3191</v>
      </c>
      <c r="C2762" s="2" t="s">
        <v>3192</v>
      </c>
      <c r="D2762" s="2">
        <v>4.25</v>
      </c>
      <c r="E2762" s="2">
        <v>92.0</v>
      </c>
      <c r="F2762" s="2">
        <v>387.72</v>
      </c>
      <c r="G2762" s="4">
        <f t="shared" si="3"/>
        <v>9273216.31</v>
      </c>
      <c r="H2762" s="4">
        <f t="shared" si="1"/>
        <v>0.9715853078</v>
      </c>
      <c r="I2762" s="4" t="str">
        <f t="shared" si="2"/>
        <v>C</v>
      </c>
    </row>
    <row r="2763">
      <c r="A2763" s="2">
        <v>2762.0</v>
      </c>
      <c r="B2763" s="2">
        <v>85145.0</v>
      </c>
      <c r="C2763" s="2" t="s">
        <v>3193</v>
      </c>
      <c r="D2763" s="2">
        <v>12.75</v>
      </c>
      <c r="E2763" s="2">
        <v>44.0</v>
      </c>
      <c r="F2763" s="2">
        <v>387.38</v>
      </c>
      <c r="G2763" s="4">
        <f t="shared" si="3"/>
        <v>9273603.69</v>
      </c>
      <c r="H2763" s="4">
        <f t="shared" si="1"/>
        <v>0.9716258949</v>
      </c>
      <c r="I2763" s="4" t="str">
        <f t="shared" si="2"/>
        <v>C</v>
      </c>
    </row>
    <row r="2764">
      <c r="A2764" s="2">
        <v>2763.0</v>
      </c>
      <c r="B2764" s="2">
        <v>21554.0</v>
      </c>
      <c r="C2764" s="2" t="s">
        <v>3194</v>
      </c>
      <c r="D2764" s="2">
        <v>5.95</v>
      </c>
      <c r="E2764" s="2">
        <v>84.0</v>
      </c>
      <c r="F2764" s="2">
        <v>386.85</v>
      </c>
      <c r="G2764" s="4">
        <f t="shared" si="3"/>
        <v>9273990.54</v>
      </c>
      <c r="H2764" s="4">
        <f t="shared" si="1"/>
        <v>0.9716664264</v>
      </c>
      <c r="I2764" s="4" t="str">
        <f t="shared" si="2"/>
        <v>C</v>
      </c>
    </row>
    <row r="2765">
      <c r="A2765" s="2">
        <v>2764.0</v>
      </c>
      <c r="B2765" s="2">
        <v>21723.0</v>
      </c>
      <c r="C2765" s="2" t="s">
        <v>3195</v>
      </c>
      <c r="D2765" s="2">
        <v>0.85</v>
      </c>
      <c r="E2765" s="2">
        <v>435.0</v>
      </c>
      <c r="F2765" s="2">
        <v>386.26</v>
      </c>
      <c r="G2765" s="4">
        <f t="shared" si="3"/>
        <v>9274376.8</v>
      </c>
      <c r="H2765" s="4">
        <f t="shared" si="1"/>
        <v>0.9717068961</v>
      </c>
      <c r="I2765" s="4" t="str">
        <f t="shared" si="2"/>
        <v>C</v>
      </c>
    </row>
    <row r="2766">
      <c r="A2766" s="2">
        <v>2765.0</v>
      </c>
      <c r="B2766" s="2">
        <v>21015.0</v>
      </c>
      <c r="C2766" s="2" t="s">
        <v>3196</v>
      </c>
      <c r="D2766" s="2">
        <v>0.83</v>
      </c>
      <c r="E2766" s="2">
        <v>851.0</v>
      </c>
      <c r="F2766" s="2">
        <v>386.16</v>
      </c>
      <c r="G2766" s="4">
        <f t="shared" si="3"/>
        <v>9274762.96</v>
      </c>
      <c r="H2766" s="4">
        <f t="shared" si="1"/>
        <v>0.9717473554</v>
      </c>
      <c r="I2766" s="4" t="str">
        <f t="shared" si="2"/>
        <v>C</v>
      </c>
    </row>
    <row r="2767">
      <c r="A2767" s="2">
        <v>2766.0</v>
      </c>
      <c r="B2767" s="2">
        <v>85006.0</v>
      </c>
      <c r="C2767" s="2" t="s">
        <v>3197</v>
      </c>
      <c r="D2767" s="2">
        <v>2.95</v>
      </c>
      <c r="E2767" s="2">
        <v>792.0</v>
      </c>
      <c r="F2767" s="2">
        <v>386.06</v>
      </c>
      <c r="G2767" s="4">
        <f t="shared" si="3"/>
        <v>9275149.02</v>
      </c>
      <c r="H2767" s="4">
        <f t="shared" si="1"/>
        <v>0.9717878042</v>
      </c>
      <c r="I2767" s="4" t="str">
        <f t="shared" si="2"/>
        <v>C</v>
      </c>
    </row>
    <row r="2768">
      <c r="A2768" s="2">
        <v>2767.0</v>
      </c>
      <c r="B2768" s="2" t="s">
        <v>3198</v>
      </c>
      <c r="C2768" s="2" t="s">
        <v>3199</v>
      </c>
      <c r="D2768" s="2">
        <v>0.42</v>
      </c>
      <c r="E2768" s="2">
        <v>980.0</v>
      </c>
      <c r="F2768" s="2">
        <v>384.79</v>
      </c>
      <c r="G2768" s="4">
        <f t="shared" si="3"/>
        <v>9275533.81</v>
      </c>
      <c r="H2768" s="4">
        <f t="shared" si="1"/>
        <v>0.9718281199</v>
      </c>
      <c r="I2768" s="4" t="str">
        <f t="shared" si="2"/>
        <v>C</v>
      </c>
    </row>
    <row r="2769">
      <c r="A2769" s="2">
        <v>2768.0</v>
      </c>
      <c r="B2769" s="2">
        <v>22640.0</v>
      </c>
      <c r="C2769" s="2" t="s">
        <v>3200</v>
      </c>
      <c r="D2769" s="2">
        <v>2.55</v>
      </c>
      <c r="E2769" s="2">
        <v>179.0</v>
      </c>
      <c r="F2769" s="2">
        <v>383.97</v>
      </c>
      <c r="G2769" s="4">
        <f t="shared" si="3"/>
        <v>9275917.78</v>
      </c>
      <c r="H2769" s="4">
        <f t="shared" si="1"/>
        <v>0.9718683497</v>
      </c>
      <c r="I2769" s="4" t="str">
        <f t="shared" si="2"/>
        <v>C</v>
      </c>
    </row>
    <row r="2770">
      <c r="A2770" s="2">
        <v>2769.0</v>
      </c>
      <c r="B2770" s="2">
        <v>23335.0</v>
      </c>
      <c r="C2770" s="2" t="s">
        <v>3201</v>
      </c>
      <c r="D2770" s="2">
        <v>2.08</v>
      </c>
      <c r="E2770" s="2">
        <v>183.0</v>
      </c>
      <c r="F2770" s="2">
        <v>383.95</v>
      </c>
      <c r="G2770" s="4">
        <f t="shared" si="3"/>
        <v>9276301.73</v>
      </c>
      <c r="H2770" s="4">
        <f t="shared" si="1"/>
        <v>0.9719085774</v>
      </c>
      <c r="I2770" s="4" t="str">
        <f t="shared" si="2"/>
        <v>C</v>
      </c>
    </row>
    <row r="2771">
      <c r="A2771" s="2">
        <v>2770.0</v>
      </c>
      <c r="B2771" s="2" t="s">
        <v>3202</v>
      </c>
      <c r="C2771" s="2" t="s">
        <v>3203</v>
      </c>
      <c r="D2771" s="2">
        <v>7.95</v>
      </c>
      <c r="E2771" s="2">
        <v>49.0</v>
      </c>
      <c r="F2771" s="2">
        <v>383.58</v>
      </c>
      <c r="G2771" s="4">
        <f t="shared" si="3"/>
        <v>9276685.31</v>
      </c>
      <c r="H2771" s="4">
        <f t="shared" si="1"/>
        <v>0.9719487663</v>
      </c>
      <c r="I2771" s="4" t="str">
        <f t="shared" si="2"/>
        <v>C</v>
      </c>
    </row>
    <row r="2772">
      <c r="A2772" s="2">
        <v>2771.0</v>
      </c>
      <c r="B2772" s="2" t="s">
        <v>3204</v>
      </c>
      <c r="C2772" s="2" t="s">
        <v>3205</v>
      </c>
      <c r="D2772" s="2">
        <v>1.25</v>
      </c>
      <c r="E2772" s="2">
        <v>296.0</v>
      </c>
      <c r="F2772" s="2">
        <v>383.5</v>
      </c>
      <c r="G2772" s="4">
        <f t="shared" si="3"/>
        <v>9277068.81</v>
      </c>
      <c r="H2772" s="4">
        <f t="shared" si="1"/>
        <v>0.9719889469</v>
      </c>
      <c r="I2772" s="4" t="str">
        <f t="shared" si="2"/>
        <v>C</v>
      </c>
    </row>
    <row r="2773">
      <c r="A2773" s="2">
        <v>2772.0</v>
      </c>
      <c r="B2773" s="2" t="s">
        <v>3206</v>
      </c>
      <c r="C2773" s="2" t="s">
        <v>3207</v>
      </c>
      <c r="D2773" s="2">
        <v>1.95</v>
      </c>
      <c r="E2773" s="2">
        <v>192.0</v>
      </c>
      <c r="F2773" s="2">
        <v>383.42</v>
      </c>
      <c r="G2773" s="4">
        <f t="shared" si="3"/>
        <v>9277452.23</v>
      </c>
      <c r="H2773" s="4">
        <f t="shared" si="1"/>
        <v>0.972029119</v>
      </c>
      <c r="I2773" s="4" t="str">
        <f t="shared" si="2"/>
        <v>C</v>
      </c>
    </row>
    <row r="2774">
      <c r="A2774" s="2">
        <v>2773.0</v>
      </c>
      <c r="B2774" s="2" t="s">
        <v>3208</v>
      </c>
      <c r="C2774" s="2" t="s">
        <v>3209</v>
      </c>
      <c r="D2774" s="2">
        <v>3.75</v>
      </c>
      <c r="E2774" s="2">
        <v>102.0</v>
      </c>
      <c r="F2774" s="2">
        <v>383.1</v>
      </c>
      <c r="G2774" s="4">
        <f t="shared" si="3"/>
        <v>9277835.33</v>
      </c>
      <c r="H2774" s="4">
        <f t="shared" si="1"/>
        <v>0.9720692577</v>
      </c>
      <c r="I2774" s="4" t="str">
        <f t="shared" si="2"/>
        <v>C</v>
      </c>
    </row>
    <row r="2775">
      <c r="A2775" s="2">
        <v>2774.0</v>
      </c>
      <c r="B2775" s="2" t="s">
        <v>3210</v>
      </c>
      <c r="C2775" s="2" t="s">
        <v>3211</v>
      </c>
      <c r="D2775" s="2">
        <v>0.85</v>
      </c>
      <c r="E2775" s="2">
        <v>404.0</v>
      </c>
      <c r="F2775" s="2">
        <v>382.68</v>
      </c>
      <c r="G2775" s="4">
        <f t="shared" si="3"/>
        <v>9278218.01</v>
      </c>
      <c r="H2775" s="4">
        <f t="shared" si="1"/>
        <v>0.9721093523</v>
      </c>
      <c r="I2775" s="4" t="str">
        <f t="shared" si="2"/>
        <v>C</v>
      </c>
    </row>
    <row r="2776">
      <c r="A2776" s="2">
        <v>2775.0</v>
      </c>
      <c r="B2776" s="2" t="s">
        <v>3212</v>
      </c>
      <c r="C2776" s="2" t="s">
        <v>3213</v>
      </c>
      <c r="D2776" s="2">
        <v>4.21</v>
      </c>
      <c r="E2776" s="2">
        <v>172.0</v>
      </c>
      <c r="F2776" s="2">
        <v>382.51</v>
      </c>
      <c r="G2776" s="4">
        <f t="shared" si="3"/>
        <v>9278600.52</v>
      </c>
      <c r="H2776" s="4">
        <f t="shared" si="1"/>
        <v>0.9721494292</v>
      </c>
      <c r="I2776" s="4" t="str">
        <f t="shared" si="2"/>
        <v>C</v>
      </c>
    </row>
    <row r="2777">
      <c r="A2777" s="2">
        <v>2776.0</v>
      </c>
      <c r="B2777" s="2" t="s">
        <v>3214</v>
      </c>
      <c r="C2777" s="2" t="s">
        <v>3215</v>
      </c>
      <c r="D2777" s="2">
        <v>49.95</v>
      </c>
      <c r="E2777" s="2">
        <v>12.0</v>
      </c>
      <c r="F2777" s="2">
        <v>381.68</v>
      </c>
      <c r="G2777" s="4">
        <f t="shared" si="3"/>
        <v>9278982.2</v>
      </c>
      <c r="H2777" s="4">
        <f t="shared" si="1"/>
        <v>0.972189419</v>
      </c>
      <c r="I2777" s="4" t="str">
        <f t="shared" si="2"/>
        <v>C</v>
      </c>
    </row>
    <row r="2778">
      <c r="A2778" s="2">
        <v>2777.0</v>
      </c>
      <c r="B2778" s="2">
        <v>23550.0</v>
      </c>
      <c r="C2778" s="2" t="s">
        <v>3216</v>
      </c>
      <c r="D2778" s="2">
        <v>0.42</v>
      </c>
      <c r="E2778" s="2">
        <v>928.0</v>
      </c>
      <c r="F2778" s="2">
        <v>381.55</v>
      </c>
      <c r="G2778" s="4">
        <f t="shared" si="3"/>
        <v>9279363.75</v>
      </c>
      <c r="H2778" s="4">
        <f t="shared" si="1"/>
        <v>0.9722293953</v>
      </c>
      <c r="I2778" s="4" t="str">
        <f t="shared" si="2"/>
        <v>C</v>
      </c>
    </row>
    <row r="2779">
      <c r="A2779" s="2">
        <v>2778.0</v>
      </c>
      <c r="B2779" s="2" t="s">
        <v>3217</v>
      </c>
      <c r="C2779" s="2" t="s">
        <v>3218</v>
      </c>
      <c r="D2779" s="2">
        <v>2.1</v>
      </c>
      <c r="E2779" s="2">
        <v>217.0</v>
      </c>
      <c r="F2779" s="2">
        <v>381.48</v>
      </c>
      <c r="G2779" s="4">
        <f t="shared" si="3"/>
        <v>9279745.23</v>
      </c>
      <c r="H2779" s="4">
        <f t="shared" si="1"/>
        <v>0.9722693642</v>
      </c>
      <c r="I2779" s="4" t="str">
        <f t="shared" si="2"/>
        <v>C</v>
      </c>
    </row>
    <row r="2780">
      <c r="A2780" s="2">
        <v>2779.0</v>
      </c>
      <c r="B2780" s="2" t="s">
        <v>3219</v>
      </c>
      <c r="C2780" s="2" t="s">
        <v>3220</v>
      </c>
      <c r="D2780" s="2">
        <v>4.25</v>
      </c>
      <c r="E2780" s="2">
        <v>90.0</v>
      </c>
      <c r="F2780" s="2">
        <v>381.22</v>
      </c>
      <c r="G2780" s="4">
        <f t="shared" si="3"/>
        <v>9280126.45</v>
      </c>
      <c r="H2780" s="4">
        <f t="shared" si="1"/>
        <v>0.9723093058</v>
      </c>
      <c r="I2780" s="4" t="str">
        <f t="shared" si="2"/>
        <v>C</v>
      </c>
    </row>
    <row r="2781">
      <c r="A2781" s="2">
        <v>2780.0</v>
      </c>
      <c r="B2781" s="2" t="s">
        <v>3221</v>
      </c>
      <c r="C2781" s="2" t="s">
        <v>3222</v>
      </c>
      <c r="D2781" s="2">
        <v>8.47</v>
      </c>
      <c r="E2781" s="2">
        <v>52.0</v>
      </c>
      <c r="F2781" s="2">
        <v>380.62</v>
      </c>
      <c r="G2781" s="4">
        <f t="shared" si="3"/>
        <v>9280507.07</v>
      </c>
      <c r="H2781" s="4">
        <f t="shared" si="1"/>
        <v>0.9723491847</v>
      </c>
      <c r="I2781" s="4" t="str">
        <f t="shared" si="2"/>
        <v>C</v>
      </c>
    </row>
    <row r="2782">
      <c r="A2782" s="2">
        <v>2781.0</v>
      </c>
      <c r="B2782" s="2">
        <v>23123.0</v>
      </c>
      <c r="C2782" s="2" t="s">
        <v>3223</v>
      </c>
      <c r="D2782" s="2">
        <v>0.83</v>
      </c>
      <c r="E2782" s="2">
        <v>468.0</v>
      </c>
      <c r="F2782" s="2">
        <v>380.2</v>
      </c>
      <c r="G2782" s="4">
        <f t="shared" si="3"/>
        <v>9280887.27</v>
      </c>
      <c r="H2782" s="4">
        <f t="shared" si="1"/>
        <v>0.9723890195</v>
      </c>
      <c r="I2782" s="4" t="str">
        <f t="shared" si="2"/>
        <v>C</v>
      </c>
    </row>
    <row r="2783">
      <c r="A2783" s="2">
        <v>2782.0</v>
      </c>
      <c r="B2783" s="2">
        <v>84620.0</v>
      </c>
      <c r="C2783" s="2" t="s">
        <v>3224</v>
      </c>
      <c r="D2783" s="2">
        <v>5.95</v>
      </c>
      <c r="E2783" s="2">
        <v>62.0</v>
      </c>
      <c r="F2783" s="2">
        <v>379.26</v>
      </c>
      <c r="G2783" s="4">
        <f t="shared" si="3"/>
        <v>9281266.53</v>
      </c>
      <c r="H2783" s="4">
        <f t="shared" si="1"/>
        <v>0.9724287558</v>
      </c>
      <c r="I2783" s="4" t="str">
        <f t="shared" si="2"/>
        <v>C</v>
      </c>
    </row>
    <row r="2784">
      <c r="A2784" s="2">
        <v>2783.0</v>
      </c>
      <c r="B2784" s="2" t="s">
        <v>3225</v>
      </c>
      <c r="C2784" s="2" t="s">
        <v>3226</v>
      </c>
      <c r="D2784" s="2">
        <v>5.91</v>
      </c>
      <c r="E2784" s="2">
        <v>188.0</v>
      </c>
      <c r="F2784" s="2">
        <v>379.14</v>
      </c>
      <c r="G2784" s="4">
        <f t="shared" si="3"/>
        <v>9281645.67</v>
      </c>
      <c r="H2784" s="4">
        <f t="shared" si="1"/>
        <v>0.9724684795</v>
      </c>
      <c r="I2784" s="4" t="str">
        <f t="shared" si="2"/>
        <v>C</v>
      </c>
    </row>
    <row r="2785">
      <c r="A2785" s="2">
        <v>2784.0</v>
      </c>
      <c r="B2785" s="2">
        <v>23282.0</v>
      </c>
      <c r="C2785" s="2" t="s">
        <v>3227</v>
      </c>
      <c r="D2785" s="2">
        <v>0.83</v>
      </c>
      <c r="E2785" s="2">
        <v>406.0</v>
      </c>
      <c r="F2785" s="2">
        <v>378.93</v>
      </c>
      <c r="G2785" s="4">
        <f t="shared" si="3"/>
        <v>9282024.6</v>
      </c>
      <c r="H2785" s="4">
        <f t="shared" si="1"/>
        <v>0.9725081813</v>
      </c>
      <c r="I2785" s="4" t="str">
        <f t="shared" si="2"/>
        <v>C</v>
      </c>
    </row>
    <row r="2786">
      <c r="A2786" s="2">
        <v>2785.0</v>
      </c>
      <c r="B2786" s="2">
        <v>21194.0</v>
      </c>
      <c r="C2786" s="2" t="s">
        <v>3228</v>
      </c>
      <c r="D2786" s="2">
        <v>2.1</v>
      </c>
      <c r="E2786" s="2">
        <v>290.0</v>
      </c>
      <c r="F2786" s="2">
        <v>378.9</v>
      </c>
      <c r="G2786" s="4">
        <f t="shared" si="3"/>
        <v>9282403.5</v>
      </c>
      <c r="H2786" s="4">
        <f t="shared" si="1"/>
        <v>0.9725478798</v>
      </c>
      <c r="I2786" s="4" t="str">
        <f t="shared" si="2"/>
        <v>C</v>
      </c>
    </row>
    <row r="2787">
      <c r="A2787" s="2">
        <v>2786.0</v>
      </c>
      <c r="B2787" s="2">
        <v>84761.0</v>
      </c>
      <c r="C2787" s="2" t="s">
        <v>3229</v>
      </c>
      <c r="D2787" s="2">
        <v>2.55</v>
      </c>
      <c r="E2787" s="2">
        <v>136.0</v>
      </c>
      <c r="F2787" s="2">
        <v>378.05</v>
      </c>
      <c r="G2787" s="4">
        <f t="shared" si="3"/>
        <v>9282781.55</v>
      </c>
      <c r="H2787" s="4">
        <f t="shared" si="1"/>
        <v>0.9725874894</v>
      </c>
      <c r="I2787" s="4" t="str">
        <f t="shared" si="2"/>
        <v>C</v>
      </c>
    </row>
    <row r="2788">
      <c r="A2788" s="2">
        <v>2787.0</v>
      </c>
      <c r="B2788" s="2">
        <v>16259.0</v>
      </c>
      <c r="C2788" s="2" t="s">
        <v>3230</v>
      </c>
      <c r="D2788" s="2">
        <v>0.21</v>
      </c>
      <c r="E2788" s="2">
        <v>2676.0</v>
      </c>
      <c r="F2788" s="2">
        <v>377.46</v>
      </c>
      <c r="G2788" s="4">
        <f t="shared" si="3"/>
        <v>9283159.01</v>
      </c>
      <c r="H2788" s="4">
        <f t="shared" si="1"/>
        <v>0.9726270371</v>
      </c>
      <c r="I2788" s="4" t="str">
        <f t="shared" si="2"/>
        <v>C</v>
      </c>
    </row>
    <row r="2789">
      <c r="A2789" s="2">
        <v>2788.0</v>
      </c>
      <c r="B2789" s="2">
        <v>22124.0</v>
      </c>
      <c r="C2789" s="2" t="s">
        <v>3231</v>
      </c>
      <c r="D2789" s="2">
        <v>2.51</v>
      </c>
      <c r="E2789" s="2">
        <v>150.0</v>
      </c>
      <c r="F2789" s="2">
        <v>377.44</v>
      </c>
      <c r="G2789" s="4">
        <f t="shared" si="3"/>
        <v>9283536.45</v>
      </c>
      <c r="H2789" s="4">
        <f t="shared" si="1"/>
        <v>0.9726665827</v>
      </c>
      <c r="I2789" s="4" t="str">
        <f t="shared" si="2"/>
        <v>C</v>
      </c>
    </row>
    <row r="2790">
      <c r="A2790" s="2">
        <v>2789.0</v>
      </c>
      <c r="B2790" s="2" t="s">
        <v>3232</v>
      </c>
      <c r="C2790" s="2" t="s">
        <v>3233</v>
      </c>
      <c r="D2790" s="2">
        <v>1.05</v>
      </c>
      <c r="E2790" s="2">
        <v>406.0</v>
      </c>
      <c r="F2790" s="2">
        <v>377.42</v>
      </c>
      <c r="G2790" s="4">
        <f t="shared" si="3"/>
        <v>9283913.87</v>
      </c>
      <c r="H2790" s="4">
        <f t="shared" si="1"/>
        <v>0.9727061263</v>
      </c>
      <c r="I2790" s="4" t="str">
        <f t="shared" si="2"/>
        <v>C</v>
      </c>
    </row>
    <row r="2791">
      <c r="A2791" s="2">
        <v>2790.0</v>
      </c>
      <c r="B2791" s="2">
        <v>23454.0</v>
      </c>
      <c r="C2791" s="2" t="s">
        <v>3234</v>
      </c>
      <c r="D2791" s="2">
        <v>4.15</v>
      </c>
      <c r="E2791" s="2">
        <v>90.0</v>
      </c>
      <c r="F2791" s="2">
        <v>376.98</v>
      </c>
      <c r="G2791" s="4">
        <f t="shared" si="3"/>
        <v>9284290.85</v>
      </c>
      <c r="H2791" s="4">
        <f t="shared" si="1"/>
        <v>0.9727456237</v>
      </c>
      <c r="I2791" s="4" t="str">
        <f t="shared" si="2"/>
        <v>C</v>
      </c>
    </row>
    <row r="2792">
      <c r="A2792" s="2">
        <v>2791.0</v>
      </c>
      <c r="B2792" s="2" t="s">
        <v>3235</v>
      </c>
      <c r="C2792" s="2" t="s">
        <v>3236</v>
      </c>
      <c r="D2792" s="2">
        <v>12.75</v>
      </c>
      <c r="E2792" s="2">
        <v>23.0</v>
      </c>
      <c r="F2792" s="2">
        <v>376.88</v>
      </c>
      <c r="G2792" s="4">
        <f t="shared" si="3"/>
        <v>9284667.73</v>
      </c>
      <c r="H2792" s="4">
        <f t="shared" si="1"/>
        <v>0.9727851107</v>
      </c>
      <c r="I2792" s="4" t="str">
        <f t="shared" si="2"/>
        <v>C</v>
      </c>
    </row>
    <row r="2793">
      <c r="A2793" s="2">
        <v>2792.0</v>
      </c>
      <c r="B2793" s="2">
        <v>23223.0</v>
      </c>
      <c r="C2793" s="2" t="s">
        <v>3237</v>
      </c>
      <c r="D2793" s="2">
        <v>0.83</v>
      </c>
      <c r="E2793" s="2">
        <v>402.0</v>
      </c>
      <c r="F2793" s="2">
        <v>375.92</v>
      </c>
      <c r="G2793" s="4">
        <f t="shared" si="3"/>
        <v>9285043.65</v>
      </c>
      <c r="H2793" s="4">
        <f t="shared" si="1"/>
        <v>0.972824497</v>
      </c>
      <c r="I2793" s="4" t="str">
        <f t="shared" si="2"/>
        <v>C</v>
      </c>
    </row>
    <row r="2794">
      <c r="A2794" s="2">
        <v>2793.0</v>
      </c>
      <c r="B2794" s="2">
        <v>23124.0</v>
      </c>
      <c r="C2794" s="2" t="s">
        <v>3238</v>
      </c>
      <c r="D2794" s="2">
        <v>1.25</v>
      </c>
      <c r="E2794" s="2">
        <v>284.0</v>
      </c>
      <c r="F2794" s="2">
        <v>375.69</v>
      </c>
      <c r="G2794" s="4">
        <f t="shared" si="3"/>
        <v>9285419.34</v>
      </c>
      <c r="H2794" s="4">
        <f t="shared" si="1"/>
        <v>0.9728638593</v>
      </c>
      <c r="I2794" s="4" t="str">
        <f t="shared" si="2"/>
        <v>C</v>
      </c>
    </row>
    <row r="2795">
      <c r="A2795" s="2">
        <v>2794.0</v>
      </c>
      <c r="B2795" s="2">
        <v>22825.0</v>
      </c>
      <c r="C2795" s="2" t="s">
        <v>3239</v>
      </c>
      <c r="D2795" s="2">
        <v>7.95</v>
      </c>
      <c r="E2795" s="2">
        <v>47.0</v>
      </c>
      <c r="F2795" s="2">
        <v>375.66</v>
      </c>
      <c r="G2795" s="4">
        <f t="shared" si="3"/>
        <v>9285795</v>
      </c>
      <c r="H2795" s="4">
        <f t="shared" si="1"/>
        <v>0.9729032184</v>
      </c>
      <c r="I2795" s="4" t="str">
        <f t="shared" si="2"/>
        <v>C</v>
      </c>
    </row>
    <row r="2796">
      <c r="A2796" s="2">
        <v>2795.0</v>
      </c>
      <c r="B2796" s="2" t="s">
        <v>3240</v>
      </c>
      <c r="C2796" s="2" t="s">
        <v>3241</v>
      </c>
      <c r="D2796" s="2">
        <v>2.55</v>
      </c>
      <c r="E2796" s="2">
        <v>338.0</v>
      </c>
      <c r="F2796" s="2">
        <v>375.46</v>
      </c>
      <c r="G2796" s="4">
        <f t="shared" si="3"/>
        <v>9286170.46</v>
      </c>
      <c r="H2796" s="4">
        <f t="shared" si="1"/>
        <v>0.9729425566</v>
      </c>
      <c r="I2796" s="4" t="str">
        <f t="shared" si="2"/>
        <v>C</v>
      </c>
    </row>
    <row r="2797">
      <c r="A2797" s="2">
        <v>2796.0</v>
      </c>
      <c r="B2797" s="2">
        <v>85110.0</v>
      </c>
      <c r="C2797" s="2" t="s">
        <v>3242</v>
      </c>
      <c r="D2797" s="2">
        <v>0.85</v>
      </c>
      <c r="E2797" s="2">
        <v>3240.0</v>
      </c>
      <c r="F2797" s="2">
        <v>375.34</v>
      </c>
      <c r="G2797" s="4">
        <f t="shared" si="3"/>
        <v>9286545.8</v>
      </c>
      <c r="H2797" s="4">
        <f t="shared" si="1"/>
        <v>0.9729818822</v>
      </c>
      <c r="I2797" s="4" t="str">
        <f t="shared" si="2"/>
        <v>C</v>
      </c>
    </row>
    <row r="2798">
      <c r="A2798" s="2">
        <v>2797.0</v>
      </c>
      <c r="B2798" s="2">
        <v>84653.0</v>
      </c>
      <c r="C2798" s="2" t="s">
        <v>3243</v>
      </c>
      <c r="D2798" s="2">
        <v>45.95</v>
      </c>
      <c r="E2798" s="2">
        <v>7.0</v>
      </c>
      <c r="F2798" s="2">
        <v>375.24</v>
      </c>
      <c r="G2798" s="4">
        <f t="shared" si="3"/>
        <v>9286921.04</v>
      </c>
      <c r="H2798" s="4">
        <f t="shared" si="1"/>
        <v>0.9730211973</v>
      </c>
      <c r="I2798" s="4" t="str">
        <f t="shared" si="2"/>
        <v>C</v>
      </c>
    </row>
    <row r="2799">
      <c r="A2799" s="2">
        <v>2798.0</v>
      </c>
      <c r="B2799" s="2">
        <v>21344.0</v>
      </c>
      <c r="C2799" s="2" t="s">
        <v>3244</v>
      </c>
      <c r="D2799" s="2">
        <v>9.95</v>
      </c>
      <c r="E2799" s="2">
        <v>83.0</v>
      </c>
      <c r="F2799" s="2">
        <v>374.91</v>
      </c>
      <c r="G2799" s="4">
        <f t="shared" si="3"/>
        <v>9287295.95</v>
      </c>
      <c r="H2799" s="4">
        <f t="shared" si="1"/>
        <v>0.9730604779</v>
      </c>
      <c r="I2799" s="4" t="str">
        <f t="shared" si="2"/>
        <v>C</v>
      </c>
    </row>
    <row r="2800">
      <c r="A2800" s="2">
        <v>2799.0</v>
      </c>
      <c r="B2800" s="2">
        <v>23025.0</v>
      </c>
      <c r="C2800" s="2" t="s">
        <v>3245</v>
      </c>
      <c r="D2800" s="2">
        <v>2.08</v>
      </c>
      <c r="E2800" s="2">
        <v>172.0</v>
      </c>
      <c r="F2800" s="2">
        <v>374.16</v>
      </c>
      <c r="G2800" s="4">
        <f t="shared" si="3"/>
        <v>9287670.11</v>
      </c>
      <c r="H2800" s="4">
        <f t="shared" si="1"/>
        <v>0.9730996799</v>
      </c>
      <c r="I2800" s="4" t="str">
        <f t="shared" si="2"/>
        <v>C</v>
      </c>
    </row>
    <row r="2801">
      <c r="A2801" s="2">
        <v>2800.0</v>
      </c>
      <c r="B2801" s="2">
        <v>35647.0</v>
      </c>
      <c r="C2801" s="2" t="s">
        <v>3246</v>
      </c>
      <c r="D2801" s="2">
        <v>1.25</v>
      </c>
      <c r="E2801" s="2">
        <v>282.0</v>
      </c>
      <c r="F2801" s="2">
        <v>374.12</v>
      </c>
      <c r="G2801" s="4">
        <f t="shared" si="3"/>
        <v>9288044.23</v>
      </c>
      <c r="H2801" s="4">
        <f t="shared" si="1"/>
        <v>0.9731388776</v>
      </c>
      <c r="I2801" s="4" t="str">
        <f t="shared" si="2"/>
        <v>C</v>
      </c>
    </row>
    <row r="2802">
      <c r="A2802" s="2">
        <v>2801.0</v>
      </c>
      <c r="B2802" s="2" t="s">
        <v>3247</v>
      </c>
      <c r="C2802" s="2" t="s">
        <v>3248</v>
      </c>
      <c r="D2802" s="2">
        <v>2.1</v>
      </c>
      <c r="E2802" s="2">
        <v>198.0</v>
      </c>
      <c r="F2802" s="2">
        <v>374.08</v>
      </c>
      <c r="G2802" s="4">
        <f t="shared" si="3"/>
        <v>9288418.31</v>
      </c>
      <c r="H2802" s="4">
        <f t="shared" si="1"/>
        <v>0.9731780712</v>
      </c>
      <c r="I2802" s="4" t="str">
        <f t="shared" si="2"/>
        <v>C</v>
      </c>
    </row>
    <row r="2803">
      <c r="A2803" s="2">
        <v>2802.0</v>
      </c>
      <c r="B2803" s="2" t="s">
        <v>3249</v>
      </c>
      <c r="C2803" s="2" t="s">
        <v>3250</v>
      </c>
      <c r="D2803" s="2">
        <v>7.95</v>
      </c>
      <c r="E2803" s="2">
        <v>46.0</v>
      </c>
      <c r="F2803" s="2">
        <v>373.32</v>
      </c>
      <c r="G2803" s="4">
        <f t="shared" si="3"/>
        <v>9288791.63</v>
      </c>
      <c r="H2803" s="4">
        <f t="shared" si="1"/>
        <v>0.9732171852</v>
      </c>
      <c r="I2803" s="4" t="str">
        <f t="shared" si="2"/>
        <v>C</v>
      </c>
    </row>
    <row r="2804">
      <c r="A2804" s="2">
        <v>2803.0</v>
      </c>
      <c r="B2804" s="2">
        <v>23022.0</v>
      </c>
      <c r="C2804" s="2" t="s">
        <v>3251</v>
      </c>
      <c r="D2804" s="2">
        <v>2.08</v>
      </c>
      <c r="E2804" s="2">
        <v>196.0</v>
      </c>
      <c r="F2804" s="2">
        <v>372.88</v>
      </c>
      <c r="G2804" s="4">
        <f t="shared" si="3"/>
        <v>9289164.51</v>
      </c>
      <c r="H2804" s="4">
        <f t="shared" si="1"/>
        <v>0.9732562531</v>
      </c>
      <c r="I2804" s="4" t="str">
        <f t="shared" si="2"/>
        <v>C</v>
      </c>
    </row>
    <row r="2805">
      <c r="A2805" s="2">
        <v>2804.0</v>
      </c>
      <c r="B2805" s="2" t="s">
        <v>3252</v>
      </c>
      <c r="C2805" s="2" t="s">
        <v>3253</v>
      </c>
      <c r="D2805" s="2">
        <v>4.98</v>
      </c>
      <c r="E2805" s="2">
        <v>74.0</v>
      </c>
      <c r="F2805" s="2">
        <v>372.03</v>
      </c>
      <c r="G2805" s="4">
        <f t="shared" si="3"/>
        <v>9289536.54</v>
      </c>
      <c r="H2805" s="4">
        <f t="shared" si="1"/>
        <v>0.9732952319</v>
      </c>
      <c r="I2805" s="4" t="str">
        <f t="shared" si="2"/>
        <v>C</v>
      </c>
    </row>
    <row r="2806">
      <c r="A2806" s="2">
        <v>2805.0</v>
      </c>
      <c r="B2806" s="2">
        <v>84821.0</v>
      </c>
      <c r="C2806" s="2" t="s">
        <v>3254</v>
      </c>
      <c r="D2806" s="2">
        <v>0.85</v>
      </c>
      <c r="E2806" s="2">
        <v>659.0</v>
      </c>
      <c r="F2806" s="2">
        <v>371.25</v>
      </c>
      <c r="G2806" s="4">
        <f t="shared" si="3"/>
        <v>9289907.79</v>
      </c>
      <c r="H2806" s="4">
        <f t="shared" si="1"/>
        <v>0.9733341289</v>
      </c>
      <c r="I2806" s="4" t="str">
        <f t="shared" si="2"/>
        <v>C</v>
      </c>
    </row>
    <row r="2807">
      <c r="A2807" s="2">
        <v>2806.0</v>
      </c>
      <c r="B2807" s="2">
        <v>23325.0</v>
      </c>
      <c r="C2807" s="2" t="s">
        <v>3255</v>
      </c>
      <c r="D2807" s="2">
        <v>1.65</v>
      </c>
      <c r="E2807" s="2">
        <v>231.0</v>
      </c>
      <c r="F2807" s="2">
        <v>370.47</v>
      </c>
      <c r="G2807" s="4">
        <f t="shared" si="3"/>
        <v>9290278.26</v>
      </c>
      <c r="H2807" s="4">
        <f t="shared" si="1"/>
        <v>0.9733729443</v>
      </c>
      <c r="I2807" s="4" t="str">
        <f t="shared" si="2"/>
        <v>C</v>
      </c>
    </row>
    <row r="2808">
      <c r="A2808" s="2">
        <v>2807.0</v>
      </c>
      <c r="B2808" s="2">
        <v>21503.0</v>
      </c>
      <c r="C2808" s="2" t="s">
        <v>3256</v>
      </c>
      <c r="D2808" s="2">
        <v>0.42</v>
      </c>
      <c r="E2808" s="2">
        <v>900.0</v>
      </c>
      <c r="F2808" s="2">
        <v>370.0</v>
      </c>
      <c r="G2808" s="4">
        <f t="shared" si="3"/>
        <v>9290648.26</v>
      </c>
      <c r="H2808" s="4">
        <f t="shared" si="1"/>
        <v>0.9734117104</v>
      </c>
      <c r="I2808" s="4" t="str">
        <f t="shared" si="2"/>
        <v>C</v>
      </c>
    </row>
    <row r="2809">
      <c r="A2809" s="2">
        <v>2808.0</v>
      </c>
      <c r="B2809" s="2">
        <v>21415.0</v>
      </c>
      <c r="C2809" s="2" t="s">
        <v>3257</v>
      </c>
      <c r="D2809" s="2">
        <v>2.1</v>
      </c>
      <c r="E2809" s="2">
        <v>177.0</v>
      </c>
      <c r="F2809" s="2">
        <v>369.38</v>
      </c>
      <c r="G2809" s="4">
        <f t="shared" si="3"/>
        <v>9291017.64</v>
      </c>
      <c r="H2809" s="4">
        <f t="shared" si="1"/>
        <v>0.9734504116</v>
      </c>
      <c r="I2809" s="4" t="str">
        <f t="shared" si="2"/>
        <v>C</v>
      </c>
    </row>
    <row r="2810">
      <c r="A2810" s="2">
        <v>2809.0</v>
      </c>
      <c r="B2810" s="2">
        <v>23114.0</v>
      </c>
      <c r="C2810" s="2" t="s">
        <v>3258</v>
      </c>
      <c r="D2810" s="2">
        <v>4.95</v>
      </c>
      <c r="E2810" s="2">
        <v>74.0</v>
      </c>
      <c r="F2810" s="2">
        <v>368.98</v>
      </c>
      <c r="G2810" s="4">
        <f t="shared" si="3"/>
        <v>9291386.62</v>
      </c>
      <c r="H2810" s="4">
        <f t="shared" si="1"/>
        <v>0.9734890708</v>
      </c>
      <c r="I2810" s="4" t="str">
        <f t="shared" si="2"/>
        <v>C</v>
      </c>
    </row>
    <row r="2811">
      <c r="A2811" s="2">
        <v>2810.0</v>
      </c>
      <c r="B2811" s="2">
        <v>22638.0</v>
      </c>
      <c r="C2811" s="2" t="s">
        <v>3259</v>
      </c>
      <c r="D2811" s="2">
        <v>2.55</v>
      </c>
      <c r="E2811" s="2">
        <v>203.0</v>
      </c>
      <c r="F2811" s="2">
        <v>368.89</v>
      </c>
      <c r="G2811" s="4">
        <f t="shared" si="3"/>
        <v>9291755.51</v>
      </c>
      <c r="H2811" s="4">
        <f t="shared" si="1"/>
        <v>0.9735277206</v>
      </c>
      <c r="I2811" s="4" t="str">
        <f t="shared" si="2"/>
        <v>C</v>
      </c>
    </row>
    <row r="2812">
      <c r="A2812" s="2">
        <v>2811.0</v>
      </c>
      <c r="B2812" s="2">
        <v>21133.0</v>
      </c>
      <c r="C2812" s="2" t="s">
        <v>3260</v>
      </c>
      <c r="D2812" s="2">
        <v>1.69</v>
      </c>
      <c r="E2812" s="2">
        <v>212.0</v>
      </c>
      <c r="F2812" s="2">
        <v>368.28</v>
      </c>
      <c r="G2812" s="4">
        <f t="shared" si="3"/>
        <v>9292123.79</v>
      </c>
      <c r="H2812" s="4">
        <f t="shared" si="1"/>
        <v>0.9735663065</v>
      </c>
      <c r="I2812" s="4" t="str">
        <f t="shared" si="2"/>
        <v>C</v>
      </c>
    </row>
    <row r="2813">
      <c r="A2813" s="2">
        <v>2812.0</v>
      </c>
      <c r="B2813" s="2" t="s">
        <v>3261</v>
      </c>
      <c r="C2813" s="2" t="s">
        <v>3262</v>
      </c>
      <c r="D2813" s="2">
        <v>1.65</v>
      </c>
      <c r="E2813" s="2">
        <v>1286.0</v>
      </c>
      <c r="F2813" s="2">
        <v>368.28</v>
      </c>
      <c r="G2813" s="4">
        <f t="shared" si="3"/>
        <v>9292492.07</v>
      </c>
      <c r="H2813" s="4">
        <f t="shared" si="1"/>
        <v>0.9736048924</v>
      </c>
      <c r="I2813" s="4" t="str">
        <f t="shared" si="2"/>
        <v>C</v>
      </c>
    </row>
    <row r="2814">
      <c r="A2814" s="2">
        <v>2813.0</v>
      </c>
      <c r="B2814" s="2">
        <v>23487.0</v>
      </c>
      <c r="C2814" s="2" t="s">
        <v>3263</v>
      </c>
      <c r="D2814" s="2">
        <v>9.95</v>
      </c>
      <c r="E2814" s="2">
        <v>37.0</v>
      </c>
      <c r="F2814" s="2">
        <v>367.94</v>
      </c>
      <c r="G2814" s="4">
        <f t="shared" si="3"/>
        <v>9292860.01</v>
      </c>
      <c r="H2814" s="4">
        <f t="shared" si="1"/>
        <v>0.9736434427</v>
      </c>
      <c r="I2814" s="4" t="str">
        <f t="shared" si="2"/>
        <v>C</v>
      </c>
    </row>
    <row r="2815">
      <c r="A2815" s="2">
        <v>2814.0</v>
      </c>
      <c r="B2815" s="2">
        <v>23006.0</v>
      </c>
      <c r="C2815" s="2" t="s">
        <v>3264</v>
      </c>
      <c r="D2815" s="2">
        <v>0.42</v>
      </c>
      <c r="E2815" s="2">
        <v>846.0</v>
      </c>
      <c r="F2815" s="2">
        <v>367.52</v>
      </c>
      <c r="G2815" s="4">
        <f t="shared" si="3"/>
        <v>9293227.53</v>
      </c>
      <c r="H2815" s="4">
        <f t="shared" si="1"/>
        <v>0.973681949</v>
      </c>
      <c r="I2815" s="4" t="str">
        <f t="shared" si="2"/>
        <v>C</v>
      </c>
    </row>
    <row r="2816">
      <c r="A2816" s="2">
        <v>2815.0</v>
      </c>
      <c r="B2816" s="2">
        <v>84715.0</v>
      </c>
      <c r="C2816" s="2" t="s">
        <v>3265</v>
      </c>
      <c r="D2816" s="2">
        <v>2.95</v>
      </c>
      <c r="E2816" s="2">
        <v>120.0</v>
      </c>
      <c r="F2816" s="2">
        <v>367.45</v>
      </c>
      <c r="G2816" s="4">
        <f t="shared" si="3"/>
        <v>9293594.98</v>
      </c>
      <c r="H2816" s="4">
        <f t="shared" si="1"/>
        <v>0.9737204479</v>
      </c>
      <c r="I2816" s="4" t="str">
        <f t="shared" si="2"/>
        <v>C</v>
      </c>
    </row>
    <row r="2817">
      <c r="A2817" s="2">
        <v>2816.0</v>
      </c>
      <c r="B2817" s="2">
        <v>23435.0</v>
      </c>
      <c r="C2817" s="2" t="s">
        <v>3266</v>
      </c>
      <c r="D2817" s="2">
        <v>0.83</v>
      </c>
      <c r="E2817" s="2">
        <v>414.0</v>
      </c>
      <c r="F2817" s="2">
        <v>367.4</v>
      </c>
      <c r="G2817" s="4">
        <f t="shared" si="3"/>
        <v>9293962.38</v>
      </c>
      <c r="H2817" s="4">
        <f t="shared" si="1"/>
        <v>0.9737589416</v>
      </c>
      <c r="I2817" s="4" t="str">
        <f t="shared" si="2"/>
        <v>C</v>
      </c>
    </row>
    <row r="2818">
      <c r="A2818" s="2">
        <v>2817.0</v>
      </c>
      <c r="B2818" s="2" t="s">
        <v>3267</v>
      </c>
      <c r="C2818" s="2" t="s">
        <v>3203</v>
      </c>
      <c r="D2818" s="2">
        <v>4.95</v>
      </c>
      <c r="E2818" s="2">
        <v>71.0</v>
      </c>
      <c r="F2818" s="2">
        <v>366.4</v>
      </c>
      <c r="G2818" s="4">
        <f t="shared" si="3"/>
        <v>9294328.78</v>
      </c>
      <c r="H2818" s="4">
        <f t="shared" si="1"/>
        <v>0.9737973306</v>
      </c>
      <c r="I2818" s="4" t="str">
        <f t="shared" si="2"/>
        <v>C</v>
      </c>
    </row>
    <row r="2819">
      <c r="A2819" s="2">
        <v>2818.0</v>
      </c>
      <c r="B2819" s="2" t="s">
        <v>3268</v>
      </c>
      <c r="C2819" s="2" t="s">
        <v>3269</v>
      </c>
      <c r="D2819" s="2">
        <v>2.11</v>
      </c>
      <c r="E2819" s="2">
        <v>190.0</v>
      </c>
      <c r="F2819" s="2">
        <v>366.38</v>
      </c>
      <c r="G2819" s="4">
        <f t="shared" si="3"/>
        <v>9294695.16</v>
      </c>
      <c r="H2819" s="4">
        <f t="shared" si="1"/>
        <v>0.9738357174</v>
      </c>
      <c r="I2819" s="4" t="str">
        <f t="shared" si="2"/>
        <v>C</v>
      </c>
    </row>
    <row r="2820">
      <c r="A2820" s="2">
        <v>2819.0</v>
      </c>
      <c r="B2820" s="2">
        <v>23458.0</v>
      </c>
      <c r="C2820" s="2" t="s">
        <v>3270</v>
      </c>
      <c r="D2820" s="2">
        <v>14.95</v>
      </c>
      <c r="E2820" s="2">
        <v>24.0</v>
      </c>
      <c r="F2820" s="2">
        <v>366.28</v>
      </c>
      <c r="G2820" s="4">
        <f t="shared" si="3"/>
        <v>9295061.44</v>
      </c>
      <c r="H2820" s="4">
        <f t="shared" si="1"/>
        <v>0.9738740938</v>
      </c>
      <c r="I2820" s="4" t="str">
        <f t="shared" si="2"/>
        <v>C</v>
      </c>
    </row>
    <row r="2821">
      <c r="A2821" s="2">
        <v>2820.0</v>
      </c>
      <c r="B2821" s="2" t="s">
        <v>3271</v>
      </c>
      <c r="C2821" s="2" t="s">
        <v>3272</v>
      </c>
      <c r="D2821" s="2">
        <v>0.83</v>
      </c>
      <c r="E2821" s="2">
        <v>474.0</v>
      </c>
      <c r="F2821" s="2">
        <v>366.0</v>
      </c>
      <c r="G2821" s="4">
        <f t="shared" si="3"/>
        <v>9295427.44</v>
      </c>
      <c r="H2821" s="4">
        <f t="shared" si="1"/>
        <v>0.9739124408</v>
      </c>
      <c r="I2821" s="4" t="str">
        <f t="shared" si="2"/>
        <v>C</v>
      </c>
    </row>
    <row r="2822">
      <c r="A2822" s="2">
        <v>2821.0</v>
      </c>
      <c r="B2822" s="2">
        <v>21378.0</v>
      </c>
      <c r="C2822" s="2" t="s">
        <v>3273</v>
      </c>
      <c r="D2822" s="2">
        <v>1.65</v>
      </c>
      <c r="E2822" s="2">
        <v>280.0</v>
      </c>
      <c r="F2822" s="2">
        <v>365.31</v>
      </c>
      <c r="G2822" s="4">
        <f t="shared" si="3"/>
        <v>9295792.75</v>
      </c>
      <c r="H2822" s="4">
        <f t="shared" si="1"/>
        <v>0.9739507155</v>
      </c>
      <c r="I2822" s="4" t="str">
        <f t="shared" si="2"/>
        <v>C</v>
      </c>
    </row>
    <row r="2823">
      <c r="A2823" s="2">
        <v>2822.0</v>
      </c>
      <c r="B2823" s="2">
        <v>23562.0</v>
      </c>
      <c r="C2823" s="2" t="s">
        <v>3274</v>
      </c>
      <c r="D2823" s="2">
        <v>2.89</v>
      </c>
      <c r="E2823" s="2">
        <v>126.0</v>
      </c>
      <c r="F2823" s="2">
        <v>365.18</v>
      </c>
      <c r="G2823" s="4">
        <f t="shared" si="3"/>
        <v>9296157.93</v>
      </c>
      <c r="H2823" s="4">
        <f t="shared" si="1"/>
        <v>0.9739889766</v>
      </c>
      <c r="I2823" s="4" t="str">
        <f t="shared" si="2"/>
        <v>C</v>
      </c>
    </row>
    <row r="2824">
      <c r="A2824" s="2">
        <v>2823.0</v>
      </c>
      <c r="B2824" s="2">
        <v>20657.0</v>
      </c>
      <c r="C2824" s="2" t="s">
        <v>3275</v>
      </c>
      <c r="D2824" s="2">
        <v>1.25</v>
      </c>
      <c r="E2824" s="2">
        <v>939.0</v>
      </c>
      <c r="F2824" s="2">
        <v>363.86</v>
      </c>
      <c r="G2824" s="4">
        <f t="shared" si="3"/>
        <v>9296521.79</v>
      </c>
      <c r="H2824" s="4">
        <f t="shared" si="1"/>
        <v>0.9740270994</v>
      </c>
      <c r="I2824" s="4" t="str">
        <f t="shared" si="2"/>
        <v>C</v>
      </c>
    </row>
    <row r="2825">
      <c r="A2825" s="2">
        <v>2824.0</v>
      </c>
      <c r="B2825" s="2">
        <v>23522.0</v>
      </c>
      <c r="C2825" s="2" t="s">
        <v>3276</v>
      </c>
      <c r="D2825" s="2">
        <v>2.89</v>
      </c>
      <c r="E2825" s="2">
        <v>177.0</v>
      </c>
      <c r="F2825" s="2">
        <v>363.72</v>
      </c>
      <c r="G2825" s="4">
        <f t="shared" si="3"/>
        <v>9296885.51</v>
      </c>
      <c r="H2825" s="4">
        <f t="shared" si="1"/>
        <v>0.9740652076</v>
      </c>
      <c r="I2825" s="4" t="str">
        <f t="shared" si="2"/>
        <v>C</v>
      </c>
    </row>
    <row r="2826">
      <c r="A2826" s="2">
        <v>2825.0</v>
      </c>
      <c r="B2826" s="2" t="s">
        <v>3277</v>
      </c>
      <c r="C2826" s="2" t="s">
        <v>3278</v>
      </c>
      <c r="D2826" s="2">
        <v>0.29</v>
      </c>
      <c r="E2826" s="2">
        <v>1473.0</v>
      </c>
      <c r="F2826" s="2">
        <v>362.85</v>
      </c>
      <c r="G2826" s="4">
        <f t="shared" si="3"/>
        <v>9297248.36</v>
      </c>
      <c r="H2826" s="4">
        <f t="shared" si="1"/>
        <v>0.9741032246</v>
      </c>
      <c r="I2826" s="4" t="str">
        <f t="shared" si="2"/>
        <v>C</v>
      </c>
    </row>
    <row r="2827">
      <c r="A2827" s="2">
        <v>2826.0</v>
      </c>
      <c r="B2827" s="2" t="s">
        <v>3279</v>
      </c>
      <c r="C2827" s="2" t="s">
        <v>3280</v>
      </c>
      <c r="D2827" s="2">
        <v>0.83</v>
      </c>
      <c r="E2827" s="2">
        <v>904.0</v>
      </c>
      <c r="F2827" s="2">
        <v>362.78</v>
      </c>
      <c r="G2827" s="4">
        <f t="shared" si="3"/>
        <v>9297611.14</v>
      </c>
      <c r="H2827" s="4">
        <f t="shared" si="1"/>
        <v>0.9741412342</v>
      </c>
      <c r="I2827" s="4" t="str">
        <f t="shared" si="2"/>
        <v>C</v>
      </c>
    </row>
    <row r="2828">
      <c r="A2828" s="2">
        <v>2827.0</v>
      </c>
      <c r="B2828" s="2" t="s">
        <v>3281</v>
      </c>
      <c r="C2828" s="2" t="s">
        <v>3282</v>
      </c>
      <c r="D2828" s="2">
        <v>0.84</v>
      </c>
      <c r="E2828" s="2">
        <v>546.0</v>
      </c>
      <c r="F2828" s="2">
        <v>361.96</v>
      </c>
      <c r="G2828" s="4">
        <f t="shared" si="3"/>
        <v>9297973.1</v>
      </c>
      <c r="H2828" s="4">
        <f t="shared" si="1"/>
        <v>0.9741791579</v>
      </c>
      <c r="I2828" s="4" t="str">
        <f t="shared" si="2"/>
        <v>C</v>
      </c>
    </row>
    <row r="2829">
      <c r="A2829" s="2">
        <v>2828.0</v>
      </c>
      <c r="B2829" s="2">
        <v>85088.0</v>
      </c>
      <c r="C2829" s="2" t="s">
        <v>3283</v>
      </c>
      <c r="D2829" s="2">
        <v>2.1</v>
      </c>
      <c r="E2829" s="2">
        <v>174.0</v>
      </c>
      <c r="F2829" s="2">
        <v>361.92</v>
      </c>
      <c r="G2829" s="4">
        <f t="shared" si="3"/>
        <v>9298335.02</v>
      </c>
      <c r="H2829" s="4">
        <f t="shared" si="1"/>
        <v>0.9742170775</v>
      </c>
      <c r="I2829" s="4" t="str">
        <f t="shared" si="2"/>
        <v>C</v>
      </c>
    </row>
    <row r="2830">
      <c r="A2830" s="2">
        <v>2829.0</v>
      </c>
      <c r="B2830" s="2">
        <v>21001.0</v>
      </c>
      <c r="C2830" s="2" t="s">
        <v>3284</v>
      </c>
      <c r="D2830" s="2">
        <v>4.21</v>
      </c>
      <c r="E2830" s="2">
        <v>71.0</v>
      </c>
      <c r="F2830" s="2">
        <v>361.88</v>
      </c>
      <c r="G2830" s="4">
        <f t="shared" si="3"/>
        <v>9298696.9</v>
      </c>
      <c r="H2830" s="4">
        <f t="shared" si="1"/>
        <v>0.9742549928</v>
      </c>
      <c r="I2830" s="4" t="str">
        <f t="shared" si="2"/>
        <v>C</v>
      </c>
    </row>
    <row r="2831">
      <c r="A2831" s="2">
        <v>2830.0</v>
      </c>
      <c r="B2831" s="2" t="s">
        <v>3285</v>
      </c>
      <c r="C2831" s="2" t="s">
        <v>3286</v>
      </c>
      <c r="D2831" s="2">
        <v>3.29</v>
      </c>
      <c r="E2831" s="2">
        <v>184.0</v>
      </c>
      <c r="F2831" s="2">
        <v>361.78</v>
      </c>
      <c r="G2831" s="4">
        <f t="shared" si="3"/>
        <v>9299058.68</v>
      </c>
      <c r="H2831" s="4">
        <f t="shared" si="1"/>
        <v>0.9742928977</v>
      </c>
      <c r="I2831" s="4" t="str">
        <f t="shared" si="2"/>
        <v>C</v>
      </c>
    </row>
    <row r="2832">
      <c r="A2832" s="2">
        <v>2831.0</v>
      </c>
      <c r="B2832" s="2">
        <v>21221.0</v>
      </c>
      <c r="C2832" s="2" t="s">
        <v>3287</v>
      </c>
      <c r="D2832" s="2">
        <v>1.25</v>
      </c>
      <c r="E2832" s="2">
        <v>272.0</v>
      </c>
      <c r="F2832" s="2">
        <v>361.08</v>
      </c>
      <c r="G2832" s="4">
        <f t="shared" si="3"/>
        <v>9299419.76</v>
      </c>
      <c r="H2832" s="4">
        <f t="shared" si="1"/>
        <v>0.9743307293</v>
      </c>
      <c r="I2832" s="4" t="str">
        <f t="shared" si="2"/>
        <v>C</v>
      </c>
    </row>
    <row r="2833">
      <c r="A2833" s="2">
        <v>2832.0</v>
      </c>
      <c r="B2833" s="2">
        <v>21026.0</v>
      </c>
      <c r="C2833" s="2" t="s">
        <v>3288</v>
      </c>
      <c r="D2833" s="2">
        <v>1.25</v>
      </c>
      <c r="E2833" s="2">
        <v>276.0</v>
      </c>
      <c r="F2833" s="2">
        <v>360.86</v>
      </c>
      <c r="G2833" s="4">
        <f t="shared" si="3"/>
        <v>9299780.62</v>
      </c>
      <c r="H2833" s="4">
        <f t="shared" si="1"/>
        <v>0.9743685377</v>
      </c>
      <c r="I2833" s="4" t="str">
        <f t="shared" si="2"/>
        <v>C</v>
      </c>
    </row>
    <row r="2834">
      <c r="A2834" s="2">
        <v>2833.0</v>
      </c>
      <c r="B2834" s="2">
        <v>20701.0</v>
      </c>
      <c r="C2834" s="2" t="s">
        <v>3289</v>
      </c>
      <c r="D2834" s="2">
        <v>4.13</v>
      </c>
      <c r="E2834" s="2">
        <v>176.0</v>
      </c>
      <c r="F2834" s="2">
        <v>360.74</v>
      </c>
      <c r="G2834" s="4">
        <f t="shared" si="3"/>
        <v>9300141.36</v>
      </c>
      <c r="H2834" s="4">
        <f t="shared" si="1"/>
        <v>0.9744063337</v>
      </c>
      <c r="I2834" s="4" t="str">
        <f t="shared" si="2"/>
        <v>C</v>
      </c>
    </row>
    <row r="2835">
      <c r="A2835" s="2">
        <v>2834.0</v>
      </c>
      <c r="B2835" s="2">
        <v>84033.0</v>
      </c>
      <c r="C2835" s="2" t="s">
        <v>3290</v>
      </c>
      <c r="D2835" s="2">
        <v>1.65</v>
      </c>
      <c r="E2835" s="2">
        <v>192.0</v>
      </c>
      <c r="F2835" s="2">
        <v>360.26</v>
      </c>
      <c r="G2835" s="4">
        <f t="shared" si="3"/>
        <v>9300501.62</v>
      </c>
      <c r="H2835" s="4">
        <f t="shared" si="1"/>
        <v>0.9744440793</v>
      </c>
      <c r="I2835" s="4" t="str">
        <f t="shared" si="2"/>
        <v>C</v>
      </c>
    </row>
    <row r="2836">
      <c r="A2836" s="2">
        <v>2835.0</v>
      </c>
      <c r="B2836" s="2">
        <v>21298.0</v>
      </c>
      <c r="C2836" s="2" t="s">
        <v>3291</v>
      </c>
      <c r="D2836" s="2">
        <v>12.75</v>
      </c>
      <c r="E2836" s="2">
        <v>26.0</v>
      </c>
      <c r="F2836" s="2">
        <v>359.92</v>
      </c>
      <c r="G2836" s="4">
        <f t="shared" si="3"/>
        <v>9300861.54</v>
      </c>
      <c r="H2836" s="4">
        <f t="shared" si="1"/>
        <v>0.9744817893</v>
      </c>
      <c r="I2836" s="4" t="str">
        <f t="shared" si="2"/>
        <v>C</v>
      </c>
    </row>
    <row r="2837">
      <c r="A2837" s="2">
        <v>2836.0</v>
      </c>
      <c r="B2837" s="2" t="s">
        <v>3292</v>
      </c>
      <c r="C2837" s="2" t="s">
        <v>2858</v>
      </c>
      <c r="D2837" s="2">
        <v>1.25</v>
      </c>
      <c r="E2837" s="2">
        <v>266.0</v>
      </c>
      <c r="F2837" s="2">
        <v>359.36</v>
      </c>
      <c r="G2837" s="4">
        <f t="shared" si="3"/>
        <v>9301220.9</v>
      </c>
      <c r="H2837" s="4">
        <f t="shared" si="1"/>
        <v>0.9745194406</v>
      </c>
      <c r="I2837" s="4" t="str">
        <f t="shared" si="2"/>
        <v>C</v>
      </c>
    </row>
    <row r="2838">
      <c r="A2838" s="2">
        <v>2837.0</v>
      </c>
      <c r="B2838" s="2">
        <v>35951.0</v>
      </c>
      <c r="C2838" s="2" t="s">
        <v>3293</v>
      </c>
      <c r="D2838" s="2">
        <v>0.82</v>
      </c>
      <c r="E2838" s="2">
        <v>676.0</v>
      </c>
      <c r="F2838" s="2">
        <v>359.0</v>
      </c>
      <c r="G2838" s="4">
        <f t="shared" si="3"/>
        <v>9301579.9</v>
      </c>
      <c r="H2838" s="4">
        <f t="shared" si="1"/>
        <v>0.9745570542</v>
      </c>
      <c r="I2838" s="4" t="str">
        <f t="shared" si="2"/>
        <v>C</v>
      </c>
    </row>
    <row r="2839">
      <c r="A2839" s="2">
        <v>2838.0</v>
      </c>
      <c r="B2839" s="2">
        <v>21457.0</v>
      </c>
      <c r="C2839" s="2" t="s">
        <v>3294</v>
      </c>
      <c r="D2839" s="2">
        <v>1.25</v>
      </c>
      <c r="E2839" s="2">
        <v>343.0</v>
      </c>
      <c r="F2839" s="2">
        <v>358.62</v>
      </c>
      <c r="G2839" s="4">
        <f t="shared" si="3"/>
        <v>9301938.52</v>
      </c>
      <c r="H2839" s="4">
        <f t="shared" si="1"/>
        <v>0.974594628</v>
      </c>
      <c r="I2839" s="4" t="str">
        <f t="shared" si="2"/>
        <v>C</v>
      </c>
    </row>
    <row r="2840">
      <c r="A2840" s="2">
        <v>2839.0</v>
      </c>
      <c r="B2840" s="2" t="s">
        <v>3295</v>
      </c>
      <c r="C2840" s="2" t="s">
        <v>3296</v>
      </c>
      <c r="D2840" s="2">
        <v>0.83</v>
      </c>
      <c r="E2840" s="2">
        <v>282.0</v>
      </c>
      <c r="F2840" s="2">
        <v>358.52</v>
      </c>
      <c r="G2840" s="4">
        <f t="shared" si="3"/>
        <v>9302297.04</v>
      </c>
      <c r="H2840" s="4">
        <f t="shared" si="1"/>
        <v>0.9746321913</v>
      </c>
      <c r="I2840" s="4" t="str">
        <f t="shared" si="2"/>
        <v>C</v>
      </c>
    </row>
    <row r="2841">
      <c r="A2841" s="2">
        <v>2840.0</v>
      </c>
      <c r="B2841" s="2">
        <v>23140.0</v>
      </c>
      <c r="C2841" s="2" t="s">
        <v>3297</v>
      </c>
      <c r="D2841" s="2">
        <v>4.15</v>
      </c>
      <c r="E2841" s="2">
        <v>85.0</v>
      </c>
      <c r="F2841" s="2">
        <v>358.15</v>
      </c>
      <c r="G2841" s="4">
        <f t="shared" si="3"/>
        <v>9302655.19</v>
      </c>
      <c r="H2841" s="4">
        <f t="shared" si="1"/>
        <v>0.9746697159</v>
      </c>
      <c r="I2841" s="4" t="str">
        <f t="shared" si="2"/>
        <v>C</v>
      </c>
    </row>
    <row r="2842">
      <c r="A2842" s="2">
        <v>2841.0</v>
      </c>
      <c r="B2842" s="2">
        <v>22486.0</v>
      </c>
      <c r="C2842" s="2" t="s">
        <v>3298</v>
      </c>
      <c r="D2842" s="2">
        <v>8.29</v>
      </c>
      <c r="E2842" s="2">
        <v>46.0</v>
      </c>
      <c r="F2842" s="2">
        <v>358.08</v>
      </c>
      <c r="G2842" s="4">
        <f t="shared" si="3"/>
        <v>9303013.27</v>
      </c>
      <c r="H2842" s="4">
        <f t="shared" si="1"/>
        <v>0.9747072331</v>
      </c>
      <c r="I2842" s="4" t="str">
        <f t="shared" si="2"/>
        <v>C</v>
      </c>
    </row>
    <row r="2843">
      <c r="A2843" s="2">
        <v>2842.0</v>
      </c>
      <c r="B2843" s="2" t="s">
        <v>3299</v>
      </c>
      <c r="C2843" s="2" t="s">
        <v>3300</v>
      </c>
      <c r="D2843" s="2">
        <v>0.42</v>
      </c>
      <c r="E2843" s="2">
        <v>772.0</v>
      </c>
      <c r="F2843" s="2">
        <v>358.06</v>
      </c>
      <c r="G2843" s="4">
        <f t="shared" si="3"/>
        <v>9303371.33</v>
      </c>
      <c r="H2843" s="4">
        <f t="shared" si="1"/>
        <v>0.9747447482</v>
      </c>
      <c r="I2843" s="4" t="str">
        <f t="shared" si="2"/>
        <v>C</v>
      </c>
    </row>
    <row r="2844">
      <c r="A2844" s="2">
        <v>2843.0</v>
      </c>
      <c r="B2844" s="2">
        <v>21076.0</v>
      </c>
      <c r="C2844" s="2" t="s">
        <v>3301</v>
      </c>
      <c r="D2844" s="2">
        <v>0.85</v>
      </c>
      <c r="E2844" s="2">
        <v>422.0</v>
      </c>
      <c r="F2844" s="2">
        <v>357.28</v>
      </c>
      <c r="G2844" s="4">
        <f t="shared" si="3"/>
        <v>9303728.61</v>
      </c>
      <c r="H2844" s="4">
        <f t="shared" si="1"/>
        <v>0.9747821816</v>
      </c>
      <c r="I2844" s="4" t="str">
        <f t="shared" si="2"/>
        <v>C</v>
      </c>
    </row>
    <row r="2845">
      <c r="A2845" s="2">
        <v>2844.0</v>
      </c>
      <c r="B2845" s="2" t="s">
        <v>3302</v>
      </c>
      <c r="C2845" s="2" t="s">
        <v>3303</v>
      </c>
      <c r="D2845" s="2">
        <v>0.78</v>
      </c>
      <c r="E2845" s="2">
        <v>508.0</v>
      </c>
      <c r="F2845" s="2">
        <v>356.99</v>
      </c>
      <c r="G2845" s="4">
        <f t="shared" si="3"/>
        <v>9304085.6</v>
      </c>
      <c r="H2845" s="4">
        <f t="shared" si="1"/>
        <v>0.9748195846</v>
      </c>
      <c r="I2845" s="4" t="str">
        <f t="shared" si="2"/>
        <v>C</v>
      </c>
    </row>
    <row r="2846">
      <c r="A2846" s="2">
        <v>2845.0</v>
      </c>
      <c r="B2846" s="2">
        <v>20850.0</v>
      </c>
      <c r="C2846" s="2" t="s">
        <v>3304</v>
      </c>
      <c r="D2846" s="2">
        <v>2.95</v>
      </c>
      <c r="E2846" s="2">
        <v>410.0</v>
      </c>
      <c r="F2846" s="2">
        <v>356.9</v>
      </c>
      <c r="G2846" s="4">
        <f t="shared" si="3"/>
        <v>9304442.5</v>
      </c>
      <c r="H2846" s="4">
        <f t="shared" si="1"/>
        <v>0.9748569782</v>
      </c>
      <c r="I2846" s="4" t="str">
        <f t="shared" si="2"/>
        <v>C</v>
      </c>
    </row>
    <row r="2847">
      <c r="A2847" s="2">
        <v>2846.0</v>
      </c>
      <c r="B2847" s="2">
        <v>22100.0</v>
      </c>
      <c r="C2847" s="2" t="s">
        <v>3305</v>
      </c>
      <c r="D2847" s="2">
        <v>1.25</v>
      </c>
      <c r="E2847" s="2">
        <v>504.0</v>
      </c>
      <c r="F2847" s="2">
        <v>356.82</v>
      </c>
      <c r="G2847" s="4">
        <f t="shared" si="3"/>
        <v>9304799.32</v>
      </c>
      <c r="H2847" s="4">
        <f t="shared" si="1"/>
        <v>0.9748943634</v>
      </c>
      <c r="I2847" s="4" t="str">
        <f t="shared" si="2"/>
        <v>C</v>
      </c>
    </row>
    <row r="2848">
      <c r="A2848" s="2">
        <v>2847.0</v>
      </c>
      <c r="B2848" s="2">
        <v>84976.0</v>
      </c>
      <c r="C2848" s="2" t="s">
        <v>3306</v>
      </c>
      <c r="D2848" s="2">
        <v>1.69</v>
      </c>
      <c r="E2848" s="2">
        <v>331.0</v>
      </c>
      <c r="F2848" s="2">
        <v>356.64</v>
      </c>
      <c r="G2848" s="4">
        <f t="shared" si="3"/>
        <v>9305155.96</v>
      </c>
      <c r="H2848" s="4">
        <f t="shared" si="1"/>
        <v>0.9749317298</v>
      </c>
      <c r="I2848" s="4" t="str">
        <f t="shared" si="2"/>
        <v>C</v>
      </c>
    </row>
    <row r="2849">
      <c r="A2849" s="2">
        <v>2848.0</v>
      </c>
      <c r="B2849" s="2">
        <v>21379.0</v>
      </c>
      <c r="C2849" s="2" t="s">
        <v>3307</v>
      </c>
      <c r="D2849" s="2">
        <v>2.46</v>
      </c>
      <c r="E2849" s="2">
        <v>324.0</v>
      </c>
      <c r="F2849" s="2">
        <v>356.48</v>
      </c>
      <c r="G2849" s="4">
        <f t="shared" si="3"/>
        <v>9305512.44</v>
      </c>
      <c r="H2849" s="4">
        <f t="shared" si="1"/>
        <v>0.9749690793</v>
      </c>
      <c r="I2849" s="4" t="str">
        <f t="shared" si="2"/>
        <v>C</v>
      </c>
    </row>
    <row r="2850">
      <c r="A2850" s="2">
        <v>2849.0</v>
      </c>
      <c r="B2850" s="2">
        <v>16015.0</v>
      </c>
      <c r="C2850" s="2" t="s">
        <v>3308</v>
      </c>
      <c r="D2850" s="2">
        <v>0.5</v>
      </c>
      <c r="E2850" s="2">
        <v>786.0</v>
      </c>
      <c r="F2850" s="2">
        <v>355.69</v>
      </c>
      <c r="G2850" s="4">
        <f t="shared" si="3"/>
        <v>9305868.13</v>
      </c>
      <c r="H2850" s="4">
        <f t="shared" si="1"/>
        <v>0.9750063461</v>
      </c>
      <c r="I2850" s="4" t="str">
        <f t="shared" si="2"/>
        <v>C</v>
      </c>
    </row>
    <row r="2851">
      <c r="A2851" s="2">
        <v>2850.0</v>
      </c>
      <c r="B2851" s="2">
        <v>84689.0</v>
      </c>
      <c r="C2851" s="2" t="s">
        <v>3309</v>
      </c>
      <c r="D2851" s="2">
        <v>5.95</v>
      </c>
      <c r="E2851" s="2">
        <v>149.0</v>
      </c>
      <c r="F2851" s="2">
        <v>355.6</v>
      </c>
      <c r="G2851" s="4">
        <f t="shared" si="3"/>
        <v>9306223.73</v>
      </c>
      <c r="H2851" s="4">
        <f t="shared" si="1"/>
        <v>0.9750436035</v>
      </c>
      <c r="I2851" s="4" t="str">
        <f t="shared" si="2"/>
        <v>C</v>
      </c>
    </row>
    <row r="2852">
      <c r="A2852" s="2">
        <v>2851.0</v>
      </c>
      <c r="B2852" s="2">
        <v>10134.0</v>
      </c>
      <c r="C2852" s="2" t="s">
        <v>1097</v>
      </c>
      <c r="D2852" s="2">
        <v>1.25</v>
      </c>
      <c r="E2852" s="2">
        <v>308.0</v>
      </c>
      <c r="F2852" s="2">
        <v>355.56</v>
      </c>
      <c r="G2852" s="4">
        <f t="shared" si="3"/>
        <v>9306579.29</v>
      </c>
      <c r="H2852" s="4">
        <f t="shared" si="1"/>
        <v>0.9750808567</v>
      </c>
      <c r="I2852" s="4" t="str">
        <f t="shared" si="2"/>
        <v>C</v>
      </c>
    </row>
    <row r="2853">
      <c r="A2853" s="2">
        <v>2852.0</v>
      </c>
      <c r="B2853" s="2">
        <v>23070.0</v>
      </c>
      <c r="C2853" s="2" t="s">
        <v>3310</v>
      </c>
      <c r="D2853" s="2">
        <v>4.15</v>
      </c>
      <c r="E2853" s="2">
        <v>80.0</v>
      </c>
      <c r="F2853" s="2">
        <v>354.77</v>
      </c>
      <c r="G2853" s="4">
        <f t="shared" si="3"/>
        <v>9306934.06</v>
      </c>
      <c r="H2853" s="4">
        <f t="shared" si="1"/>
        <v>0.9751180271</v>
      </c>
      <c r="I2853" s="4" t="str">
        <f t="shared" si="2"/>
        <v>C</v>
      </c>
    </row>
    <row r="2854">
      <c r="A2854" s="2">
        <v>2853.0</v>
      </c>
      <c r="B2854" s="2">
        <v>21443.0</v>
      </c>
      <c r="C2854" s="2" t="s">
        <v>3311</v>
      </c>
      <c r="D2854" s="2">
        <v>3.75</v>
      </c>
      <c r="E2854" s="2">
        <v>126.0</v>
      </c>
      <c r="F2854" s="2">
        <v>354.59</v>
      </c>
      <c r="G2854" s="4">
        <f t="shared" si="3"/>
        <v>9307288.65</v>
      </c>
      <c r="H2854" s="4">
        <f t="shared" si="1"/>
        <v>0.9751551787</v>
      </c>
      <c r="I2854" s="4" t="str">
        <f t="shared" si="2"/>
        <v>C</v>
      </c>
    </row>
    <row r="2855">
      <c r="A2855" s="2">
        <v>2854.0</v>
      </c>
      <c r="B2855" s="2">
        <v>23222.0</v>
      </c>
      <c r="C2855" s="2" t="s">
        <v>3312</v>
      </c>
      <c r="D2855" s="2">
        <v>0.83</v>
      </c>
      <c r="E2855" s="2">
        <v>394.0</v>
      </c>
      <c r="F2855" s="2">
        <v>354.28</v>
      </c>
      <c r="G2855" s="4">
        <f t="shared" si="3"/>
        <v>9307642.93</v>
      </c>
      <c r="H2855" s="4">
        <f t="shared" si="1"/>
        <v>0.9751922978</v>
      </c>
      <c r="I2855" s="4" t="str">
        <f t="shared" si="2"/>
        <v>C</v>
      </c>
    </row>
    <row r="2856">
      <c r="A2856" s="2">
        <v>2855.0</v>
      </c>
      <c r="B2856" s="2">
        <v>21442.0</v>
      </c>
      <c r="C2856" s="2" t="s">
        <v>3313</v>
      </c>
      <c r="D2856" s="2">
        <v>0.85</v>
      </c>
      <c r="E2856" s="2">
        <v>488.0</v>
      </c>
      <c r="F2856" s="2">
        <v>354.18</v>
      </c>
      <c r="G2856" s="4">
        <f t="shared" si="3"/>
        <v>9307997.11</v>
      </c>
      <c r="H2856" s="4">
        <f t="shared" si="1"/>
        <v>0.9752294064</v>
      </c>
      <c r="I2856" s="4" t="str">
        <f t="shared" si="2"/>
        <v>C</v>
      </c>
    </row>
    <row r="2857">
      <c r="A2857" s="2">
        <v>2856.0</v>
      </c>
      <c r="B2857" s="2">
        <v>21365.0</v>
      </c>
      <c r="C2857" s="2" t="s">
        <v>3314</v>
      </c>
      <c r="D2857" s="2">
        <v>2.95</v>
      </c>
      <c r="E2857" s="2">
        <v>234.0</v>
      </c>
      <c r="F2857" s="2">
        <v>353.96</v>
      </c>
      <c r="G2857" s="4">
        <f t="shared" si="3"/>
        <v>9308351.07</v>
      </c>
      <c r="H2857" s="4">
        <f t="shared" si="1"/>
        <v>0.9752664919</v>
      </c>
      <c r="I2857" s="4" t="str">
        <f t="shared" si="2"/>
        <v>C</v>
      </c>
    </row>
    <row r="2858">
      <c r="A2858" s="2">
        <v>2857.0</v>
      </c>
      <c r="B2858" s="2">
        <v>21377.0</v>
      </c>
      <c r="C2858" s="2" t="s">
        <v>3315</v>
      </c>
      <c r="D2858" s="2">
        <v>3.29</v>
      </c>
      <c r="E2858" s="2">
        <v>247.0</v>
      </c>
      <c r="F2858" s="2">
        <v>353.88</v>
      </c>
      <c r="G2858" s="4">
        <f t="shared" si="3"/>
        <v>9308704.95</v>
      </c>
      <c r="H2858" s="4">
        <f t="shared" si="1"/>
        <v>0.9753035691</v>
      </c>
      <c r="I2858" s="4" t="str">
        <f t="shared" si="2"/>
        <v>C</v>
      </c>
    </row>
    <row r="2859">
      <c r="A2859" s="2">
        <v>2858.0</v>
      </c>
      <c r="B2859" s="2">
        <v>21740.0</v>
      </c>
      <c r="C2859" s="2" t="s">
        <v>3316</v>
      </c>
      <c r="D2859" s="2">
        <v>2.95</v>
      </c>
      <c r="E2859" s="2">
        <v>102.0</v>
      </c>
      <c r="F2859" s="2">
        <v>353.43</v>
      </c>
      <c r="G2859" s="4">
        <f t="shared" si="3"/>
        <v>9309058.38</v>
      </c>
      <c r="H2859" s="4">
        <f t="shared" si="1"/>
        <v>0.9753405991</v>
      </c>
      <c r="I2859" s="4" t="str">
        <f t="shared" si="2"/>
        <v>C</v>
      </c>
    </row>
    <row r="2860">
      <c r="A2860" s="2">
        <v>2859.0</v>
      </c>
      <c r="B2860" s="2">
        <v>21308.0</v>
      </c>
      <c r="C2860" s="2" t="s">
        <v>3317</v>
      </c>
      <c r="D2860" s="2">
        <v>12.65</v>
      </c>
      <c r="E2860" s="2">
        <v>66.0</v>
      </c>
      <c r="F2860" s="2">
        <v>352.95</v>
      </c>
      <c r="G2860" s="4">
        <f t="shared" si="3"/>
        <v>9309411.33</v>
      </c>
      <c r="H2860" s="4">
        <f t="shared" si="1"/>
        <v>0.9753775788</v>
      </c>
      <c r="I2860" s="4" t="str">
        <f t="shared" si="2"/>
        <v>C</v>
      </c>
    </row>
    <row r="2861">
      <c r="A2861" s="2">
        <v>2860.0</v>
      </c>
      <c r="B2861" s="2">
        <v>21386.0</v>
      </c>
      <c r="C2861" s="2" t="s">
        <v>3318</v>
      </c>
      <c r="D2861" s="2">
        <v>0.85</v>
      </c>
      <c r="E2861" s="2">
        <v>598.0</v>
      </c>
      <c r="F2861" s="2">
        <v>352.87</v>
      </c>
      <c r="G2861" s="4">
        <f t="shared" si="3"/>
        <v>9309764.2</v>
      </c>
      <c r="H2861" s="4">
        <f t="shared" si="1"/>
        <v>0.9754145502</v>
      </c>
      <c r="I2861" s="4" t="str">
        <f t="shared" si="2"/>
        <v>C</v>
      </c>
    </row>
    <row r="2862">
      <c r="A2862" s="2">
        <v>2861.0</v>
      </c>
      <c r="B2862" s="2" t="s">
        <v>3319</v>
      </c>
      <c r="C2862" s="2" t="s">
        <v>3320</v>
      </c>
      <c r="D2862" s="2">
        <v>3.75</v>
      </c>
      <c r="E2862" s="2">
        <v>187.0</v>
      </c>
      <c r="F2862" s="2">
        <v>352.5</v>
      </c>
      <c r="G2862" s="4">
        <f t="shared" si="3"/>
        <v>9310116.7</v>
      </c>
      <c r="H2862" s="4">
        <f t="shared" si="1"/>
        <v>0.9754514828</v>
      </c>
      <c r="I2862" s="4" t="str">
        <f t="shared" si="2"/>
        <v>C</v>
      </c>
    </row>
    <row r="2863">
      <c r="A2863" s="2">
        <v>2862.0</v>
      </c>
      <c r="B2863" s="2">
        <v>22641.0</v>
      </c>
      <c r="C2863" s="2" t="s">
        <v>3321</v>
      </c>
      <c r="D2863" s="2">
        <v>2.55</v>
      </c>
      <c r="E2863" s="2">
        <v>150.0</v>
      </c>
      <c r="F2863" s="2">
        <v>352.45</v>
      </c>
      <c r="G2863" s="4">
        <f t="shared" si="3"/>
        <v>9310469.15</v>
      </c>
      <c r="H2863" s="4">
        <f t="shared" si="1"/>
        <v>0.9754884101</v>
      </c>
      <c r="I2863" s="4" t="str">
        <f t="shared" si="2"/>
        <v>C</v>
      </c>
    </row>
    <row r="2864">
      <c r="A2864" s="2">
        <v>2863.0</v>
      </c>
      <c r="B2864" s="2">
        <v>22981.0</v>
      </c>
      <c r="C2864" s="2" t="s">
        <v>3322</v>
      </c>
      <c r="D2864" s="2">
        <v>1.45</v>
      </c>
      <c r="E2864" s="2">
        <v>236.0</v>
      </c>
      <c r="F2864" s="2">
        <v>352.06</v>
      </c>
      <c r="G2864" s="4">
        <f t="shared" si="3"/>
        <v>9310821.21</v>
      </c>
      <c r="H2864" s="4">
        <f t="shared" si="1"/>
        <v>0.9755252966</v>
      </c>
      <c r="I2864" s="4" t="str">
        <f t="shared" si="2"/>
        <v>C</v>
      </c>
    </row>
    <row r="2865">
      <c r="A2865" s="2">
        <v>2864.0</v>
      </c>
      <c r="B2865" s="2">
        <v>84869.0</v>
      </c>
      <c r="C2865" s="2" t="s">
        <v>3323</v>
      </c>
      <c r="D2865" s="2">
        <v>5.95</v>
      </c>
      <c r="E2865" s="2">
        <v>151.0</v>
      </c>
      <c r="F2865" s="2">
        <v>351.77</v>
      </c>
      <c r="G2865" s="4">
        <f t="shared" si="3"/>
        <v>9311172.98</v>
      </c>
      <c r="H2865" s="4">
        <f t="shared" si="1"/>
        <v>0.9755621527</v>
      </c>
      <c r="I2865" s="4" t="str">
        <f t="shared" si="2"/>
        <v>C</v>
      </c>
    </row>
    <row r="2866">
      <c r="A2866" s="2">
        <v>2865.0</v>
      </c>
      <c r="B2866" s="2" t="s">
        <v>3324</v>
      </c>
      <c r="C2866" s="2" t="s">
        <v>3325</v>
      </c>
      <c r="D2866" s="2">
        <v>2.55</v>
      </c>
      <c r="E2866" s="2">
        <v>140.0</v>
      </c>
      <c r="F2866" s="2">
        <v>350.74</v>
      </c>
      <c r="G2866" s="4">
        <f t="shared" si="3"/>
        <v>9311523.72</v>
      </c>
      <c r="H2866" s="4">
        <f t="shared" si="1"/>
        <v>0.9755989009</v>
      </c>
      <c r="I2866" s="4" t="str">
        <f t="shared" si="2"/>
        <v>C</v>
      </c>
    </row>
    <row r="2867">
      <c r="A2867" s="2">
        <v>2866.0</v>
      </c>
      <c r="B2867" s="2" t="s">
        <v>3326</v>
      </c>
      <c r="C2867" s="2" t="s">
        <v>3327</v>
      </c>
      <c r="D2867" s="2">
        <v>1.25</v>
      </c>
      <c r="E2867" s="2">
        <v>280.0</v>
      </c>
      <c r="F2867" s="2">
        <v>350.58</v>
      </c>
      <c r="G2867" s="4">
        <f t="shared" si="3"/>
        <v>9311874.3</v>
      </c>
      <c r="H2867" s="4">
        <f t="shared" si="1"/>
        <v>0.9756356323</v>
      </c>
      <c r="I2867" s="4" t="str">
        <f t="shared" si="2"/>
        <v>C</v>
      </c>
    </row>
    <row r="2868">
      <c r="A2868" s="2">
        <v>2867.0</v>
      </c>
      <c r="B2868" s="2">
        <v>22936.0</v>
      </c>
      <c r="C2868" s="2" t="s">
        <v>3328</v>
      </c>
      <c r="D2868" s="2">
        <v>3.25</v>
      </c>
      <c r="E2868" s="2">
        <v>104.0</v>
      </c>
      <c r="F2868" s="2">
        <v>348.98</v>
      </c>
      <c r="G2868" s="4">
        <f t="shared" si="3"/>
        <v>9312223.28</v>
      </c>
      <c r="H2868" s="4">
        <f t="shared" si="1"/>
        <v>0.9756721961</v>
      </c>
      <c r="I2868" s="4" t="str">
        <f t="shared" si="2"/>
        <v>C</v>
      </c>
    </row>
    <row r="2869">
      <c r="A2869" s="2">
        <v>2868.0</v>
      </c>
      <c r="B2869" s="2">
        <v>21674.0</v>
      </c>
      <c r="C2869" s="2" t="s">
        <v>3329</v>
      </c>
      <c r="D2869" s="2">
        <v>16.95</v>
      </c>
      <c r="E2869" s="2">
        <v>22.0</v>
      </c>
      <c r="F2869" s="2">
        <v>348.9</v>
      </c>
      <c r="G2869" s="4">
        <f t="shared" si="3"/>
        <v>9312572.18</v>
      </c>
      <c r="H2869" s="4">
        <f t="shared" si="1"/>
        <v>0.9757087515</v>
      </c>
      <c r="I2869" s="4" t="str">
        <f t="shared" si="2"/>
        <v>C</v>
      </c>
    </row>
    <row r="2870">
      <c r="A2870" s="2">
        <v>2869.0</v>
      </c>
      <c r="B2870" s="2" t="s">
        <v>3330</v>
      </c>
      <c r="C2870" s="2" t="s">
        <v>3331</v>
      </c>
      <c r="D2870" s="2">
        <v>1.25</v>
      </c>
      <c r="E2870" s="2">
        <v>282.0</v>
      </c>
      <c r="F2870" s="2">
        <v>348.63</v>
      </c>
      <c r="G2870" s="4">
        <f t="shared" si="3"/>
        <v>9312920.81</v>
      </c>
      <c r="H2870" s="4">
        <f t="shared" si="1"/>
        <v>0.9757452786</v>
      </c>
      <c r="I2870" s="4" t="str">
        <f t="shared" si="2"/>
        <v>C</v>
      </c>
    </row>
    <row r="2871">
      <c r="A2871" s="2">
        <v>2870.0</v>
      </c>
      <c r="B2871" s="2">
        <v>84584.0</v>
      </c>
      <c r="C2871" s="2" t="s">
        <v>3332</v>
      </c>
      <c r="D2871" s="2">
        <v>2.55</v>
      </c>
      <c r="E2871" s="2">
        <v>141.0</v>
      </c>
      <c r="F2871" s="2">
        <v>348.38</v>
      </c>
      <c r="G2871" s="4">
        <f t="shared" si="3"/>
        <v>9313269.19</v>
      </c>
      <c r="H2871" s="4">
        <f t="shared" si="1"/>
        <v>0.9757817795</v>
      </c>
      <c r="I2871" s="4" t="str">
        <f t="shared" si="2"/>
        <v>C</v>
      </c>
    </row>
    <row r="2872">
      <c r="A2872" s="2">
        <v>2871.0</v>
      </c>
      <c r="B2872" s="2">
        <v>22345.0</v>
      </c>
      <c r="C2872" s="2" t="s">
        <v>3333</v>
      </c>
      <c r="D2872" s="2">
        <v>0.85</v>
      </c>
      <c r="E2872" s="2">
        <v>726.0</v>
      </c>
      <c r="F2872" s="2">
        <v>347.94</v>
      </c>
      <c r="G2872" s="4">
        <f t="shared" si="3"/>
        <v>9313617.13</v>
      </c>
      <c r="H2872" s="4">
        <f t="shared" si="1"/>
        <v>0.9758182343</v>
      </c>
      <c r="I2872" s="4" t="str">
        <f t="shared" si="2"/>
        <v>C</v>
      </c>
    </row>
    <row r="2873">
      <c r="A2873" s="2">
        <v>2872.0</v>
      </c>
      <c r="B2873" s="2">
        <v>21265.0</v>
      </c>
      <c r="C2873" s="2" t="s">
        <v>3334</v>
      </c>
      <c r="D2873" s="2">
        <v>1.95</v>
      </c>
      <c r="E2873" s="2">
        <v>160.0</v>
      </c>
      <c r="F2873" s="2">
        <v>347.82</v>
      </c>
      <c r="G2873" s="4">
        <f t="shared" si="3"/>
        <v>9313964.95</v>
      </c>
      <c r="H2873" s="4">
        <f t="shared" si="1"/>
        <v>0.9758546765</v>
      </c>
      <c r="I2873" s="4" t="str">
        <f t="shared" si="2"/>
        <v>C</v>
      </c>
    </row>
    <row r="2874">
      <c r="A2874" s="2">
        <v>2873.0</v>
      </c>
      <c r="B2874" s="2" t="s">
        <v>3335</v>
      </c>
      <c r="C2874" s="2" t="s">
        <v>3336</v>
      </c>
      <c r="D2874" s="2">
        <v>1.25</v>
      </c>
      <c r="E2874" s="2">
        <v>266.0</v>
      </c>
      <c r="F2874" s="2">
        <v>346.62</v>
      </c>
      <c r="G2874" s="4">
        <f t="shared" si="3"/>
        <v>9314311.57</v>
      </c>
      <c r="H2874" s="4">
        <f t="shared" si="1"/>
        <v>0.9758909931</v>
      </c>
      <c r="I2874" s="4" t="str">
        <f t="shared" si="2"/>
        <v>C</v>
      </c>
    </row>
    <row r="2875">
      <c r="A2875" s="2">
        <v>2874.0</v>
      </c>
      <c r="B2875" s="2">
        <v>20854.0</v>
      </c>
      <c r="C2875" s="2" t="s">
        <v>3337</v>
      </c>
      <c r="D2875" s="2">
        <v>1.65</v>
      </c>
      <c r="E2875" s="2">
        <v>214.0</v>
      </c>
      <c r="F2875" s="2">
        <v>345.78</v>
      </c>
      <c r="G2875" s="4">
        <f t="shared" si="3"/>
        <v>9314657.35</v>
      </c>
      <c r="H2875" s="4">
        <f t="shared" si="1"/>
        <v>0.9759272216</v>
      </c>
      <c r="I2875" s="4" t="str">
        <f t="shared" si="2"/>
        <v>C</v>
      </c>
    </row>
    <row r="2876">
      <c r="A2876" s="2">
        <v>2875.0</v>
      </c>
      <c r="B2876" s="2">
        <v>21319.0</v>
      </c>
      <c r="C2876" s="2" t="s">
        <v>3338</v>
      </c>
      <c r="D2876" s="2">
        <v>1.65</v>
      </c>
      <c r="E2876" s="2">
        <v>236.0</v>
      </c>
      <c r="F2876" s="2">
        <v>345.7</v>
      </c>
      <c r="G2876" s="4">
        <f t="shared" si="3"/>
        <v>9315003.05</v>
      </c>
      <c r="H2876" s="4">
        <f t="shared" si="1"/>
        <v>0.9759634417</v>
      </c>
      <c r="I2876" s="4" t="str">
        <f t="shared" si="2"/>
        <v>C</v>
      </c>
    </row>
    <row r="2877">
      <c r="A2877" s="2">
        <v>2876.0</v>
      </c>
      <c r="B2877" s="2">
        <v>35964.0</v>
      </c>
      <c r="C2877" s="2" t="s">
        <v>3339</v>
      </c>
      <c r="D2877" s="2">
        <v>0.83</v>
      </c>
      <c r="E2877" s="2">
        <v>595.0</v>
      </c>
      <c r="F2877" s="2">
        <v>345.46</v>
      </c>
      <c r="G2877" s="4">
        <f t="shared" si="3"/>
        <v>9315348.51</v>
      </c>
      <c r="H2877" s="4">
        <f t="shared" si="1"/>
        <v>0.9759996367</v>
      </c>
      <c r="I2877" s="4" t="str">
        <f t="shared" si="2"/>
        <v>C</v>
      </c>
    </row>
    <row r="2878">
      <c r="A2878" s="2">
        <v>2877.0</v>
      </c>
      <c r="B2878" s="2" t="s">
        <v>3340</v>
      </c>
      <c r="C2878" s="2" t="s">
        <v>3341</v>
      </c>
      <c r="D2878" s="2">
        <v>2.1</v>
      </c>
      <c r="E2878" s="2">
        <v>158.0</v>
      </c>
      <c r="F2878" s="2">
        <v>345.12</v>
      </c>
      <c r="G2878" s="4">
        <f t="shared" si="3"/>
        <v>9315693.63</v>
      </c>
      <c r="H2878" s="4">
        <f t="shared" si="1"/>
        <v>0.976035796</v>
      </c>
      <c r="I2878" s="4" t="str">
        <f t="shared" si="2"/>
        <v>C</v>
      </c>
    </row>
    <row r="2879">
      <c r="A2879" s="2">
        <v>2878.0</v>
      </c>
      <c r="B2879" s="2" t="s">
        <v>3342</v>
      </c>
      <c r="C2879" s="2" t="s">
        <v>3343</v>
      </c>
      <c r="D2879" s="2">
        <v>1.05</v>
      </c>
      <c r="E2879" s="2">
        <v>362.0</v>
      </c>
      <c r="F2879" s="2">
        <v>344.84</v>
      </c>
      <c r="G2879" s="4">
        <f t="shared" si="3"/>
        <v>9316038.47</v>
      </c>
      <c r="H2879" s="4">
        <f t="shared" si="1"/>
        <v>0.976071926</v>
      </c>
      <c r="I2879" s="4" t="str">
        <f t="shared" si="2"/>
        <v>C</v>
      </c>
    </row>
    <row r="2880">
      <c r="A2880" s="2">
        <v>2879.0</v>
      </c>
      <c r="B2880" s="2">
        <v>20862.0</v>
      </c>
      <c r="C2880" s="2" t="s">
        <v>3344</v>
      </c>
      <c r="D2880" s="2">
        <v>2.1</v>
      </c>
      <c r="E2880" s="2">
        <v>162.0</v>
      </c>
      <c r="F2880" s="2">
        <v>344.52</v>
      </c>
      <c r="G2880" s="4">
        <f t="shared" si="3"/>
        <v>9316382.99</v>
      </c>
      <c r="H2880" s="4">
        <f t="shared" si="1"/>
        <v>0.9761080225</v>
      </c>
      <c r="I2880" s="4" t="str">
        <f t="shared" si="2"/>
        <v>C</v>
      </c>
    </row>
    <row r="2881">
      <c r="A2881" s="2">
        <v>2880.0</v>
      </c>
      <c r="B2881" s="2">
        <v>20763.0</v>
      </c>
      <c r="C2881" s="2" t="s">
        <v>3345</v>
      </c>
      <c r="D2881" s="2">
        <v>3.75</v>
      </c>
      <c r="E2881" s="2">
        <v>132.0</v>
      </c>
      <c r="F2881" s="2">
        <v>343.93</v>
      </c>
      <c r="G2881" s="4">
        <f t="shared" si="3"/>
        <v>9316726.92</v>
      </c>
      <c r="H2881" s="4">
        <f t="shared" si="1"/>
        <v>0.9761440572</v>
      </c>
      <c r="I2881" s="4" t="str">
        <f t="shared" si="2"/>
        <v>C</v>
      </c>
    </row>
    <row r="2882">
      <c r="A2882" s="2">
        <v>2881.0</v>
      </c>
      <c r="B2882" s="2">
        <v>23187.0</v>
      </c>
      <c r="C2882" s="2" t="s">
        <v>3346</v>
      </c>
      <c r="D2882" s="2">
        <v>0.29</v>
      </c>
      <c r="E2882" s="2">
        <v>1166.0</v>
      </c>
      <c r="F2882" s="2">
        <v>343.78</v>
      </c>
      <c r="G2882" s="4">
        <f t="shared" si="3"/>
        <v>9317070.7</v>
      </c>
      <c r="H2882" s="4">
        <f t="shared" si="1"/>
        <v>0.9761800762</v>
      </c>
      <c r="I2882" s="4" t="str">
        <f t="shared" si="2"/>
        <v>C</v>
      </c>
    </row>
    <row r="2883">
      <c r="A2883" s="2">
        <v>2882.0</v>
      </c>
      <c r="B2883" s="2" t="s">
        <v>3347</v>
      </c>
      <c r="C2883" s="2" t="s">
        <v>3348</v>
      </c>
      <c r="D2883" s="2">
        <v>4.98</v>
      </c>
      <c r="E2883" s="2">
        <v>69.0</v>
      </c>
      <c r="F2883" s="2">
        <v>343.76</v>
      </c>
      <c r="G2883" s="4">
        <f t="shared" si="3"/>
        <v>9317414.46</v>
      </c>
      <c r="H2883" s="4">
        <f t="shared" si="1"/>
        <v>0.976216093</v>
      </c>
      <c r="I2883" s="4" t="str">
        <f t="shared" si="2"/>
        <v>C</v>
      </c>
    </row>
    <row r="2884">
      <c r="A2884" s="2">
        <v>2883.0</v>
      </c>
      <c r="B2884" s="2">
        <v>22033.0</v>
      </c>
      <c r="C2884" s="2" t="s">
        <v>3349</v>
      </c>
      <c r="D2884" s="2">
        <v>0.42</v>
      </c>
      <c r="E2884" s="2">
        <v>808.0</v>
      </c>
      <c r="F2884" s="2">
        <v>343.48</v>
      </c>
      <c r="G2884" s="4">
        <f t="shared" si="3"/>
        <v>9317757.94</v>
      </c>
      <c r="H2884" s="4">
        <f t="shared" si="1"/>
        <v>0.9762520806</v>
      </c>
      <c r="I2884" s="4" t="str">
        <f t="shared" si="2"/>
        <v>C</v>
      </c>
    </row>
    <row r="2885">
      <c r="A2885" s="2">
        <v>2884.0</v>
      </c>
      <c r="B2885" s="2">
        <v>84917.0</v>
      </c>
      <c r="C2885" s="2" t="s">
        <v>3350</v>
      </c>
      <c r="D2885" s="2">
        <v>4.21</v>
      </c>
      <c r="E2885" s="2">
        <v>114.0</v>
      </c>
      <c r="F2885" s="2">
        <v>343.02</v>
      </c>
      <c r="G2885" s="4">
        <f t="shared" si="3"/>
        <v>9318100.96</v>
      </c>
      <c r="H2885" s="4">
        <f t="shared" si="1"/>
        <v>0.9762880199</v>
      </c>
      <c r="I2885" s="4" t="str">
        <f t="shared" si="2"/>
        <v>C</v>
      </c>
    </row>
    <row r="2886">
      <c r="A2886" s="2">
        <v>2885.0</v>
      </c>
      <c r="B2886" s="2" t="s">
        <v>3351</v>
      </c>
      <c r="C2886" s="2" t="s">
        <v>3352</v>
      </c>
      <c r="D2886" s="2">
        <v>0.85</v>
      </c>
      <c r="E2886" s="2">
        <v>412.0</v>
      </c>
      <c r="F2886" s="2">
        <v>342.94</v>
      </c>
      <c r="G2886" s="4">
        <f t="shared" si="3"/>
        <v>9318443.9</v>
      </c>
      <c r="H2886" s="4">
        <f t="shared" si="1"/>
        <v>0.9763239508</v>
      </c>
      <c r="I2886" s="4" t="str">
        <f t="shared" si="2"/>
        <v>C</v>
      </c>
    </row>
    <row r="2887">
      <c r="A2887" s="2">
        <v>2886.0</v>
      </c>
      <c r="B2887" s="2" t="s">
        <v>3353</v>
      </c>
      <c r="C2887" s="2" t="s">
        <v>3354</v>
      </c>
      <c r="D2887" s="2">
        <v>1.45</v>
      </c>
      <c r="E2887" s="2">
        <v>232.0</v>
      </c>
      <c r="F2887" s="2">
        <v>342.73</v>
      </c>
      <c r="G2887" s="4">
        <f t="shared" si="3"/>
        <v>9318786.63</v>
      </c>
      <c r="H2887" s="4">
        <f t="shared" si="1"/>
        <v>0.9763598598</v>
      </c>
      <c r="I2887" s="4" t="str">
        <f t="shared" si="2"/>
        <v>C</v>
      </c>
    </row>
    <row r="2888">
      <c r="A2888" s="2">
        <v>2887.0</v>
      </c>
      <c r="B2888" s="2" t="s">
        <v>3355</v>
      </c>
      <c r="C2888" s="2" t="s">
        <v>3356</v>
      </c>
      <c r="D2888" s="2">
        <v>5.95</v>
      </c>
      <c r="E2888" s="2">
        <v>70.0</v>
      </c>
      <c r="F2888" s="2">
        <v>342.58</v>
      </c>
      <c r="G2888" s="4">
        <f t="shared" si="3"/>
        <v>9319129.21</v>
      </c>
      <c r="H2888" s="4">
        <f t="shared" si="1"/>
        <v>0.976395753</v>
      </c>
      <c r="I2888" s="4" t="str">
        <f t="shared" si="2"/>
        <v>C</v>
      </c>
    </row>
    <row r="2889">
      <c r="A2889" s="2">
        <v>2888.0</v>
      </c>
      <c r="B2889" s="2">
        <v>22036.0</v>
      </c>
      <c r="C2889" s="2" t="s">
        <v>3357</v>
      </c>
      <c r="D2889" s="2">
        <v>0.42</v>
      </c>
      <c r="E2889" s="2">
        <v>812.0</v>
      </c>
      <c r="F2889" s="2">
        <v>342.52</v>
      </c>
      <c r="G2889" s="4">
        <f t="shared" si="3"/>
        <v>9319471.73</v>
      </c>
      <c r="H2889" s="4">
        <f t="shared" si="1"/>
        <v>0.97643164</v>
      </c>
      <c r="I2889" s="4" t="str">
        <f t="shared" si="2"/>
        <v>C</v>
      </c>
    </row>
    <row r="2890">
      <c r="A2890" s="2">
        <v>2889.0</v>
      </c>
      <c r="B2890" s="2">
        <v>85084.0</v>
      </c>
      <c r="C2890" s="2" t="s">
        <v>3358</v>
      </c>
      <c r="D2890" s="2">
        <v>0.85</v>
      </c>
      <c r="E2890" s="2">
        <v>342.0</v>
      </c>
      <c r="F2890" s="2">
        <v>341.55</v>
      </c>
      <c r="G2890" s="4">
        <f t="shared" si="3"/>
        <v>9319813.28</v>
      </c>
      <c r="H2890" s="4">
        <f t="shared" si="1"/>
        <v>0.9764674253</v>
      </c>
      <c r="I2890" s="4" t="str">
        <f t="shared" si="2"/>
        <v>C</v>
      </c>
    </row>
    <row r="2891">
      <c r="A2891" s="2">
        <v>2890.0</v>
      </c>
      <c r="B2891" s="2" t="s">
        <v>3359</v>
      </c>
      <c r="C2891" s="2" t="s">
        <v>3360</v>
      </c>
      <c r="D2891" s="2">
        <v>4.65</v>
      </c>
      <c r="E2891" s="2">
        <v>180.0</v>
      </c>
      <c r="F2891" s="2">
        <v>341.49</v>
      </c>
      <c r="G2891" s="4">
        <f t="shared" si="3"/>
        <v>9320154.77</v>
      </c>
      <c r="H2891" s="4">
        <f t="shared" si="1"/>
        <v>0.9765032043</v>
      </c>
      <c r="I2891" s="4" t="str">
        <f t="shared" si="2"/>
        <v>C</v>
      </c>
    </row>
    <row r="2892">
      <c r="A2892" s="2">
        <v>2891.0</v>
      </c>
      <c r="B2892" s="2">
        <v>85096.0</v>
      </c>
      <c r="C2892" s="2" t="s">
        <v>3361</v>
      </c>
      <c r="D2892" s="2">
        <v>3.75</v>
      </c>
      <c r="E2892" s="2">
        <v>82.0</v>
      </c>
      <c r="F2892" s="2">
        <v>340.34</v>
      </c>
      <c r="G2892" s="4">
        <f t="shared" si="3"/>
        <v>9320495.11</v>
      </c>
      <c r="H2892" s="4">
        <f t="shared" si="1"/>
        <v>0.9765388628</v>
      </c>
      <c r="I2892" s="4" t="str">
        <f t="shared" si="2"/>
        <v>C</v>
      </c>
    </row>
    <row r="2893">
      <c r="A2893" s="2">
        <v>2892.0</v>
      </c>
      <c r="B2893" s="2" t="s">
        <v>3362</v>
      </c>
      <c r="C2893" s="2" t="s">
        <v>3363</v>
      </c>
      <c r="D2893" s="2">
        <v>2.46</v>
      </c>
      <c r="E2893" s="2">
        <v>293.0</v>
      </c>
      <c r="F2893" s="2">
        <v>340.32</v>
      </c>
      <c r="G2893" s="4">
        <f t="shared" si="3"/>
        <v>9320835.43</v>
      </c>
      <c r="H2893" s="4">
        <f t="shared" si="1"/>
        <v>0.9765745193</v>
      </c>
      <c r="I2893" s="4" t="str">
        <f t="shared" si="2"/>
        <v>C</v>
      </c>
    </row>
    <row r="2894">
      <c r="A2894" s="2">
        <v>2893.0</v>
      </c>
      <c r="B2894" s="2">
        <v>84684.0</v>
      </c>
      <c r="C2894" s="2" t="s">
        <v>3364</v>
      </c>
      <c r="D2894" s="2">
        <v>2.55</v>
      </c>
      <c r="E2894" s="2">
        <v>280.0</v>
      </c>
      <c r="F2894" s="2">
        <v>339.95</v>
      </c>
      <c r="G2894" s="4">
        <f t="shared" si="3"/>
        <v>9321175.38</v>
      </c>
      <c r="H2894" s="4">
        <f t="shared" si="1"/>
        <v>0.976610137</v>
      </c>
      <c r="I2894" s="4" t="str">
        <f t="shared" si="2"/>
        <v>C</v>
      </c>
    </row>
    <row r="2895">
      <c r="A2895" s="2">
        <v>2894.0</v>
      </c>
      <c r="B2895" s="2">
        <v>22034.0</v>
      </c>
      <c r="C2895" s="2" t="s">
        <v>3365</v>
      </c>
      <c r="D2895" s="2">
        <v>0.42</v>
      </c>
      <c r="E2895" s="2">
        <v>814.0</v>
      </c>
      <c r="F2895" s="2">
        <v>339.26</v>
      </c>
      <c r="G2895" s="4">
        <f t="shared" si="3"/>
        <v>9321514.64</v>
      </c>
      <c r="H2895" s="4">
        <f t="shared" si="1"/>
        <v>0.9766456823</v>
      </c>
      <c r="I2895" s="4" t="str">
        <f t="shared" si="2"/>
        <v>C</v>
      </c>
    </row>
    <row r="2896">
      <c r="A2896" s="2">
        <v>2895.0</v>
      </c>
      <c r="B2896" s="2" t="s">
        <v>3366</v>
      </c>
      <c r="C2896" s="2" t="s">
        <v>3367</v>
      </c>
      <c r="D2896" s="2">
        <v>5.06</v>
      </c>
      <c r="E2896" s="2">
        <v>152.0</v>
      </c>
      <c r="F2896" s="2">
        <v>339.0</v>
      </c>
      <c r="G2896" s="4">
        <f t="shared" si="3"/>
        <v>9321853.64</v>
      </c>
      <c r="H2896" s="4">
        <f t="shared" si="1"/>
        <v>0.9766812005</v>
      </c>
      <c r="I2896" s="4" t="str">
        <f t="shared" si="2"/>
        <v>C</v>
      </c>
    </row>
    <row r="2897">
      <c r="A2897" s="2">
        <v>2896.0</v>
      </c>
      <c r="B2897" s="2" t="s">
        <v>3368</v>
      </c>
      <c r="C2897" s="2" t="s">
        <v>3369</v>
      </c>
      <c r="D2897" s="2">
        <v>2.55</v>
      </c>
      <c r="E2897" s="2">
        <v>226.0</v>
      </c>
      <c r="F2897" s="2">
        <v>338.72</v>
      </c>
      <c r="G2897" s="4">
        <f t="shared" si="3"/>
        <v>9322192.36</v>
      </c>
      <c r="H2897" s="4">
        <f t="shared" si="1"/>
        <v>0.9767166893</v>
      </c>
      <c r="I2897" s="4" t="str">
        <f t="shared" si="2"/>
        <v>C</v>
      </c>
    </row>
    <row r="2898">
      <c r="A2898" s="2">
        <v>2897.0</v>
      </c>
      <c r="B2898" s="2" t="s">
        <v>3370</v>
      </c>
      <c r="C2898" s="2" t="s">
        <v>3371</v>
      </c>
      <c r="D2898" s="2">
        <v>6.35</v>
      </c>
      <c r="E2898" s="2">
        <v>52.0</v>
      </c>
      <c r="F2898" s="2">
        <v>338.52</v>
      </c>
      <c r="G2898" s="4">
        <f t="shared" si="3"/>
        <v>9322530.88</v>
      </c>
      <c r="H2898" s="4">
        <f t="shared" si="1"/>
        <v>0.9767521571</v>
      </c>
      <c r="I2898" s="4" t="str">
        <f t="shared" si="2"/>
        <v>C</v>
      </c>
    </row>
    <row r="2899">
      <c r="A2899" s="2">
        <v>2898.0</v>
      </c>
      <c r="B2899" s="2" t="s">
        <v>3372</v>
      </c>
      <c r="C2899" s="2" t="s">
        <v>3373</v>
      </c>
      <c r="D2899" s="2">
        <v>6.95</v>
      </c>
      <c r="E2899" s="2">
        <v>48.0</v>
      </c>
      <c r="F2899" s="2">
        <v>338.5</v>
      </c>
      <c r="G2899" s="4">
        <f t="shared" si="3"/>
        <v>9322869.38</v>
      </c>
      <c r="H2899" s="4">
        <f t="shared" si="1"/>
        <v>0.9767876229</v>
      </c>
      <c r="I2899" s="4" t="str">
        <f t="shared" si="2"/>
        <v>C</v>
      </c>
    </row>
    <row r="2900">
      <c r="A2900" s="2">
        <v>2899.0</v>
      </c>
      <c r="B2900" s="2">
        <v>84824.0</v>
      </c>
      <c r="C2900" s="2" t="s">
        <v>3374</v>
      </c>
      <c r="D2900" s="2">
        <v>15.95</v>
      </c>
      <c r="E2900" s="2">
        <v>19.0</v>
      </c>
      <c r="F2900" s="2">
        <v>338.22</v>
      </c>
      <c r="G2900" s="4">
        <f t="shared" si="3"/>
        <v>9323207.6</v>
      </c>
      <c r="H2900" s="4">
        <f t="shared" si="1"/>
        <v>0.9768230593</v>
      </c>
      <c r="I2900" s="4" t="str">
        <f t="shared" si="2"/>
        <v>C</v>
      </c>
    </row>
    <row r="2901">
      <c r="A2901" s="2">
        <v>2900.0</v>
      </c>
      <c r="B2901" s="2">
        <v>20898.0</v>
      </c>
      <c r="C2901" s="2" t="s">
        <v>3375</v>
      </c>
      <c r="D2901" s="2">
        <v>2.95</v>
      </c>
      <c r="E2901" s="2">
        <v>160.0</v>
      </c>
      <c r="F2901" s="2">
        <v>338.11</v>
      </c>
      <c r="G2901" s="4">
        <f t="shared" si="3"/>
        <v>9323545.71</v>
      </c>
      <c r="H2901" s="4">
        <f t="shared" si="1"/>
        <v>0.9768584842</v>
      </c>
      <c r="I2901" s="4" t="str">
        <f t="shared" si="2"/>
        <v>C</v>
      </c>
    </row>
    <row r="2902">
      <c r="A2902" s="2">
        <v>2901.0</v>
      </c>
      <c r="B2902" s="2">
        <v>21847.0</v>
      </c>
      <c r="C2902" s="2" t="s">
        <v>3376</v>
      </c>
      <c r="D2902" s="2">
        <v>2.57</v>
      </c>
      <c r="E2902" s="2">
        <v>174.0</v>
      </c>
      <c r="F2902" s="2">
        <v>337.68</v>
      </c>
      <c r="G2902" s="4">
        <f t="shared" si="3"/>
        <v>9323883.39</v>
      </c>
      <c r="H2902" s="4">
        <f t="shared" si="1"/>
        <v>0.9768938641</v>
      </c>
      <c r="I2902" s="4" t="str">
        <f t="shared" si="2"/>
        <v>C</v>
      </c>
    </row>
    <row r="2903">
      <c r="A2903" s="2">
        <v>2902.0</v>
      </c>
      <c r="B2903" s="2" t="s">
        <v>3377</v>
      </c>
      <c r="C2903" s="2" t="s">
        <v>3378</v>
      </c>
      <c r="D2903" s="2">
        <v>8.95</v>
      </c>
      <c r="E2903" s="2">
        <v>37.0</v>
      </c>
      <c r="F2903" s="2">
        <v>334.9</v>
      </c>
      <c r="G2903" s="4">
        <f t="shared" si="3"/>
        <v>9324218.29</v>
      </c>
      <c r="H2903" s="4">
        <f t="shared" si="1"/>
        <v>0.9769289526</v>
      </c>
      <c r="I2903" s="4" t="str">
        <f t="shared" si="2"/>
        <v>C</v>
      </c>
    </row>
    <row r="2904">
      <c r="A2904" s="2">
        <v>2903.0</v>
      </c>
      <c r="B2904" s="2" t="s">
        <v>3379</v>
      </c>
      <c r="C2904" s="2" t="s">
        <v>3380</v>
      </c>
      <c r="D2904" s="2">
        <v>1.25</v>
      </c>
      <c r="E2904" s="2">
        <v>320.0</v>
      </c>
      <c r="F2904" s="2">
        <v>334.81</v>
      </c>
      <c r="G2904" s="4">
        <f t="shared" si="3"/>
        <v>9324553.1</v>
      </c>
      <c r="H2904" s="4">
        <f t="shared" si="1"/>
        <v>0.9769640318</v>
      </c>
      <c r="I2904" s="4" t="str">
        <f t="shared" si="2"/>
        <v>C</v>
      </c>
    </row>
    <row r="2905">
      <c r="A2905" s="2">
        <v>2904.0</v>
      </c>
      <c r="B2905" s="2" t="s">
        <v>3381</v>
      </c>
      <c r="C2905" s="2" t="s">
        <v>3382</v>
      </c>
      <c r="D2905" s="2">
        <v>1.65</v>
      </c>
      <c r="E2905" s="2">
        <v>195.0</v>
      </c>
      <c r="F2905" s="2">
        <v>334.81</v>
      </c>
      <c r="G2905" s="4">
        <f t="shared" si="3"/>
        <v>9324887.91</v>
      </c>
      <c r="H2905" s="4">
        <f t="shared" si="1"/>
        <v>0.9769991109</v>
      </c>
      <c r="I2905" s="4" t="str">
        <f t="shared" si="2"/>
        <v>C</v>
      </c>
    </row>
    <row r="2906">
      <c r="A2906" s="2">
        <v>2905.0</v>
      </c>
      <c r="B2906" s="2" t="s">
        <v>3383</v>
      </c>
      <c r="C2906" s="2" t="s">
        <v>3384</v>
      </c>
      <c r="D2906" s="2">
        <v>2.55</v>
      </c>
      <c r="E2906" s="2">
        <v>120.0</v>
      </c>
      <c r="F2906" s="2">
        <v>334.69</v>
      </c>
      <c r="G2906" s="4">
        <f t="shared" si="3"/>
        <v>9325222.6</v>
      </c>
      <c r="H2906" s="4">
        <f t="shared" si="1"/>
        <v>0.9770341775</v>
      </c>
      <c r="I2906" s="4" t="str">
        <f t="shared" si="2"/>
        <v>C</v>
      </c>
    </row>
    <row r="2907">
      <c r="A2907" s="2">
        <v>2906.0</v>
      </c>
      <c r="B2907" s="2">
        <v>23024.0</v>
      </c>
      <c r="C2907" s="2" t="s">
        <v>3385</v>
      </c>
      <c r="D2907" s="2">
        <v>2.89</v>
      </c>
      <c r="E2907" s="2">
        <v>128.0</v>
      </c>
      <c r="F2907" s="2">
        <v>333.93</v>
      </c>
      <c r="G2907" s="4">
        <f t="shared" si="3"/>
        <v>9325556.53</v>
      </c>
      <c r="H2907" s="4">
        <f t="shared" si="1"/>
        <v>0.9770691644</v>
      </c>
      <c r="I2907" s="4" t="str">
        <f t="shared" si="2"/>
        <v>C</v>
      </c>
    </row>
    <row r="2908">
      <c r="A2908" s="2">
        <v>2907.0</v>
      </c>
      <c r="B2908" s="2">
        <v>23597.0</v>
      </c>
      <c r="C2908" s="2" t="s">
        <v>3386</v>
      </c>
      <c r="D2908" s="2">
        <v>2.95</v>
      </c>
      <c r="E2908" s="2">
        <v>122.0</v>
      </c>
      <c r="F2908" s="2">
        <v>333.64</v>
      </c>
      <c r="G2908" s="4">
        <f t="shared" si="3"/>
        <v>9325890.17</v>
      </c>
      <c r="H2908" s="4">
        <f t="shared" si="1"/>
        <v>0.977104121</v>
      </c>
      <c r="I2908" s="4" t="str">
        <f t="shared" si="2"/>
        <v>C</v>
      </c>
    </row>
    <row r="2909">
      <c r="A2909" s="2">
        <v>2908.0</v>
      </c>
      <c r="B2909" s="2">
        <v>21879.0</v>
      </c>
      <c r="C2909" s="2" t="s">
        <v>3387</v>
      </c>
      <c r="D2909" s="2">
        <v>0.65</v>
      </c>
      <c r="E2909" s="2">
        <v>785.0</v>
      </c>
      <c r="F2909" s="2">
        <v>333.4</v>
      </c>
      <c r="G2909" s="4">
        <f t="shared" si="3"/>
        <v>9326223.57</v>
      </c>
      <c r="H2909" s="4">
        <f t="shared" si="1"/>
        <v>0.9771390524</v>
      </c>
      <c r="I2909" s="4" t="str">
        <f t="shared" si="2"/>
        <v>C</v>
      </c>
    </row>
    <row r="2910">
      <c r="A2910" s="2">
        <v>2909.0</v>
      </c>
      <c r="B2910" s="2">
        <v>85203.0</v>
      </c>
      <c r="C2910" s="2" t="s">
        <v>3388</v>
      </c>
      <c r="D2910" s="2">
        <v>0.42</v>
      </c>
      <c r="E2910" s="2">
        <v>732.0</v>
      </c>
      <c r="F2910" s="2">
        <v>333.38</v>
      </c>
      <c r="G2910" s="4">
        <f t="shared" si="3"/>
        <v>9326556.95</v>
      </c>
      <c r="H2910" s="4">
        <f t="shared" si="1"/>
        <v>0.9771739817</v>
      </c>
      <c r="I2910" s="4" t="str">
        <f t="shared" si="2"/>
        <v>C</v>
      </c>
    </row>
    <row r="2911">
      <c r="A2911" s="2">
        <v>2910.0</v>
      </c>
      <c r="B2911" s="2">
        <v>21247.0</v>
      </c>
      <c r="C2911" s="2" t="s">
        <v>3389</v>
      </c>
      <c r="D2911" s="2">
        <v>1.49</v>
      </c>
      <c r="E2911" s="2">
        <v>212.0</v>
      </c>
      <c r="F2911" s="2">
        <v>333.11</v>
      </c>
      <c r="G2911" s="4">
        <f t="shared" si="3"/>
        <v>9326890.06</v>
      </c>
      <c r="H2911" s="4">
        <f t="shared" si="1"/>
        <v>0.9772088827</v>
      </c>
      <c r="I2911" s="4" t="str">
        <f t="shared" si="2"/>
        <v>C</v>
      </c>
    </row>
    <row r="2912">
      <c r="A2912" s="2">
        <v>2911.0</v>
      </c>
      <c r="B2912" s="2">
        <v>21750.0</v>
      </c>
      <c r="C2912" s="2" t="s">
        <v>3390</v>
      </c>
      <c r="D2912" s="2">
        <v>2.1</v>
      </c>
      <c r="E2912" s="2">
        <v>155.0</v>
      </c>
      <c r="F2912" s="2">
        <v>332.98</v>
      </c>
      <c r="G2912" s="4">
        <f t="shared" si="3"/>
        <v>9327223.04</v>
      </c>
      <c r="H2912" s="4">
        <f t="shared" si="1"/>
        <v>0.9772437702</v>
      </c>
      <c r="I2912" s="4" t="str">
        <f t="shared" si="2"/>
        <v>C</v>
      </c>
    </row>
    <row r="2913">
      <c r="A2913" s="2">
        <v>2912.0</v>
      </c>
      <c r="B2913" s="2">
        <v>23120.0</v>
      </c>
      <c r="C2913" s="2" t="s">
        <v>3391</v>
      </c>
      <c r="D2913" s="2">
        <v>0.42</v>
      </c>
      <c r="E2913" s="2">
        <v>822.0</v>
      </c>
      <c r="F2913" s="2">
        <v>332.58</v>
      </c>
      <c r="G2913" s="4">
        <f t="shared" si="3"/>
        <v>9327555.62</v>
      </c>
      <c r="H2913" s="4">
        <f t="shared" si="1"/>
        <v>0.9772786157</v>
      </c>
      <c r="I2913" s="4" t="str">
        <f t="shared" si="2"/>
        <v>C</v>
      </c>
    </row>
    <row r="2914">
      <c r="A2914" s="2">
        <v>2913.0</v>
      </c>
      <c r="B2914" s="2">
        <v>72131.0</v>
      </c>
      <c r="C2914" s="2" t="s">
        <v>3392</v>
      </c>
      <c r="D2914" s="2">
        <v>1.95</v>
      </c>
      <c r="E2914" s="2">
        <v>367.0</v>
      </c>
      <c r="F2914" s="2">
        <v>332.49</v>
      </c>
      <c r="G2914" s="4">
        <f t="shared" si="3"/>
        <v>9327888.11</v>
      </c>
      <c r="H2914" s="4">
        <f t="shared" si="1"/>
        <v>0.9773134517</v>
      </c>
      <c r="I2914" s="4" t="str">
        <f t="shared" si="2"/>
        <v>C</v>
      </c>
    </row>
    <row r="2915">
      <c r="A2915" s="2">
        <v>2914.0</v>
      </c>
      <c r="B2915" s="2">
        <v>21884.0</v>
      </c>
      <c r="C2915" s="2" t="s">
        <v>3393</v>
      </c>
      <c r="D2915" s="2">
        <v>0.65</v>
      </c>
      <c r="E2915" s="2">
        <v>724.0</v>
      </c>
      <c r="F2915" s="2">
        <v>332.13</v>
      </c>
      <c r="G2915" s="4">
        <f t="shared" si="3"/>
        <v>9328220.24</v>
      </c>
      <c r="H2915" s="4">
        <f t="shared" si="1"/>
        <v>0.9773482501</v>
      </c>
      <c r="I2915" s="4" t="str">
        <f t="shared" si="2"/>
        <v>C</v>
      </c>
    </row>
    <row r="2916">
      <c r="A2916" s="2">
        <v>2915.0</v>
      </c>
      <c r="B2916" s="2">
        <v>22056.0</v>
      </c>
      <c r="C2916" s="2" t="s">
        <v>3394</v>
      </c>
      <c r="D2916" s="2">
        <v>1.49</v>
      </c>
      <c r="E2916" s="2">
        <v>306.0</v>
      </c>
      <c r="F2916" s="2">
        <v>331.42</v>
      </c>
      <c r="G2916" s="4">
        <f t="shared" si="3"/>
        <v>9328551.66</v>
      </c>
      <c r="H2916" s="4">
        <f t="shared" si="1"/>
        <v>0.977382974</v>
      </c>
      <c r="I2916" s="4" t="str">
        <f t="shared" si="2"/>
        <v>C</v>
      </c>
    </row>
    <row r="2917">
      <c r="A2917" s="2">
        <v>2916.0</v>
      </c>
      <c r="B2917" s="2" t="s">
        <v>3395</v>
      </c>
      <c r="C2917" s="2" t="s">
        <v>3396</v>
      </c>
      <c r="D2917" s="2">
        <v>1.95</v>
      </c>
      <c r="E2917" s="2">
        <v>168.0</v>
      </c>
      <c r="F2917" s="2">
        <v>331.35</v>
      </c>
      <c r="G2917" s="4">
        <f t="shared" si="3"/>
        <v>9328883.01</v>
      </c>
      <c r="H2917" s="4">
        <f t="shared" si="1"/>
        <v>0.9774176907</v>
      </c>
      <c r="I2917" s="4" t="str">
        <f t="shared" si="2"/>
        <v>C</v>
      </c>
    </row>
    <row r="2918">
      <c r="A2918" s="2">
        <v>2917.0</v>
      </c>
      <c r="B2918" s="2">
        <v>21263.0</v>
      </c>
      <c r="C2918" s="2" t="s">
        <v>3397</v>
      </c>
      <c r="D2918" s="2">
        <v>1.95</v>
      </c>
      <c r="E2918" s="2">
        <v>150.0</v>
      </c>
      <c r="F2918" s="2">
        <v>331.1</v>
      </c>
      <c r="G2918" s="4">
        <f t="shared" si="3"/>
        <v>9329214.11</v>
      </c>
      <c r="H2918" s="4">
        <f t="shared" si="1"/>
        <v>0.9774523811</v>
      </c>
      <c r="I2918" s="4" t="str">
        <f t="shared" si="2"/>
        <v>C</v>
      </c>
    </row>
    <row r="2919">
      <c r="A2919" s="2">
        <v>2918.0</v>
      </c>
      <c r="B2919" s="2" t="s">
        <v>3398</v>
      </c>
      <c r="C2919" s="2" t="s">
        <v>3399</v>
      </c>
      <c r="D2919" s="2">
        <v>8.47</v>
      </c>
      <c r="E2919" s="2">
        <v>36.0</v>
      </c>
      <c r="F2919" s="2">
        <v>331.06</v>
      </c>
      <c r="G2919" s="4">
        <f t="shared" si="3"/>
        <v>9329545.17</v>
      </c>
      <c r="H2919" s="4">
        <f t="shared" si="1"/>
        <v>0.9774870673</v>
      </c>
      <c r="I2919" s="4" t="str">
        <f t="shared" si="2"/>
        <v>C</v>
      </c>
    </row>
    <row r="2920">
      <c r="A2920" s="2">
        <v>2919.0</v>
      </c>
      <c r="B2920" s="2" t="s">
        <v>3400</v>
      </c>
      <c r="C2920" s="2" t="s">
        <v>3401</v>
      </c>
      <c r="D2920" s="2">
        <v>2.46</v>
      </c>
      <c r="E2920" s="2">
        <v>261.0</v>
      </c>
      <c r="F2920" s="2">
        <v>331.06</v>
      </c>
      <c r="G2920" s="4">
        <f t="shared" si="3"/>
        <v>9329876.23</v>
      </c>
      <c r="H2920" s="4">
        <f t="shared" si="1"/>
        <v>0.9775217536</v>
      </c>
      <c r="I2920" s="4" t="str">
        <f t="shared" si="2"/>
        <v>C</v>
      </c>
    </row>
    <row r="2921">
      <c r="A2921" s="2">
        <v>2920.0</v>
      </c>
      <c r="B2921" s="2" t="s">
        <v>3402</v>
      </c>
      <c r="C2921" s="2" t="s">
        <v>3403</v>
      </c>
      <c r="D2921" s="2">
        <v>4.21</v>
      </c>
      <c r="E2921" s="2">
        <v>102.0</v>
      </c>
      <c r="F2921" s="2">
        <v>331.05</v>
      </c>
      <c r="G2921" s="4">
        <f t="shared" si="3"/>
        <v>9330207.28</v>
      </c>
      <c r="H2921" s="4">
        <f t="shared" si="1"/>
        <v>0.9775564388</v>
      </c>
      <c r="I2921" s="4" t="str">
        <f t="shared" si="2"/>
        <v>C</v>
      </c>
    </row>
    <row r="2922">
      <c r="A2922" s="2">
        <v>2921.0</v>
      </c>
      <c r="B2922" s="2">
        <v>21197.0</v>
      </c>
      <c r="C2922" s="2" t="s">
        <v>3404</v>
      </c>
      <c r="D2922" s="2">
        <v>1.65</v>
      </c>
      <c r="E2922" s="2">
        <v>226.0</v>
      </c>
      <c r="F2922" s="2">
        <v>330.9</v>
      </c>
      <c r="G2922" s="4">
        <f t="shared" si="3"/>
        <v>9330538.18</v>
      </c>
      <c r="H2922" s="4">
        <f t="shared" si="1"/>
        <v>0.9775911083</v>
      </c>
      <c r="I2922" s="4" t="str">
        <f t="shared" si="2"/>
        <v>C</v>
      </c>
    </row>
    <row r="2923">
      <c r="A2923" s="2">
        <v>2922.0</v>
      </c>
      <c r="B2923" s="2" t="s">
        <v>3405</v>
      </c>
      <c r="C2923" s="2" t="s">
        <v>3406</v>
      </c>
      <c r="D2923" s="2">
        <v>0.85</v>
      </c>
      <c r="E2923" s="2">
        <v>374.0</v>
      </c>
      <c r="F2923" s="2">
        <v>330.86</v>
      </c>
      <c r="G2923" s="4">
        <f t="shared" si="3"/>
        <v>9330869.04</v>
      </c>
      <c r="H2923" s="4">
        <f t="shared" si="1"/>
        <v>0.9776257735</v>
      </c>
      <c r="I2923" s="4" t="str">
        <f t="shared" si="2"/>
        <v>C</v>
      </c>
    </row>
    <row r="2924">
      <c r="A2924" s="2">
        <v>2923.0</v>
      </c>
      <c r="B2924" s="2">
        <v>23547.0</v>
      </c>
      <c r="C2924" s="2" t="s">
        <v>3407</v>
      </c>
      <c r="D2924" s="2">
        <v>0.42</v>
      </c>
      <c r="E2924" s="2">
        <v>788.0</v>
      </c>
      <c r="F2924" s="2">
        <v>330.75</v>
      </c>
      <c r="G2924" s="4">
        <f t="shared" si="3"/>
        <v>9331199.79</v>
      </c>
      <c r="H2924" s="4">
        <f t="shared" si="1"/>
        <v>0.9776604273</v>
      </c>
      <c r="I2924" s="4" t="str">
        <f t="shared" si="2"/>
        <v>C</v>
      </c>
    </row>
    <row r="2925">
      <c r="A2925" s="2">
        <v>2924.0</v>
      </c>
      <c r="B2925" s="2">
        <v>23482.0</v>
      </c>
      <c r="C2925" s="2" t="s">
        <v>3408</v>
      </c>
      <c r="D2925" s="2">
        <v>1.65</v>
      </c>
      <c r="E2925" s="2">
        <v>209.0</v>
      </c>
      <c r="F2925" s="2">
        <v>330.51</v>
      </c>
      <c r="G2925" s="4">
        <f t="shared" si="3"/>
        <v>9331530.3</v>
      </c>
      <c r="H2925" s="4">
        <f t="shared" si="1"/>
        <v>0.9776950559</v>
      </c>
      <c r="I2925" s="4" t="str">
        <f t="shared" si="2"/>
        <v>C</v>
      </c>
    </row>
    <row r="2926">
      <c r="A2926" s="2">
        <v>2925.0</v>
      </c>
      <c r="B2926" s="2">
        <v>37474.0</v>
      </c>
      <c r="C2926" s="2" t="s">
        <v>3409</v>
      </c>
      <c r="D2926" s="2">
        <v>9.95</v>
      </c>
      <c r="E2926" s="2">
        <v>32.0</v>
      </c>
      <c r="F2926" s="2">
        <v>330.5</v>
      </c>
      <c r="G2926" s="4">
        <f t="shared" si="3"/>
        <v>9331860.8</v>
      </c>
      <c r="H2926" s="4">
        <f t="shared" si="1"/>
        <v>0.9777296835</v>
      </c>
      <c r="I2926" s="4" t="str">
        <f t="shared" si="2"/>
        <v>C</v>
      </c>
    </row>
    <row r="2927">
      <c r="A2927" s="2">
        <v>2926.0</v>
      </c>
      <c r="B2927" s="2">
        <v>23428.0</v>
      </c>
      <c r="C2927" s="2" t="s">
        <v>3410</v>
      </c>
      <c r="D2927" s="2">
        <v>8.15</v>
      </c>
      <c r="E2927" s="2">
        <v>38.0</v>
      </c>
      <c r="F2927" s="2">
        <v>329.8</v>
      </c>
      <c r="G2927" s="4">
        <f t="shared" si="3"/>
        <v>9332190.6</v>
      </c>
      <c r="H2927" s="4">
        <f t="shared" si="1"/>
        <v>0.9777642377</v>
      </c>
      <c r="I2927" s="4" t="str">
        <f t="shared" si="2"/>
        <v>C</v>
      </c>
    </row>
    <row r="2928">
      <c r="A2928" s="2">
        <v>2927.0</v>
      </c>
      <c r="B2928" s="2" t="s">
        <v>3411</v>
      </c>
      <c r="C2928" s="2" t="s">
        <v>3412</v>
      </c>
      <c r="D2928" s="2">
        <v>1.69</v>
      </c>
      <c r="E2928" s="2">
        <v>1562.0</v>
      </c>
      <c r="F2928" s="2">
        <v>329.77</v>
      </c>
      <c r="G2928" s="4">
        <f t="shared" si="3"/>
        <v>9332520.37</v>
      </c>
      <c r="H2928" s="4">
        <f t="shared" si="1"/>
        <v>0.9777987888</v>
      </c>
      <c r="I2928" s="4" t="str">
        <f t="shared" si="2"/>
        <v>C</v>
      </c>
    </row>
    <row r="2929">
      <c r="A2929" s="2">
        <v>2928.0</v>
      </c>
      <c r="B2929" s="2">
        <v>71403.0</v>
      </c>
      <c r="C2929" s="2" t="s">
        <v>3413</v>
      </c>
      <c r="D2929" s="2">
        <v>5.79</v>
      </c>
      <c r="E2929" s="2">
        <v>88.0</v>
      </c>
      <c r="F2929" s="2">
        <v>329.5</v>
      </c>
      <c r="G2929" s="4">
        <f t="shared" si="3"/>
        <v>9332849.87</v>
      </c>
      <c r="H2929" s="4">
        <f t="shared" si="1"/>
        <v>0.9778333116</v>
      </c>
      <c r="I2929" s="4" t="str">
        <f t="shared" si="2"/>
        <v>C</v>
      </c>
    </row>
    <row r="2930">
      <c r="A2930" s="2">
        <v>2929.0</v>
      </c>
      <c r="B2930" s="2" t="s">
        <v>3414</v>
      </c>
      <c r="C2930" s="2" t="s">
        <v>3415</v>
      </c>
      <c r="D2930" s="2">
        <v>0.42</v>
      </c>
      <c r="E2930" s="2">
        <v>1038.0</v>
      </c>
      <c r="F2930" s="2">
        <v>329.38</v>
      </c>
      <c r="G2930" s="4">
        <f t="shared" si="3"/>
        <v>9333179.25</v>
      </c>
      <c r="H2930" s="4">
        <f t="shared" si="1"/>
        <v>0.9778678218</v>
      </c>
      <c r="I2930" s="4" t="str">
        <f t="shared" si="2"/>
        <v>C</v>
      </c>
    </row>
    <row r="2931">
      <c r="A2931" s="2">
        <v>2930.0</v>
      </c>
      <c r="B2931" s="2">
        <v>22054.0</v>
      </c>
      <c r="C2931" s="2" t="s">
        <v>3416</v>
      </c>
      <c r="D2931" s="2">
        <v>1.65</v>
      </c>
      <c r="E2931" s="2">
        <v>182.0</v>
      </c>
      <c r="F2931" s="2">
        <v>329.16</v>
      </c>
      <c r="G2931" s="4">
        <f t="shared" si="3"/>
        <v>9333508.41</v>
      </c>
      <c r="H2931" s="4">
        <f t="shared" si="1"/>
        <v>0.977902309</v>
      </c>
      <c r="I2931" s="4" t="str">
        <f t="shared" si="2"/>
        <v>C</v>
      </c>
    </row>
    <row r="2932">
      <c r="A2932" s="2">
        <v>2931.0</v>
      </c>
      <c r="B2932" s="2" t="s">
        <v>3417</v>
      </c>
      <c r="C2932" s="2" t="s">
        <v>3418</v>
      </c>
      <c r="D2932" s="2">
        <v>0.42</v>
      </c>
      <c r="E2932" s="2">
        <v>700.0</v>
      </c>
      <c r="F2932" s="2">
        <v>329.1</v>
      </c>
      <c r="G2932" s="4">
        <f t="shared" si="3"/>
        <v>9333837.51</v>
      </c>
      <c r="H2932" s="4">
        <f t="shared" si="1"/>
        <v>0.9779367899</v>
      </c>
      <c r="I2932" s="4" t="str">
        <f t="shared" si="2"/>
        <v>C</v>
      </c>
    </row>
    <row r="2933">
      <c r="A2933" s="2">
        <v>2932.0</v>
      </c>
      <c r="B2933" s="2" t="s">
        <v>3419</v>
      </c>
      <c r="C2933" s="2" t="s">
        <v>3420</v>
      </c>
      <c r="D2933" s="2">
        <v>4.21</v>
      </c>
      <c r="E2933" s="2">
        <v>76.0</v>
      </c>
      <c r="F2933" s="2">
        <v>329.04</v>
      </c>
      <c r="G2933" s="4">
        <f t="shared" si="3"/>
        <v>9334166.55</v>
      </c>
      <c r="H2933" s="4">
        <f t="shared" si="1"/>
        <v>0.9779712645</v>
      </c>
      <c r="I2933" s="4" t="str">
        <f t="shared" si="2"/>
        <v>C</v>
      </c>
    </row>
    <row r="2934">
      <c r="A2934" s="2">
        <v>2933.0</v>
      </c>
      <c r="B2934" s="2">
        <v>20856.0</v>
      </c>
      <c r="C2934" s="2" t="s">
        <v>3421</v>
      </c>
      <c r="D2934" s="2">
        <v>1.65</v>
      </c>
      <c r="E2934" s="2">
        <v>198.0</v>
      </c>
      <c r="F2934" s="2">
        <v>327.97</v>
      </c>
      <c r="G2934" s="4">
        <f t="shared" si="3"/>
        <v>9334494.52</v>
      </c>
      <c r="H2934" s="4">
        <f t="shared" si="1"/>
        <v>0.978005627</v>
      </c>
      <c r="I2934" s="4" t="str">
        <f t="shared" si="2"/>
        <v>C</v>
      </c>
    </row>
    <row r="2935">
      <c r="A2935" s="2">
        <v>2934.0</v>
      </c>
      <c r="B2935" s="2">
        <v>21441.0</v>
      </c>
      <c r="C2935" s="2" t="s">
        <v>3422</v>
      </c>
      <c r="D2935" s="2">
        <v>0.85</v>
      </c>
      <c r="E2935" s="2">
        <v>464.0</v>
      </c>
      <c r="F2935" s="2">
        <v>327.73</v>
      </c>
      <c r="G2935" s="4">
        <f t="shared" si="3"/>
        <v>9334822.25</v>
      </c>
      <c r="H2935" s="4">
        <f t="shared" si="1"/>
        <v>0.9780399643</v>
      </c>
      <c r="I2935" s="4" t="str">
        <f t="shared" si="2"/>
        <v>C</v>
      </c>
    </row>
    <row r="2936">
      <c r="A2936" s="2">
        <v>2935.0</v>
      </c>
      <c r="B2936" s="2">
        <v>21307.0</v>
      </c>
      <c r="C2936" s="2" t="s">
        <v>3423</v>
      </c>
      <c r="D2936" s="2">
        <v>2.1</v>
      </c>
      <c r="E2936" s="2">
        <v>376.0</v>
      </c>
      <c r="F2936" s="2">
        <v>327.14</v>
      </c>
      <c r="G2936" s="4">
        <f t="shared" si="3"/>
        <v>9335149.39</v>
      </c>
      <c r="H2936" s="4">
        <f t="shared" si="1"/>
        <v>0.9780742399</v>
      </c>
      <c r="I2936" s="4" t="str">
        <f t="shared" si="2"/>
        <v>C</v>
      </c>
    </row>
    <row r="2937">
      <c r="A2937" s="2">
        <v>2936.0</v>
      </c>
      <c r="B2937" s="2">
        <v>21350.0</v>
      </c>
      <c r="C2937" s="2" t="s">
        <v>3424</v>
      </c>
      <c r="D2937" s="2">
        <v>2.95</v>
      </c>
      <c r="E2937" s="2">
        <v>114.0</v>
      </c>
      <c r="F2937" s="2">
        <v>326.83</v>
      </c>
      <c r="G2937" s="4">
        <f t="shared" si="3"/>
        <v>9335476.22</v>
      </c>
      <c r="H2937" s="4">
        <f t="shared" si="1"/>
        <v>0.9781084829</v>
      </c>
      <c r="I2937" s="4" t="str">
        <f t="shared" si="2"/>
        <v>C</v>
      </c>
    </row>
    <row r="2938">
      <c r="A2938" s="2">
        <v>2937.0</v>
      </c>
      <c r="B2938" s="2">
        <v>85215.0</v>
      </c>
      <c r="C2938" s="2" t="s">
        <v>3425</v>
      </c>
      <c r="D2938" s="2">
        <v>0.65</v>
      </c>
      <c r="E2938" s="2">
        <v>422.0</v>
      </c>
      <c r="F2938" s="2">
        <v>325.85</v>
      </c>
      <c r="G2938" s="4">
        <f t="shared" si="3"/>
        <v>9335802.07</v>
      </c>
      <c r="H2938" s="4">
        <f t="shared" si="1"/>
        <v>0.9781426233</v>
      </c>
      <c r="I2938" s="4" t="str">
        <f t="shared" si="2"/>
        <v>C</v>
      </c>
    </row>
    <row r="2939">
      <c r="A2939" s="2">
        <v>2938.0</v>
      </c>
      <c r="B2939" s="2">
        <v>20618.0</v>
      </c>
      <c r="C2939" s="2" t="s">
        <v>3426</v>
      </c>
      <c r="D2939" s="2">
        <v>2.1</v>
      </c>
      <c r="E2939" s="2">
        <v>149.0</v>
      </c>
      <c r="F2939" s="2">
        <v>325.32</v>
      </c>
      <c r="G2939" s="4">
        <f t="shared" si="3"/>
        <v>9336127.39</v>
      </c>
      <c r="H2939" s="4">
        <f t="shared" si="1"/>
        <v>0.9781767081</v>
      </c>
      <c r="I2939" s="4" t="str">
        <f t="shared" si="2"/>
        <v>C</v>
      </c>
    </row>
    <row r="2940">
      <c r="A2940" s="2">
        <v>2939.0</v>
      </c>
      <c r="B2940" s="2" t="s">
        <v>3427</v>
      </c>
      <c r="C2940" s="2" t="s">
        <v>3428</v>
      </c>
      <c r="D2940" s="2">
        <v>0.42</v>
      </c>
      <c r="E2940" s="2">
        <v>814.0</v>
      </c>
      <c r="F2940" s="2">
        <v>324.96</v>
      </c>
      <c r="G2940" s="4">
        <f t="shared" si="3"/>
        <v>9336452.35</v>
      </c>
      <c r="H2940" s="4">
        <f t="shared" si="1"/>
        <v>0.9782107553</v>
      </c>
      <c r="I2940" s="4" t="str">
        <f t="shared" si="2"/>
        <v>C</v>
      </c>
    </row>
    <row r="2941">
      <c r="A2941" s="2">
        <v>2940.0</v>
      </c>
      <c r="B2941" s="2">
        <v>20714.0</v>
      </c>
      <c r="C2941" s="2" t="s">
        <v>3429</v>
      </c>
      <c r="D2941" s="2">
        <v>0.87</v>
      </c>
      <c r="E2941" s="2">
        <v>790.0</v>
      </c>
      <c r="F2941" s="2">
        <v>324.91</v>
      </c>
      <c r="G2941" s="4">
        <f t="shared" si="3"/>
        <v>9336777.26</v>
      </c>
      <c r="H2941" s="4">
        <f t="shared" si="1"/>
        <v>0.9782447971</v>
      </c>
      <c r="I2941" s="4" t="str">
        <f t="shared" si="2"/>
        <v>C</v>
      </c>
    </row>
    <row r="2942">
      <c r="A2942" s="2">
        <v>2941.0</v>
      </c>
      <c r="B2942" s="2">
        <v>21134.0</v>
      </c>
      <c r="C2942" s="2" t="s">
        <v>3430</v>
      </c>
      <c r="D2942" s="2">
        <v>1.65</v>
      </c>
      <c r="E2942" s="2">
        <v>190.0</v>
      </c>
      <c r="F2942" s="2">
        <v>324.87</v>
      </c>
      <c r="G2942" s="4">
        <f t="shared" si="3"/>
        <v>9337102.13</v>
      </c>
      <c r="H2942" s="4">
        <f t="shared" si="1"/>
        <v>0.9782788348</v>
      </c>
      <c r="I2942" s="4" t="str">
        <f t="shared" si="2"/>
        <v>C</v>
      </c>
    </row>
    <row r="2943">
      <c r="A2943" s="2">
        <v>2942.0</v>
      </c>
      <c r="B2943" s="2" t="s">
        <v>3431</v>
      </c>
      <c r="C2943" s="2" t="s">
        <v>3432</v>
      </c>
      <c r="D2943" s="2">
        <v>0.42</v>
      </c>
      <c r="E2943" s="2">
        <v>736.0</v>
      </c>
      <c r="F2943" s="2">
        <v>324.3</v>
      </c>
      <c r="G2943" s="4">
        <f t="shared" si="3"/>
        <v>9337426.43</v>
      </c>
      <c r="H2943" s="4">
        <f t="shared" si="1"/>
        <v>0.9783128128</v>
      </c>
      <c r="I2943" s="4" t="str">
        <f t="shared" si="2"/>
        <v>C</v>
      </c>
    </row>
    <row r="2944">
      <c r="A2944" s="2">
        <v>2943.0</v>
      </c>
      <c r="B2944" s="2">
        <v>21003.0</v>
      </c>
      <c r="C2944" s="2" t="s">
        <v>3154</v>
      </c>
      <c r="D2944" s="2">
        <v>5.79</v>
      </c>
      <c r="E2944" s="2">
        <v>54.0</v>
      </c>
      <c r="F2944" s="2">
        <v>323.88</v>
      </c>
      <c r="G2944" s="4">
        <f t="shared" si="3"/>
        <v>9337750.31</v>
      </c>
      <c r="H2944" s="4">
        <f t="shared" si="1"/>
        <v>0.9783467468</v>
      </c>
      <c r="I2944" s="4" t="str">
        <f t="shared" si="2"/>
        <v>C</v>
      </c>
    </row>
    <row r="2945">
      <c r="A2945" s="2">
        <v>2944.0</v>
      </c>
      <c r="B2945" s="2">
        <v>84916.0</v>
      </c>
      <c r="C2945" s="2" t="s">
        <v>3433</v>
      </c>
      <c r="D2945" s="2">
        <v>4.21</v>
      </c>
      <c r="E2945" s="2">
        <v>130.0</v>
      </c>
      <c r="F2945" s="2">
        <v>323.22</v>
      </c>
      <c r="G2945" s="4">
        <f t="shared" si="3"/>
        <v>9338073.53</v>
      </c>
      <c r="H2945" s="4">
        <f t="shared" si="1"/>
        <v>0.9783806116</v>
      </c>
      <c r="I2945" s="4" t="str">
        <f t="shared" si="2"/>
        <v>C</v>
      </c>
    </row>
    <row r="2946">
      <c r="A2946" s="2">
        <v>2945.0</v>
      </c>
      <c r="B2946" s="2" t="s">
        <v>3434</v>
      </c>
      <c r="C2946" s="2" t="s">
        <v>3435</v>
      </c>
      <c r="D2946" s="2">
        <v>1.25</v>
      </c>
      <c r="E2946" s="2">
        <v>1590.0</v>
      </c>
      <c r="F2946" s="2">
        <v>322.91</v>
      </c>
      <c r="G2946" s="4">
        <f t="shared" si="3"/>
        <v>9338396.44</v>
      </c>
      <c r="H2946" s="4">
        <f t="shared" si="1"/>
        <v>0.9784144439</v>
      </c>
      <c r="I2946" s="4" t="str">
        <f t="shared" si="2"/>
        <v>C</v>
      </c>
    </row>
    <row r="2947">
      <c r="A2947" s="2">
        <v>2946.0</v>
      </c>
      <c r="B2947" s="2">
        <v>22391.0</v>
      </c>
      <c r="C2947" s="2" t="s">
        <v>3436</v>
      </c>
      <c r="D2947" s="2">
        <v>2.55</v>
      </c>
      <c r="E2947" s="2">
        <v>164.0</v>
      </c>
      <c r="F2947" s="2">
        <v>322.7</v>
      </c>
      <c r="G2947" s="4">
        <f t="shared" si="3"/>
        <v>9338719.14</v>
      </c>
      <c r="H2947" s="4">
        <f t="shared" si="1"/>
        <v>0.9784482543</v>
      </c>
      <c r="I2947" s="4" t="str">
        <f t="shared" si="2"/>
        <v>C</v>
      </c>
    </row>
    <row r="2948">
      <c r="A2948" s="2">
        <v>2947.0</v>
      </c>
      <c r="B2948" s="2">
        <v>84865.0</v>
      </c>
      <c r="C2948" s="2" t="s">
        <v>3437</v>
      </c>
      <c r="D2948" s="2">
        <v>8.5</v>
      </c>
      <c r="E2948" s="2">
        <v>40.0</v>
      </c>
      <c r="F2948" s="2">
        <v>322.66</v>
      </c>
      <c r="G2948" s="4">
        <f t="shared" si="3"/>
        <v>9339041.8</v>
      </c>
      <c r="H2948" s="4">
        <f t="shared" si="1"/>
        <v>0.9784820604</v>
      </c>
      <c r="I2948" s="4" t="str">
        <f t="shared" si="2"/>
        <v>C</v>
      </c>
    </row>
    <row r="2949">
      <c r="A2949" s="2">
        <v>2948.0</v>
      </c>
      <c r="B2949" s="2">
        <v>17181.0</v>
      </c>
      <c r="C2949" s="2" t="s">
        <v>3438</v>
      </c>
      <c r="D2949" s="2">
        <v>5.06</v>
      </c>
      <c r="E2949" s="2">
        <v>177.0</v>
      </c>
      <c r="F2949" s="2">
        <v>322.6</v>
      </c>
      <c r="G2949" s="4">
        <f t="shared" si="3"/>
        <v>9339364.4</v>
      </c>
      <c r="H2949" s="4">
        <f t="shared" si="1"/>
        <v>0.9785158603</v>
      </c>
      <c r="I2949" s="4" t="str">
        <f t="shared" si="2"/>
        <v>C</v>
      </c>
    </row>
    <row r="2950">
      <c r="A2950" s="2">
        <v>2949.0</v>
      </c>
      <c r="B2950" s="2">
        <v>23042.0</v>
      </c>
      <c r="C2950" s="2" t="s">
        <v>3439</v>
      </c>
      <c r="D2950" s="2">
        <v>6.65</v>
      </c>
      <c r="E2950" s="2">
        <v>46.0</v>
      </c>
      <c r="F2950" s="2">
        <v>322.5</v>
      </c>
      <c r="G2950" s="4">
        <f t="shared" si="3"/>
        <v>9339686.9</v>
      </c>
      <c r="H2950" s="4">
        <f t="shared" si="1"/>
        <v>0.9785496497</v>
      </c>
      <c r="I2950" s="4" t="str">
        <f t="shared" si="2"/>
        <v>C</v>
      </c>
    </row>
    <row r="2951">
      <c r="A2951" s="2">
        <v>2950.0</v>
      </c>
      <c r="B2951" s="2">
        <v>47597.0</v>
      </c>
      <c r="C2951" s="2" t="s">
        <v>3440</v>
      </c>
      <c r="D2951" s="2">
        <v>1.66</v>
      </c>
      <c r="E2951" s="2">
        <v>161.0</v>
      </c>
      <c r="F2951" s="2">
        <v>322.44</v>
      </c>
      <c r="G2951" s="4">
        <f t="shared" si="3"/>
        <v>9340009.34</v>
      </c>
      <c r="H2951" s="4">
        <f t="shared" si="1"/>
        <v>0.9785834328</v>
      </c>
      <c r="I2951" s="4" t="str">
        <f t="shared" si="2"/>
        <v>C</v>
      </c>
    </row>
    <row r="2952">
      <c r="A2952" s="2">
        <v>2951.0</v>
      </c>
      <c r="B2952" s="2" t="s">
        <v>3441</v>
      </c>
      <c r="C2952" s="2" t="s">
        <v>3442</v>
      </c>
      <c r="D2952" s="2">
        <v>2.95</v>
      </c>
      <c r="E2952" s="2">
        <v>98.0</v>
      </c>
      <c r="F2952" s="2">
        <v>321.0</v>
      </c>
      <c r="G2952" s="4">
        <f t="shared" si="3"/>
        <v>9340330.34</v>
      </c>
      <c r="H2952" s="4">
        <f t="shared" si="1"/>
        <v>0.978617065</v>
      </c>
      <c r="I2952" s="4" t="str">
        <f t="shared" si="2"/>
        <v>C</v>
      </c>
    </row>
    <row r="2953">
      <c r="A2953" s="2">
        <v>2952.0</v>
      </c>
      <c r="B2953" s="2">
        <v>16047.0</v>
      </c>
      <c r="C2953" s="2" t="s">
        <v>3443</v>
      </c>
      <c r="D2953" s="2">
        <v>0.85</v>
      </c>
      <c r="E2953" s="2">
        <v>2715.0</v>
      </c>
      <c r="F2953" s="2">
        <v>320.84</v>
      </c>
      <c r="G2953" s="4">
        <f t="shared" si="3"/>
        <v>9340651.18</v>
      </c>
      <c r="H2953" s="4">
        <f t="shared" si="1"/>
        <v>0.9786506805</v>
      </c>
      <c r="I2953" s="4" t="str">
        <f t="shared" si="2"/>
        <v>C</v>
      </c>
    </row>
    <row r="2954">
      <c r="A2954" s="2">
        <v>2953.0</v>
      </c>
      <c r="B2954" s="2" t="s">
        <v>3444</v>
      </c>
      <c r="C2954" s="2" t="s">
        <v>3445</v>
      </c>
      <c r="D2954" s="2">
        <v>0.85</v>
      </c>
      <c r="E2954" s="2">
        <v>350.0</v>
      </c>
      <c r="F2954" s="2">
        <v>320.58</v>
      </c>
      <c r="G2954" s="4">
        <f t="shared" si="3"/>
        <v>9340971.76</v>
      </c>
      <c r="H2954" s="4">
        <f t="shared" si="1"/>
        <v>0.9786842687</v>
      </c>
      <c r="I2954" s="4" t="str">
        <f t="shared" si="2"/>
        <v>C</v>
      </c>
    </row>
    <row r="2955">
      <c r="A2955" s="2">
        <v>2954.0</v>
      </c>
      <c r="B2955" s="2" t="s">
        <v>3446</v>
      </c>
      <c r="C2955" s="2" t="s">
        <v>3447</v>
      </c>
      <c r="D2955" s="2">
        <v>0.42</v>
      </c>
      <c r="E2955" s="2">
        <v>1030.0</v>
      </c>
      <c r="F2955" s="2">
        <v>320.48</v>
      </c>
      <c r="G2955" s="4">
        <f t="shared" si="3"/>
        <v>9341292.24</v>
      </c>
      <c r="H2955" s="4">
        <f t="shared" si="1"/>
        <v>0.9787178464</v>
      </c>
      <c r="I2955" s="4" t="str">
        <f t="shared" si="2"/>
        <v>C</v>
      </c>
    </row>
    <row r="2956">
      <c r="A2956" s="2">
        <v>2955.0</v>
      </c>
      <c r="B2956" s="2" t="s">
        <v>3448</v>
      </c>
      <c r="C2956" s="2" t="s">
        <v>3449</v>
      </c>
      <c r="D2956" s="2">
        <v>0.42</v>
      </c>
      <c r="E2956" s="2">
        <v>1384.0</v>
      </c>
      <c r="F2956" s="2">
        <v>320.13</v>
      </c>
      <c r="G2956" s="4">
        <f t="shared" si="3"/>
        <v>9341612.37</v>
      </c>
      <c r="H2956" s="4">
        <f t="shared" si="1"/>
        <v>0.9787513875</v>
      </c>
      <c r="I2956" s="4" t="str">
        <f t="shared" si="2"/>
        <v>C</v>
      </c>
    </row>
    <row r="2957">
      <c r="A2957" s="2">
        <v>2956.0</v>
      </c>
      <c r="B2957" s="2">
        <v>21816.0</v>
      </c>
      <c r="C2957" s="2" t="s">
        <v>3450</v>
      </c>
      <c r="D2957" s="2">
        <v>1.45</v>
      </c>
      <c r="E2957" s="2">
        <v>212.0</v>
      </c>
      <c r="F2957" s="2">
        <v>320.12</v>
      </c>
      <c r="G2957" s="4">
        <f t="shared" si="3"/>
        <v>9341932.49</v>
      </c>
      <c r="H2957" s="4">
        <f t="shared" si="1"/>
        <v>0.9787849275</v>
      </c>
      <c r="I2957" s="4" t="str">
        <f t="shared" si="2"/>
        <v>C</v>
      </c>
    </row>
    <row r="2958">
      <c r="A2958" s="2">
        <v>2957.0</v>
      </c>
      <c r="B2958" s="2">
        <v>23224.0</v>
      </c>
      <c r="C2958" s="2" t="s">
        <v>3451</v>
      </c>
      <c r="D2958" s="2">
        <v>0.83</v>
      </c>
      <c r="E2958" s="2">
        <v>363.0</v>
      </c>
      <c r="F2958" s="2">
        <v>319.53</v>
      </c>
      <c r="G2958" s="4">
        <f t="shared" si="3"/>
        <v>9342252.02</v>
      </c>
      <c r="H2958" s="4">
        <f t="shared" si="1"/>
        <v>0.9788184057</v>
      </c>
      <c r="I2958" s="4" t="str">
        <f t="shared" si="2"/>
        <v>C</v>
      </c>
    </row>
    <row r="2959">
      <c r="A2959" s="2">
        <v>2958.0</v>
      </c>
      <c r="B2959" s="2" t="s">
        <v>3452</v>
      </c>
      <c r="C2959" s="2" t="s">
        <v>3453</v>
      </c>
      <c r="D2959" s="2">
        <v>5.45</v>
      </c>
      <c r="E2959" s="2">
        <v>60.0</v>
      </c>
      <c r="F2959" s="2">
        <v>319.48</v>
      </c>
      <c r="G2959" s="4">
        <f t="shared" si="3"/>
        <v>9342571.5</v>
      </c>
      <c r="H2959" s="4">
        <f t="shared" si="1"/>
        <v>0.9788518787</v>
      </c>
      <c r="I2959" s="4" t="str">
        <f t="shared" si="2"/>
        <v>C</v>
      </c>
    </row>
    <row r="2960">
      <c r="A2960" s="2">
        <v>2959.0</v>
      </c>
      <c r="B2960" s="2">
        <v>21665.0</v>
      </c>
      <c r="C2960" s="2" t="s">
        <v>3454</v>
      </c>
      <c r="D2960" s="2">
        <v>0.65</v>
      </c>
      <c r="E2960" s="2">
        <v>440.0</v>
      </c>
      <c r="F2960" s="2">
        <v>319.4</v>
      </c>
      <c r="G2960" s="4">
        <f t="shared" si="3"/>
        <v>9342890.9</v>
      </c>
      <c r="H2960" s="4">
        <f t="shared" si="1"/>
        <v>0.9788853433</v>
      </c>
      <c r="I2960" s="4" t="str">
        <f t="shared" si="2"/>
        <v>C</v>
      </c>
    </row>
    <row r="2961">
      <c r="A2961" s="2">
        <v>2960.0</v>
      </c>
      <c r="B2961" s="2" t="s">
        <v>3455</v>
      </c>
      <c r="C2961" s="2" t="s">
        <v>3456</v>
      </c>
      <c r="D2961" s="2">
        <v>1.66</v>
      </c>
      <c r="E2961" s="2">
        <v>166.0</v>
      </c>
      <c r="F2961" s="2">
        <v>318.68</v>
      </c>
      <c r="G2961" s="4">
        <f t="shared" si="3"/>
        <v>9343209.58</v>
      </c>
      <c r="H2961" s="4">
        <f t="shared" si="1"/>
        <v>0.9789187324</v>
      </c>
      <c r="I2961" s="4" t="str">
        <f t="shared" si="2"/>
        <v>C</v>
      </c>
    </row>
    <row r="2962">
      <c r="A2962" s="2">
        <v>2961.0</v>
      </c>
      <c r="B2962" s="2" t="s">
        <v>3457</v>
      </c>
      <c r="C2962" s="2" t="s">
        <v>1978</v>
      </c>
      <c r="D2962" s="2">
        <v>11.02</v>
      </c>
      <c r="E2962" s="2">
        <v>29.0</v>
      </c>
      <c r="F2962" s="2">
        <v>318.24</v>
      </c>
      <c r="G2962" s="4">
        <f t="shared" si="3"/>
        <v>9343527.82</v>
      </c>
      <c r="H2962" s="4">
        <f t="shared" si="1"/>
        <v>0.9789520755</v>
      </c>
      <c r="I2962" s="4" t="str">
        <f t="shared" si="2"/>
        <v>C</v>
      </c>
    </row>
    <row r="2963">
      <c r="A2963" s="2">
        <v>2962.0</v>
      </c>
      <c r="B2963" s="2">
        <v>23492.0</v>
      </c>
      <c r="C2963" s="2" t="s">
        <v>3458</v>
      </c>
      <c r="D2963" s="2">
        <v>8.25</v>
      </c>
      <c r="E2963" s="2">
        <v>38.0</v>
      </c>
      <c r="F2963" s="2">
        <v>317.69</v>
      </c>
      <c r="G2963" s="4">
        <f t="shared" si="3"/>
        <v>9343845.51</v>
      </c>
      <c r="H2963" s="4">
        <f t="shared" si="1"/>
        <v>0.9789853609</v>
      </c>
      <c r="I2963" s="4" t="str">
        <f t="shared" si="2"/>
        <v>C</v>
      </c>
    </row>
    <row r="2964">
      <c r="A2964" s="2">
        <v>2963.0</v>
      </c>
      <c r="B2964" s="2">
        <v>23456.0</v>
      </c>
      <c r="C2964" s="2" t="s">
        <v>3459</v>
      </c>
      <c r="D2964" s="2">
        <v>4.15</v>
      </c>
      <c r="E2964" s="2">
        <v>79.0</v>
      </c>
      <c r="F2964" s="2">
        <v>317.05</v>
      </c>
      <c r="G2964" s="4">
        <f t="shared" si="3"/>
        <v>9344162.56</v>
      </c>
      <c r="H2964" s="4">
        <f t="shared" si="1"/>
        <v>0.9790185793</v>
      </c>
      <c r="I2964" s="4" t="str">
        <f t="shared" si="2"/>
        <v>C</v>
      </c>
    </row>
    <row r="2965">
      <c r="A2965" s="2">
        <v>2964.0</v>
      </c>
      <c r="B2965" s="2">
        <v>84919.0</v>
      </c>
      <c r="C2965" s="2" t="s">
        <v>3460</v>
      </c>
      <c r="D2965" s="2">
        <v>6.95</v>
      </c>
      <c r="E2965" s="2">
        <v>63.0</v>
      </c>
      <c r="F2965" s="2">
        <v>316.54</v>
      </c>
      <c r="G2965" s="4">
        <f t="shared" si="3"/>
        <v>9344479.1</v>
      </c>
      <c r="H2965" s="4">
        <f t="shared" si="1"/>
        <v>0.9790517442</v>
      </c>
      <c r="I2965" s="4" t="str">
        <f t="shared" si="2"/>
        <v>C</v>
      </c>
    </row>
    <row r="2966">
      <c r="A2966" s="2">
        <v>2965.0</v>
      </c>
      <c r="B2966" s="2">
        <v>22263.0</v>
      </c>
      <c r="C2966" s="2" t="s">
        <v>3461</v>
      </c>
      <c r="D2966" s="2">
        <v>0.85</v>
      </c>
      <c r="E2966" s="2">
        <v>421.0</v>
      </c>
      <c r="F2966" s="2">
        <v>316.24</v>
      </c>
      <c r="G2966" s="4">
        <f t="shared" si="3"/>
        <v>9344795.34</v>
      </c>
      <c r="H2966" s="4">
        <f t="shared" si="1"/>
        <v>0.9790848777</v>
      </c>
      <c r="I2966" s="4" t="str">
        <f t="shared" si="2"/>
        <v>C</v>
      </c>
    </row>
    <row r="2967">
      <c r="A2967" s="2">
        <v>2966.0</v>
      </c>
      <c r="B2967" s="2">
        <v>22042.0</v>
      </c>
      <c r="C2967" s="2" t="s">
        <v>3462</v>
      </c>
      <c r="D2967" s="2">
        <v>0.42</v>
      </c>
      <c r="E2967" s="2">
        <v>875.0</v>
      </c>
      <c r="F2967" s="2">
        <v>316.12</v>
      </c>
      <c r="G2967" s="4">
        <f t="shared" si="3"/>
        <v>9345111.46</v>
      </c>
      <c r="H2967" s="4">
        <f t="shared" si="1"/>
        <v>0.9791179986</v>
      </c>
      <c r="I2967" s="4" t="str">
        <f t="shared" si="2"/>
        <v>C</v>
      </c>
    </row>
    <row r="2968">
      <c r="A2968" s="2">
        <v>2967.0</v>
      </c>
      <c r="B2968" s="2">
        <v>23453.0</v>
      </c>
      <c r="C2968" s="2" t="s">
        <v>3463</v>
      </c>
      <c r="D2968" s="2">
        <v>1.95</v>
      </c>
      <c r="E2968" s="2">
        <v>162.0</v>
      </c>
      <c r="F2968" s="2">
        <v>315.79</v>
      </c>
      <c r="G2968" s="4">
        <f t="shared" si="3"/>
        <v>9345427.25</v>
      </c>
      <c r="H2968" s="4">
        <f t="shared" si="1"/>
        <v>0.979151085</v>
      </c>
      <c r="I2968" s="4" t="str">
        <f t="shared" si="2"/>
        <v>C</v>
      </c>
    </row>
    <row r="2969">
      <c r="A2969" s="2">
        <v>2968.0</v>
      </c>
      <c r="B2969" s="2">
        <v>20819.0</v>
      </c>
      <c r="C2969" s="2" t="s">
        <v>3464</v>
      </c>
      <c r="D2969" s="2">
        <v>3.75</v>
      </c>
      <c r="E2969" s="2">
        <v>114.0</v>
      </c>
      <c r="F2969" s="2">
        <v>315.74</v>
      </c>
      <c r="G2969" s="4">
        <f t="shared" si="3"/>
        <v>9345742.99</v>
      </c>
      <c r="H2969" s="4">
        <f t="shared" si="1"/>
        <v>0.9791841661</v>
      </c>
      <c r="I2969" s="4" t="str">
        <f t="shared" si="2"/>
        <v>C</v>
      </c>
    </row>
    <row r="2970">
      <c r="A2970" s="2">
        <v>2969.0</v>
      </c>
      <c r="B2970" s="2">
        <v>23216.0</v>
      </c>
      <c r="C2970" s="2" t="s">
        <v>3465</v>
      </c>
      <c r="D2970" s="2">
        <v>1.25</v>
      </c>
      <c r="E2970" s="2">
        <v>262.0</v>
      </c>
      <c r="F2970" s="2">
        <v>315.36</v>
      </c>
      <c r="G2970" s="4">
        <f t="shared" si="3"/>
        <v>9346058.35</v>
      </c>
      <c r="H2970" s="4">
        <f t="shared" si="1"/>
        <v>0.9792172074</v>
      </c>
      <c r="I2970" s="4" t="str">
        <f t="shared" si="2"/>
        <v>C</v>
      </c>
    </row>
    <row r="2971">
      <c r="A2971" s="2">
        <v>2970.0</v>
      </c>
      <c r="B2971" s="2" t="s">
        <v>3466</v>
      </c>
      <c r="C2971" s="2" t="s">
        <v>3467</v>
      </c>
      <c r="D2971" s="2">
        <v>45.0</v>
      </c>
      <c r="E2971" s="2">
        <v>6.0</v>
      </c>
      <c r="F2971" s="2">
        <v>315.0</v>
      </c>
      <c r="G2971" s="4">
        <f t="shared" si="3"/>
        <v>9346373.35</v>
      </c>
      <c r="H2971" s="4">
        <f t="shared" si="1"/>
        <v>0.979250211</v>
      </c>
      <c r="I2971" s="4" t="str">
        <f t="shared" si="2"/>
        <v>C</v>
      </c>
    </row>
    <row r="2972">
      <c r="A2972" s="2">
        <v>2971.0</v>
      </c>
      <c r="B2972" s="2">
        <v>23019.0</v>
      </c>
      <c r="C2972" s="2" t="s">
        <v>3468</v>
      </c>
      <c r="D2972" s="2">
        <v>8.25</v>
      </c>
      <c r="E2972" s="2">
        <v>40.0</v>
      </c>
      <c r="F2972" s="2">
        <v>314.53</v>
      </c>
      <c r="G2972" s="4">
        <f t="shared" si="3"/>
        <v>9346687.88</v>
      </c>
      <c r="H2972" s="4">
        <f t="shared" si="1"/>
        <v>0.9792831653</v>
      </c>
      <c r="I2972" s="4" t="str">
        <f t="shared" si="2"/>
        <v>C</v>
      </c>
    </row>
    <row r="2973">
      <c r="A2973" s="2">
        <v>2972.0</v>
      </c>
      <c r="B2973" s="2" t="s">
        <v>3469</v>
      </c>
      <c r="C2973" s="2" t="s">
        <v>3470</v>
      </c>
      <c r="D2973" s="2">
        <v>0.29</v>
      </c>
      <c r="E2973" s="2">
        <v>1222.0</v>
      </c>
      <c r="F2973" s="2">
        <v>314.2</v>
      </c>
      <c r="G2973" s="4">
        <f t="shared" si="3"/>
        <v>9347002.08</v>
      </c>
      <c r="H2973" s="4">
        <f t="shared" si="1"/>
        <v>0.9793160851</v>
      </c>
      <c r="I2973" s="4" t="str">
        <f t="shared" si="2"/>
        <v>C</v>
      </c>
    </row>
    <row r="2974">
      <c r="A2974" s="2">
        <v>2973.0</v>
      </c>
      <c r="B2974" s="2">
        <v>23027.0</v>
      </c>
      <c r="C2974" s="2" t="s">
        <v>3471</v>
      </c>
      <c r="D2974" s="2">
        <v>2.08</v>
      </c>
      <c r="E2974" s="2">
        <v>148.0</v>
      </c>
      <c r="F2974" s="2">
        <v>313.98</v>
      </c>
      <c r="G2974" s="4">
        <f t="shared" si="3"/>
        <v>9347316.06</v>
      </c>
      <c r="H2974" s="4">
        <f t="shared" si="1"/>
        <v>0.9793489818</v>
      </c>
      <c r="I2974" s="4" t="str">
        <f t="shared" si="2"/>
        <v>C</v>
      </c>
    </row>
    <row r="2975">
      <c r="A2975" s="2">
        <v>2974.0</v>
      </c>
      <c r="B2975" s="2" t="s">
        <v>3472</v>
      </c>
      <c r="C2975" s="2" t="s">
        <v>3473</v>
      </c>
      <c r="D2975" s="2">
        <v>0.85</v>
      </c>
      <c r="E2975" s="2">
        <v>390.0</v>
      </c>
      <c r="F2975" s="2">
        <v>313.92</v>
      </c>
      <c r="G2975" s="4">
        <f t="shared" si="3"/>
        <v>9347629.98</v>
      </c>
      <c r="H2975" s="4">
        <f t="shared" si="1"/>
        <v>0.9793818722</v>
      </c>
      <c r="I2975" s="4" t="str">
        <f t="shared" si="2"/>
        <v>C</v>
      </c>
    </row>
    <row r="2976">
      <c r="A2976" s="2">
        <v>2975.0</v>
      </c>
      <c r="B2976" s="2">
        <v>23471.0</v>
      </c>
      <c r="C2976" s="2" t="s">
        <v>3474</v>
      </c>
      <c r="D2976" s="2">
        <v>9.95</v>
      </c>
      <c r="E2976" s="2">
        <v>33.0</v>
      </c>
      <c r="F2976" s="2">
        <v>313.37</v>
      </c>
      <c r="G2976" s="4">
        <f t="shared" si="3"/>
        <v>9347943.35</v>
      </c>
      <c r="H2976" s="4">
        <f t="shared" si="1"/>
        <v>0.979414705</v>
      </c>
      <c r="I2976" s="4" t="str">
        <f t="shared" si="2"/>
        <v>C</v>
      </c>
    </row>
    <row r="2977">
      <c r="A2977" s="2">
        <v>2976.0</v>
      </c>
      <c r="B2977" s="2" t="s">
        <v>3475</v>
      </c>
      <c r="C2977" s="2" t="s">
        <v>3476</v>
      </c>
      <c r="D2977" s="2">
        <v>0.42</v>
      </c>
      <c r="E2977" s="2">
        <v>1012.0</v>
      </c>
      <c r="F2977" s="2">
        <v>313.12</v>
      </c>
      <c r="G2977" s="4">
        <f t="shared" si="3"/>
        <v>9348256.47</v>
      </c>
      <c r="H2977" s="4">
        <f t="shared" si="1"/>
        <v>0.9794475116</v>
      </c>
      <c r="I2977" s="4" t="str">
        <f t="shared" si="2"/>
        <v>C</v>
      </c>
    </row>
    <row r="2978">
      <c r="A2978" s="2">
        <v>2977.0</v>
      </c>
      <c r="B2978" s="2">
        <v>20694.0</v>
      </c>
      <c r="C2978" s="2" t="s">
        <v>3477</v>
      </c>
      <c r="D2978" s="2">
        <v>3.75</v>
      </c>
      <c r="E2978" s="2">
        <v>84.0</v>
      </c>
      <c r="F2978" s="2">
        <v>313.04</v>
      </c>
      <c r="G2978" s="4">
        <f t="shared" si="3"/>
        <v>9348569.51</v>
      </c>
      <c r="H2978" s="4">
        <f t="shared" si="1"/>
        <v>0.9794803099</v>
      </c>
      <c r="I2978" s="4" t="str">
        <f t="shared" si="2"/>
        <v>C</v>
      </c>
    </row>
    <row r="2979">
      <c r="A2979" s="2">
        <v>2978.0</v>
      </c>
      <c r="B2979" s="2">
        <v>85218.0</v>
      </c>
      <c r="C2979" s="2" t="s">
        <v>3478</v>
      </c>
      <c r="D2979" s="2">
        <v>0.88</v>
      </c>
      <c r="E2979" s="2">
        <v>996.0</v>
      </c>
      <c r="F2979" s="2">
        <v>312.6</v>
      </c>
      <c r="G2979" s="4">
        <f t="shared" si="3"/>
        <v>9348882.11</v>
      </c>
      <c r="H2979" s="4">
        <f t="shared" si="1"/>
        <v>0.979513062</v>
      </c>
      <c r="I2979" s="4" t="str">
        <f t="shared" si="2"/>
        <v>C</v>
      </c>
    </row>
    <row r="2980">
      <c r="A2980" s="2">
        <v>2979.0</v>
      </c>
      <c r="B2980" s="2">
        <v>21004.0</v>
      </c>
      <c r="C2980" s="2" t="s">
        <v>3479</v>
      </c>
      <c r="D2980" s="2">
        <v>4.25</v>
      </c>
      <c r="E2980" s="2">
        <v>68.0</v>
      </c>
      <c r="F2980" s="2">
        <v>312.54</v>
      </c>
      <c r="G2980" s="4">
        <f t="shared" si="3"/>
        <v>9349194.65</v>
      </c>
      <c r="H2980" s="4">
        <f t="shared" si="1"/>
        <v>0.9795458078</v>
      </c>
      <c r="I2980" s="4" t="str">
        <f t="shared" si="2"/>
        <v>C</v>
      </c>
    </row>
    <row r="2981">
      <c r="A2981" s="2">
        <v>2980.0</v>
      </c>
      <c r="B2981" s="2" t="s">
        <v>3480</v>
      </c>
      <c r="C2981" s="2" t="s">
        <v>3481</v>
      </c>
      <c r="D2981" s="2">
        <v>2.95</v>
      </c>
      <c r="E2981" s="2">
        <v>158.0</v>
      </c>
      <c r="F2981" s="2">
        <v>312.1</v>
      </c>
      <c r="G2981" s="4">
        <f t="shared" si="3"/>
        <v>9349506.75</v>
      </c>
      <c r="H2981" s="4">
        <f t="shared" si="1"/>
        <v>0.9795785076</v>
      </c>
      <c r="I2981" s="4" t="str">
        <f t="shared" si="2"/>
        <v>C</v>
      </c>
    </row>
    <row r="2982">
      <c r="A2982" s="2">
        <v>2981.0</v>
      </c>
      <c r="B2982" s="2" t="s">
        <v>3482</v>
      </c>
      <c r="C2982" s="2" t="s">
        <v>3483</v>
      </c>
      <c r="D2982" s="2">
        <v>1.25</v>
      </c>
      <c r="E2982" s="2">
        <v>406.0</v>
      </c>
      <c r="F2982" s="2">
        <v>311.5</v>
      </c>
      <c r="G2982" s="4">
        <f t="shared" si="3"/>
        <v>9349818.25</v>
      </c>
      <c r="H2982" s="4">
        <f t="shared" si="1"/>
        <v>0.9796111445</v>
      </c>
      <c r="I2982" s="4" t="str">
        <f t="shared" si="2"/>
        <v>C</v>
      </c>
    </row>
    <row r="2983">
      <c r="A2983" s="2">
        <v>2982.0</v>
      </c>
      <c r="B2983" s="2">
        <v>23425.0</v>
      </c>
      <c r="C2983" s="2" t="s">
        <v>3484</v>
      </c>
      <c r="D2983" s="2">
        <v>2.49</v>
      </c>
      <c r="E2983" s="2">
        <v>138.0</v>
      </c>
      <c r="F2983" s="2">
        <v>310.72</v>
      </c>
      <c r="G2983" s="4">
        <f t="shared" si="3"/>
        <v>9350128.97</v>
      </c>
      <c r="H2983" s="4">
        <f t="shared" si="1"/>
        <v>0.9796436996</v>
      </c>
      <c r="I2983" s="4" t="str">
        <f t="shared" si="2"/>
        <v>C</v>
      </c>
    </row>
    <row r="2984">
      <c r="A2984" s="2">
        <v>2983.0</v>
      </c>
      <c r="B2984" s="2">
        <v>20689.0</v>
      </c>
      <c r="C2984" s="2" t="s">
        <v>3485</v>
      </c>
      <c r="D2984" s="2">
        <v>5.95</v>
      </c>
      <c r="E2984" s="2">
        <v>215.0</v>
      </c>
      <c r="F2984" s="2">
        <v>310.03</v>
      </c>
      <c r="G2984" s="4">
        <f t="shared" si="3"/>
        <v>9350439</v>
      </c>
      <c r="H2984" s="4">
        <f t="shared" si="1"/>
        <v>0.9796761825</v>
      </c>
      <c r="I2984" s="4" t="str">
        <f t="shared" si="2"/>
        <v>C</v>
      </c>
    </row>
    <row r="2985">
      <c r="A2985" s="2">
        <v>2984.0</v>
      </c>
      <c r="B2985" s="2">
        <v>23408.0</v>
      </c>
      <c r="C2985" s="2" t="s">
        <v>3486</v>
      </c>
      <c r="D2985" s="2">
        <v>2.08</v>
      </c>
      <c r="E2985" s="2">
        <v>149.0</v>
      </c>
      <c r="F2985" s="2">
        <v>309.92</v>
      </c>
      <c r="G2985" s="4">
        <f t="shared" si="3"/>
        <v>9350748.92</v>
      </c>
      <c r="H2985" s="4">
        <f t="shared" si="1"/>
        <v>0.9797086538</v>
      </c>
      <c r="I2985" s="4" t="str">
        <f t="shared" si="2"/>
        <v>C</v>
      </c>
    </row>
    <row r="2986">
      <c r="A2986" s="2">
        <v>2985.0</v>
      </c>
      <c r="B2986" s="2" t="s">
        <v>3487</v>
      </c>
      <c r="C2986" s="2" t="s">
        <v>3488</v>
      </c>
      <c r="D2986" s="2">
        <v>0.42</v>
      </c>
      <c r="E2986" s="2">
        <v>738.0</v>
      </c>
      <c r="F2986" s="2">
        <v>309.75</v>
      </c>
      <c r="G2986" s="4">
        <f t="shared" si="3"/>
        <v>9351058.67</v>
      </c>
      <c r="H2986" s="4">
        <f t="shared" si="1"/>
        <v>0.9797411073</v>
      </c>
      <c r="I2986" s="4" t="str">
        <f t="shared" si="2"/>
        <v>C</v>
      </c>
    </row>
    <row r="2987">
      <c r="A2987" s="2">
        <v>2986.0</v>
      </c>
      <c r="B2987" s="2" t="s">
        <v>3489</v>
      </c>
      <c r="C2987" s="2" t="s">
        <v>3490</v>
      </c>
      <c r="D2987" s="2">
        <v>2.55</v>
      </c>
      <c r="E2987" s="2">
        <v>214.0</v>
      </c>
      <c r="F2987" s="2">
        <v>309.67</v>
      </c>
      <c r="G2987" s="4">
        <f t="shared" si="3"/>
        <v>9351368.34</v>
      </c>
      <c r="H2987" s="4">
        <f t="shared" si="1"/>
        <v>0.9797735525</v>
      </c>
      <c r="I2987" s="4" t="str">
        <f t="shared" si="2"/>
        <v>C</v>
      </c>
    </row>
    <row r="2988">
      <c r="A2988" s="2">
        <v>2987.0</v>
      </c>
      <c r="B2988" s="2">
        <v>22043.0</v>
      </c>
      <c r="C2988" s="2" t="s">
        <v>3491</v>
      </c>
      <c r="D2988" s="2">
        <v>0.42</v>
      </c>
      <c r="E2988" s="2">
        <v>1098.0</v>
      </c>
      <c r="F2988" s="2">
        <v>309.62</v>
      </c>
      <c r="G2988" s="4">
        <f t="shared" si="3"/>
        <v>9351677.96</v>
      </c>
      <c r="H2988" s="4">
        <f t="shared" si="1"/>
        <v>0.9798059924</v>
      </c>
      <c r="I2988" s="4" t="str">
        <f t="shared" si="2"/>
        <v>C</v>
      </c>
    </row>
    <row r="2989">
      <c r="A2989" s="2">
        <v>2988.0</v>
      </c>
      <c r="B2989" s="2">
        <v>21764.0</v>
      </c>
      <c r="C2989" s="2" t="s">
        <v>3492</v>
      </c>
      <c r="D2989" s="2">
        <v>39.95</v>
      </c>
      <c r="E2989" s="2">
        <v>8.0</v>
      </c>
      <c r="F2989" s="2">
        <v>309.6</v>
      </c>
      <c r="G2989" s="4">
        <f t="shared" si="3"/>
        <v>9351987.56</v>
      </c>
      <c r="H2989" s="4">
        <f t="shared" si="1"/>
        <v>0.9798384302</v>
      </c>
      <c r="I2989" s="4" t="str">
        <f t="shared" si="2"/>
        <v>C</v>
      </c>
    </row>
    <row r="2990">
      <c r="A2990" s="2">
        <v>2989.0</v>
      </c>
      <c r="B2990" s="2">
        <v>16012.0</v>
      </c>
      <c r="C2990" s="2" t="s">
        <v>3493</v>
      </c>
      <c r="D2990" s="2">
        <v>0.21</v>
      </c>
      <c r="E2990" s="2">
        <v>1474.0</v>
      </c>
      <c r="F2990" s="2">
        <v>309.04</v>
      </c>
      <c r="G2990" s="4">
        <f t="shared" si="3"/>
        <v>9352296.6</v>
      </c>
      <c r="H2990" s="4">
        <f t="shared" si="1"/>
        <v>0.9798708093</v>
      </c>
      <c r="I2990" s="4" t="str">
        <f t="shared" si="2"/>
        <v>C</v>
      </c>
    </row>
    <row r="2991">
      <c r="A2991" s="2">
        <v>2990.0</v>
      </c>
      <c r="B2991" s="2">
        <v>20696.0</v>
      </c>
      <c r="C2991" s="2" t="s">
        <v>3494</v>
      </c>
      <c r="D2991" s="2">
        <v>3.75</v>
      </c>
      <c r="E2991" s="2">
        <v>76.0</v>
      </c>
      <c r="F2991" s="2">
        <v>308.97</v>
      </c>
      <c r="G2991" s="4">
        <f t="shared" si="3"/>
        <v>9352605.57</v>
      </c>
      <c r="H2991" s="4">
        <f t="shared" si="1"/>
        <v>0.9799031811</v>
      </c>
      <c r="I2991" s="4" t="str">
        <f t="shared" si="2"/>
        <v>C</v>
      </c>
    </row>
    <row r="2992">
      <c r="A2992" s="2">
        <v>2991.0</v>
      </c>
      <c r="B2992" s="2">
        <v>84051.0</v>
      </c>
      <c r="C2992" s="2" t="s">
        <v>3495</v>
      </c>
      <c r="D2992" s="2">
        <v>0.85</v>
      </c>
      <c r="E2992" s="2">
        <v>378.0</v>
      </c>
      <c r="F2992" s="2">
        <v>308.66</v>
      </c>
      <c r="G2992" s="4">
        <f t="shared" si="3"/>
        <v>9352914.23</v>
      </c>
      <c r="H2992" s="4">
        <f t="shared" si="1"/>
        <v>0.9799355204</v>
      </c>
      <c r="I2992" s="4" t="str">
        <f t="shared" si="2"/>
        <v>C</v>
      </c>
    </row>
    <row r="2993">
      <c r="A2993" s="2">
        <v>2992.0</v>
      </c>
      <c r="B2993" s="2">
        <v>82095.0</v>
      </c>
      <c r="C2993" s="2" t="s">
        <v>3496</v>
      </c>
      <c r="D2993" s="2">
        <v>4.96</v>
      </c>
      <c r="E2993" s="2">
        <v>51.0</v>
      </c>
      <c r="F2993" s="2">
        <v>308.1</v>
      </c>
      <c r="G2993" s="4">
        <f t="shared" si="3"/>
        <v>9353222.33</v>
      </c>
      <c r="H2993" s="4">
        <f t="shared" si="1"/>
        <v>0.9799678011</v>
      </c>
      <c r="I2993" s="4" t="str">
        <f t="shared" si="2"/>
        <v>C</v>
      </c>
    </row>
    <row r="2994">
      <c r="A2994" s="2">
        <v>2993.0</v>
      </c>
      <c r="B2994" s="2">
        <v>23180.0</v>
      </c>
      <c r="C2994" s="2" t="s">
        <v>3497</v>
      </c>
      <c r="D2994" s="2">
        <v>4.95</v>
      </c>
      <c r="E2994" s="2">
        <v>60.0</v>
      </c>
      <c r="F2994" s="2">
        <v>308.07</v>
      </c>
      <c r="G2994" s="4">
        <f t="shared" si="3"/>
        <v>9353530.4</v>
      </c>
      <c r="H2994" s="4">
        <f t="shared" si="1"/>
        <v>0.9800000786</v>
      </c>
      <c r="I2994" s="4" t="str">
        <f t="shared" si="2"/>
        <v>C</v>
      </c>
    </row>
    <row r="2995">
      <c r="A2995" s="2">
        <v>2994.0</v>
      </c>
      <c r="B2995" s="2">
        <v>72772.0</v>
      </c>
      <c r="C2995" s="2" t="s">
        <v>3498</v>
      </c>
      <c r="D2995" s="2">
        <v>1.25</v>
      </c>
      <c r="E2995" s="2">
        <v>228.0</v>
      </c>
      <c r="F2995" s="2">
        <v>307.92</v>
      </c>
      <c r="G2995" s="4">
        <f t="shared" si="3"/>
        <v>9353838.32</v>
      </c>
      <c r="H2995" s="4">
        <f t="shared" si="1"/>
        <v>0.9800323404</v>
      </c>
      <c r="I2995" s="4" t="str">
        <f t="shared" si="2"/>
        <v>C</v>
      </c>
    </row>
    <row r="2996">
      <c r="A2996" s="2">
        <v>2995.0</v>
      </c>
      <c r="B2996" s="2">
        <v>22346.0</v>
      </c>
      <c r="C2996" s="2" t="s">
        <v>3499</v>
      </c>
      <c r="D2996" s="2">
        <v>0.85</v>
      </c>
      <c r="E2996" s="2">
        <v>652.0</v>
      </c>
      <c r="F2996" s="2">
        <v>307.02</v>
      </c>
      <c r="G2996" s="4">
        <f t="shared" si="3"/>
        <v>9354145.34</v>
      </c>
      <c r="H2996" s="4">
        <f t="shared" si="1"/>
        <v>0.9800645079</v>
      </c>
      <c r="I2996" s="4" t="str">
        <f t="shared" si="2"/>
        <v>C</v>
      </c>
    </row>
    <row r="2997">
      <c r="A2997" s="2">
        <v>2996.0</v>
      </c>
      <c r="B2997" s="2" t="s">
        <v>3500</v>
      </c>
      <c r="C2997" s="2" t="s">
        <v>3501</v>
      </c>
      <c r="D2997" s="2">
        <v>4.24</v>
      </c>
      <c r="E2997" s="2">
        <v>72.0</v>
      </c>
      <c r="F2997" s="2">
        <v>306.84</v>
      </c>
      <c r="G2997" s="4">
        <f t="shared" si="3"/>
        <v>9354452.18</v>
      </c>
      <c r="H2997" s="4">
        <f t="shared" si="1"/>
        <v>0.9800966565</v>
      </c>
      <c r="I2997" s="4" t="str">
        <f t="shared" si="2"/>
        <v>C</v>
      </c>
    </row>
    <row r="2998">
      <c r="A2998" s="2">
        <v>2997.0</v>
      </c>
      <c r="B2998" s="2" t="s">
        <v>3502</v>
      </c>
      <c r="C2998" s="2" t="s">
        <v>3503</v>
      </c>
      <c r="D2998" s="2">
        <v>1.95</v>
      </c>
      <c r="E2998" s="2">
        <v>146.0</v>
      </c>
      <c r="F2998" s="2">
        <v>306.76</v>
      </c>
      <c r="G2998" s="4">
        <f t="shared" si="3"/>
        <v>9354758.94</v>
      </c>
      <c r="H2998" s="4">
        <f t="shared" si="1"/>
        <v>0.9801287968</v>
      </c>
      <c r="I2998" s="4" t="str">
        <f t="shared" si="2"/>
        <v>C</v>
      </c>
    </row>
    <row r="2999">
      <c r="A2999" s="2">
        <v>2998.0</v>
      </c>
      <c r="B2999" s="2" t="s">
        <v>3504</v>
      </c>
      <c r="C2999" s="2" t="s">
        <v>3505</v>
      </c>
      <c r="D2999" s="2">
        <v>0.42</v>
      </c>
      <c r="E2999" s="2">
        <v>719.0</v>
      </c>
      <c r="F2999" s="2">
        <v>306.38</v>
      </c>
      <c r="G2999" s="4">
        <f t="shared" si="3"/>
        <v>9355065.32</v>
      </c>
      <c r="H2999" s="4">
        <f t="shared" si="1"/>
        <v>0.9801608972</v>
      </c>
      <c r="I2999" s="4" t="str">
        <f t="shared" si="2"/>
        <v>C</v>
      </c>
    </row>
    <row r="3000">
      <c r="A3000" s="2">
        <v>2999.0</v>
      </c>
      <c r="B3000" s="2" t="s">
        <v>3506</v>
      </c>
      <c r="C3000" s="2" t="s">
        <v>1819</v>
      </c>
      <c r="D3000" s="2">
        <v>3.29</v>
      </c>
      <c r="E3000" s="2">
        <v>92.0</v>
      </c>
      <c r="F3000" s="2">
        <v>306.32</v>
      </c>
      <c r="G3000" s="4">
        <f t="shared" si="3"/>
        <v>9355371.64</v>
      </c>
      <c r="H3000" s="4">
        <f t="shared" si="1"/>
        <v>0.9801929914</v>
      </c>
      <c r="I3000" s="4" t="str">
        <f t="shared" si="2"/>
        <v>C</v>
      </c>
    </row>
    <row r="3001">
      <c r="A3001" s="2">
        <v>3000.0</v>
      </c>
      <c r="B3001" s="2">
        <v>37351.0</v>
      </c>
      <c r="C3001" s="2" t="s">
        <v>3507</v>
      </c>
      <c r="D3001" s="2">
        <v>1.25</v>
      </c>
      <c r="E3001" s="2">
        <v>2702.0</v>
      </c>
      <c r="F3001" s="2">
        <v>306.25</v>
      </c>
      <c r="G3001" s="4">
        <f t="shared" si="3"/>
        <v>9355677.89</v>
      </c>
      <c r="H3001" s="4">
        <f t="shared" si="1"/>
        <v>0.9802250782</v>
      </c>
      <c r="I3001" s="4" t="str">
        <f t="shared" si="2"/>
        <v>C</v>
      </c>
    </row>
    <row r="3002">
      <c r="A3002" s="2">
        <v>3001.0</v>
      </c>
      <c r="B3002" s="2">
        <v>23018.0</v>
      </c>
      <c r="C3002" s="2" t="s">
        <v>3508</v>
      </c>
      <c r="D3002" s="2">
        <v>12.5</v>
      </c>
      <c r="E3002" s="2">
        <v>26.0</v>
      </c>
      <c r="F3002" s="2">
        <v>306.08</v>
      </c>
      <c r="G3002" s="4">
        <f t="shared" si="3"/>
        <v>9355983.97</v>
      </c>
      <c r="H3002" s="4">
        <f t="shared" si="1"/>
        <v>0.9802571472</v>
      </c>
      <c r="I3002" s="4" t="str">
        <f t="shared" si="2"/>
        <v>C</v>
      </c>
    </row>
    <row r="3003">
      <c r="A3003" s="2">
        <v>3002.0</v>
      </c>
      <c r="B3003" s="2" t="s">
        <v>3509</v>
      </c>
      <c r="C3003" s="2" t="s">
        <v>3510</v>
      </c>
      <c r="D3003" s="2">
        <v>2.95</v>
      </c>
      <c r="E3003" s="2">
        <v>100.0</v>
      </c>
      <c r="F3003" s="2">
        <v>305.76</v>
      </c>
      <c r="G3003" s="4">
        <f t="shared" si="3"/>
        <v>9356289.73</v>
      </c>
      <c r="H3003" s="4">
        <f t="shared" si="1"/>
        <v>0.9802891827</v>
      </c>
      <c r="I3003" s="4" t="str">
        <f t="shared" si="2"/>
        <v>C</v>
      </c>
    </row>
    <row r="3004">
      <c r="A3004" s="2">
        <v>3003.0</v>
      </c>
      <c r="B3004" s="2">
        <v>35972.0</v>
      </c>
      <c r="C3004" s="2" t="s">
        <v>3511</v>
      </c>
      <c r="D3004" s="2">
        <v>1.25</v>
      </c>
      <c r="E3004" s="2">
        <v>220.0</v>
      </c>
      <c r="F3004" s="2">
        <v>305.69</v>
      </c>
      <c r="G3004" s="4">
        <f t="shared" si="3"/>
        <v>9356595.42</v>
      </c>
      <c r="H3004" s="4">
        <f t="shared" si="1"/>
        <v>0.9803212108</v>
      </c>
      <c r="I3004" s="4" t="str">
        <f t="shared" si="2"/>
        <v>C</v>
      </c>
    </row>
    <row r="3005">
      <c r="A3005" s="2">
        <v>3004.0</v>
      </c>
      <c r="B3005" s="2">
        <v>21173.0</v>
      </c>
      <c r="C3005" s="2" t="s">
        <v>3512</v>
      </c>
      <c r="D3005" s="2">
        <v>1.65</v>
      </c>
      <c r="E3005" s="2">
        <v>171.0</v>
      </c>
      <c r="F3005" s="2">
        <v>305.63</v>
      </c>
      <c r="G3005" s="4">
        <f t="shared" si="3"/>
        <v>9356901.05</v>
      </c>
      <c r="H3005" s="4">
        <f t="shared" si="1"/>
        <v>0.9803532327</v>
      </c>
      <c r="I3005" s="4" t="str">
        <f t="shared" si="2"/>
        <v>C</v>
      </c>
    </row>
    <row r="3006">
      <c r="A3006" s="2">
        <v>3005.0</v>
      </c>
      <c r="B3006" s="2" t="s">
        <v>3513</v>
      </c>
      <c r="C3006" s="2" t="s">
        <v>3514</v>
      </c>
      <c r="D3006" s="2">
        <v>5.95</v>
      </c>
      <c r="E3006" s="2">
        <v>174.0</v>
      </c>
      <c r="F3006" s="2">
        <v>305.53</v>
      </c>
      <c r="G3006" s="4">
        <f t="shared" si="3"/>
        <v>9357206.58</v>
      </c>
      <c r="H3006" s="4">
        <f t="shared" si="1"/>
        <v>0.980385244</v>
      </c>
      <c r="I3006" s="4" t="str">
        <f t="shared" si="2"/>
        <v>C</v>
      </c>
    </row>
    <row r="3007">
      <c r="A3007" s="2">
        <v>3006.0</v>
      </c>
      <c r="B3007" s="2">
        <v>22538.0</v>
      </c>
      <c r="C3007" s="2" t="s">
        <v>3515</v>
      </c>
      <c r="D3007" s="2">
        <v>0.42</v>
      </c>
      <c r="E3007" s="2">
        <v>722.0</v>
      </c>
      <c r="F3007" s="2">
        <v>305.42</v>
      </c>
      <c r="G3007" s="4">
        <f t="shared" si="3"/>
        <v>9357512</v>
      </c>
      <c r="H3007" s="4">
        <f t="shared" si="1"/>
        <v>0.9804172439</v>
      </c>
      <c r="I3007" s="4" t="str">
        <f t="shared" si="2"/>
        <v>C</v>
      </c>
    </row>
    <row r="3008">
      <c r="A3008" s="2">
        <v>3007.0</v>
      </c>
      <c r="B3008" s="2">
        <v>20655.0</v>
      </c>
      <c r="C3008" s="2" t="s">
        <v>3516</v>
      </c>
      <c r="D3008" s="2">
        <v>1.25</v>
      </c>
      <c r="E3008" s="2">
        <v>208.0</v>
      </c>
      <c r="F3008" s="2">
        <v>304.86</v>
      </c>
      <c r="G3008" s="4">
        <f t="shared" si="3"/>
        <v>9357816.86</v>
      </c>
      <c r="H3008" s="4">
        <f t="shared" si="1"/>
        <v>0.9804491851</v>
      </c>
      <c r="I3008" s="4" t="str">
        <f t="shared" si="2"/>
        <v>C</v>
      </c>
    </row>
    <row r="3009">
      <c r="A3009" s="2">
        <v>3008.0</v>
      </c>
      <c r="B3009" s="2">
        <v>21440.0</v>
      </c>
      <c r="C3009" s="2" t="s">
        <v>3517</v>
      </c>
      <c r="D3009" s="2">
        <v>1.25</v>
      </c>
      <c r="E3009" s="2">
        <v>240.0</v>
      </c>
      <c r="F3009" s="2">
        <v>304.4</v>
      </c>
      <c r="G3009" s="4">
        <f t="shared" si="3"/>
        <v>9358121.26</v>
      </c>
      <c r="H3009" s="4">
        <f t="shared" si="1"/>
        <v>0.9804810781</v>
      </c>
      <c r="I3009" s="4" t="str">
        <f t="shared" si="2"/>
        <v>C</v>
      </c>
    </row>
    <row r="3010">
      <c r="A3010" s="2">
        <v>3009.0</v>
      </c>
      <c r="B3010" s="2" t="s">
        <v>3518</v>
      </c>
      <c r="C3010" s="2" t="s">
        <v>3519</v>
      </c>
      <c r="D3010" s="2">
        <v>7.95</v>
      </c>
      <c r="E3010" s="2">
        <v>122.0</v>
      </c>
      <c r="F3010" s="2">
        <v>304.06</v>
      </c>
      <c r="G3010" s="4">
        <f t="shared" si="3"/>
        <v>9358425.32</v>
      </c>
      <c r="H3010" s="4">
        <f t="shared" si="1"/>
        <v>0.9805129354</v>
      </c>
      <c r="I3010" s="4" t="str">
        <f t="shared" si="2"/>
        <v>C</v>
      </c>
    </row>
    <row r="3011">
      <c r="A3011" s="2">
        <v>3010.0</v>
      </c>
      <c r="B3011" s="2" t="s">
        <v>3520</v>
      </c>
      <c r="C3011" s="2" t="s">
        <v>3521</v>
      </c>
      <c r="D3011" s="2">
        <v>8.95</v>
      </c>
      <c r="E3011" s="2">
        <v>34.0</v>
      </c>
      <c r="F3011" s="2">
        <v>303.79</v>
      </c>
      <c r="G3011" s="4">
        <f t="shared" si="3"/>
        <v>9358729.11</v>
      </c>
      <c r="H3011" s="4">
        <f t="shared" si="1"/>
        <v>0.9805447645</v>
      </c>
      <c r="I3011" s="4" t="str">
        <f t="shared" si="2"/>
        <v>C</v>
      </c>
    </row>
    <row r="3012">
      <c r="A3012" s="2">
        <v>3011.0</v>
      </c>
      <c r="B3012" s="2" t="s">
        <v>3522</v>
      </c>
      <c r="C3012" s="2" t="s">
        <v>3523</v>
      </c>
      <c r="D3012" s="2">
        <v>1.95</v>
      </c>
      <c r="E3012" s="2">
        <v>140.0</v>
      </c>
      <c r="F3012" s="2">
        <v>303.45</v>
      </c>
      <c r="G3012" s="4">
        <f t="shared" si="3"/>
        <v>9359032.56</v>
      </c>
      <c r="H3012" s="4">
        <f t="shared" si="1"/>
        <v>0.980576558</v>
      </c>
      <c r="I3012" s="4" t="str">
        <f t="shared" si="2"/>
        <v>C</v>
      </c>
    </row>
    <row r="3013">
      <c r="A3013" s="2">
        <v>3012.0</v>
      </c>
      <c r="B3013" s="2">
        <v>21416.0</v>
      </c>
      <c r="C3013" s="2" t="s">
        <v>3524</v>
      </c>
      <c r="D3013" s="2">
        <v>3.75</v>
      </c>
      <c r="E3013" s="2">
        <v>376.0</v>
      </c>
      <c r="F3013" s="2">
        <v>303.41</v>
      </c>
      <c r="G3013" s="4">
        <f t="shared" si="3"/>
        <v>9359335.97</v>
      </c>
      <c r="H3013" s="4">
        <f t="shared" si="1"/>
        <v>0.9806083472</v>
      </c>
      <c r="I3013" s="4" t="str">
        <f t="shared" si="2"/>
        <v>C</v>
      </c>
    </row>
    <row r="3014">
      <c r="A3014" s="2">
        <v>3013.0</v>
      </c>
      <c r="B3014" s="2">
        <v>20695.0</v>
      </c>
      <c r="C3014" s="2" t="s">
        <v>3525</v>
      </c>
      <c r="D3014" s="2">
        <v>4.25</v>
      </c>
      <c r="E3014" s="2">
        <v>71.0</v>
      </c>
      <c r="F3014" s="2">
        <v>302.29</v>
      </c>
      <c r="G3014" s="4">
        <f t="shared" si="3"/>
        <v>9359638.26</v>
      </c>
      <c r="H3014" s="4">
        <f t="shared" si="1"/>
        <v>0.9806400191</v>
      </c>
      <c r="I3014" s="4" t="str">
        <f t="shared" si="2"/>
        <v>C</v>
      </c>
    </row>
    <row r="3015">
      <c r="A3015" s="2">
        <v>3014.0</v>
      </c>
      <c r="B3015" s="2">
        <v>23520.0</v>
      </c>
      <c r="C3015" s="2" t="s">
        <v>3526</v>
      </c>
      <c r="D3015" s="2">
        <v>3.75</v>
      </c>
      <c r="E3015" s="2">
        <v>84.0</v>
      </c>
      <c r="F3015" s="2">
        <v>302.15</v>
      </c>
      <c r="G3015" s="4">
        <f t="shared" si="3"/>
        <v>9359940.41</v>
      </c>
      <c r="H3015" s="4">
        <f t="shared" si="1"/>
        <v>0.9806716764</v>
      </c>
      <c r="I3015" s="4" t="str">
        <f t="shared" si="2"/>
        <v>C</v>
      </c>
    </row>
    <row r="3016">
      <c r="A3016" s="2">
        <v>3015.0</v>
      </c>
      <c r="B3016" s="2" t="s">
        <v>3527</v>
      </c>
      <c r="C3016" s="2" t="s">
        <v>3528</v>
      </c>
      <c r="D3016" s="2">
        <v>2.51</v>
      </c>
      <c r="E3016" s="2">
        <v>180.0</v>
      </c>
      <c r="F3016" s="2">
        <v>302.12</v>
      </c>
      <c r="G3016" s="4">
        <f t="shared" si="3"/>
        <v>9360242.53</v>
      </c>
      <c r="H3016" s="4">
        <f t="shared" si="1"/>
        <v>0.9807033305</v>
      </c>
      <c r="I3016" s="4" t="str">
        <f t="shared" si="2"/>
        <v>C</v>
      </c>
    </row>
    <row r="3017">
      <c r="A3017" s="2">
        <v>3016.0</v>
      </c>
      <c r="B3017" s="2" t="s">
        <v>3529</v>
      </c>
      <c r="C3017" s="2" t="s">
        <v>3530</v>
      </c>
      <c r="D3017" s="2">
        <v>1.25</v>
      </c>
      <c r="E3017" s="2">
        <v>260.0</v>
      </c>
      <c r="F3017" s="2">
        <v>301.99</v>
      </c>
      <c r="G3017" s="4">
        <f t="shared" si="3"/>
        <v>9360544.52</v>
      </c>
      <c r="H3017" s="4">
        <f t="shared" si="1"/>
        <v>0.980734971</v>
      </c>
      <c r="I3017" s="4" t="str">
        <f t="shared" si="2"/>
        <v>C</v>
      </c>
    </row>
    <row r="3018">
      <c r="A3018" s="2">
        <v>3017.0</v>
      </c>
      <c r="B3018" s="2">
        <v>20863.0</v>
      </c>
      <c r="C3018" s="2" t="s">
        <v>3531</v>
      </c>
      <c r="D3018" s="2">
        <v>2.1</v>
      </c>
      <c r="E3018" s="2">
        <v>147.0</v>
      </c>
      <c r="F3018" s="2">
        <v>301.82</v>
      </c>
      <c r="G3018" s="4">
        <f t="shared" si="3"/>
        <v>9360846.34</v>
      </c>
      <c r="H3018" s="4">
        <f t="shared" si="1"/>
        <v>0.9807665936</v>
      </c>
      <c r="I3018" s="4" t="str">
        <f t="shared" si="2"/>
        <v>C</v>
      </c>
    </row>
    <row r="3019">
      <c r="A3019" s="2">
        <v>3018.0</v>
      </c>
      <c r="B3019" s="2">
        <v>84766.0</v>
      </c>
      <c r="C3019" s="2" t="s">
        <v>3532</v>
      </c>
      <c r="D3019" s="2">
        <v>5.95</v>
      </c>
      <c r="E3019" s="2">
        <v>93.0</v>
      </c>
      <c r="F3019" s="2">
        <v>301.35</v>
      </c>
      <c r="G3019" s="4">
        <f t="shared" si="3"/>
        <v>9361147.69</v>
      </c>
      <c r="H3019" s="4">
        <f t="shared" si="1"/>
        <v>0.9807981671</v>
      </c>
      <c r="I3019" s="4" t="str">
        <f t="shared" si="2"/>
        <v>C</v>
      </c>
    </row>
    <row r="3020">
      <c r="A3020" s="2">
        <v>3019.0</v>
      </c>
      <c r="B3020" s="2" t="s">
        <v>3533</v>
      </c>
      <c r="C3020" s="2" t="s">
        <v>3534</v>
      </c>
      <c r="D3020" s="2">
        <v>1.95</v>
      </c>
      <c r="E3020" s="2">
        <v>131.0</v>
      </c>
      <c r="F3020" s="2">
        <v>301.3</v>
      </c>
      <c r="G3020" s="4">
        <f t="shared" si="3"/>
        <v>9361448.99</v>
      </c>
      <c r="H3020" s="4">
        <f t="shared" si="1"/>
        <v>0.9808297353</v>
      </c>
      <c r="I3020" s="4" t="str">
        <f t="shared" si="2"/>
        <v>C</v>
      </c>
    </row>
    <row r="3021">
      <c r="A3021" s="2">
        <v>3020.0</v>
      </c>
      <c r="B3021" s="2" t="s">
        <v>3535</v>
      </c>
      <c r="C3021" s="2" t="s">
        <v>3536</v>
      </c>
      <c r="D3021" s="2">
        <v>2.25</v>
      </c>
      <c r="E3021" s="2">
        <v>196.0</v>
      </c>
      <c r="F3021" s="2">
        <v>300.96</v>
      </c>
      <c r="G3021" s="4">
        <f t="shared" si="3"/>
        <v>9361749.95</v>
      </c>
      <c r="H3021" s="4">
        <f t="shared" si="1"/>
        <v>0.9808612678</v>
      </c>
      <c r="I3021" s="4" t="str">
        <f t="shared" si="2"/>
        <v>C</v>
      </c>
    </row>
    <row r="3022">
      <c r="A3022" s="2">
        <v>3021.0</v>
      </c>
      <c r="B3022" s="2" t="s">
        <v>3537</v>
      </c>
      <c r="C3022" s="2" t="s">
        <v>3538</v>
      </c>
      <c r="D3022" s="2">
        <v>4.21</v>
      </c>
      <c r="E3022" s="2">
        <v>66.0</v>
      </c>
      <c r="F3022" s="2">
        <v>300.92</v>
      </c>
      <c r="G3022" s="4">
        <f t="shared" si="3"/>
        <v>9362050.87</v>
      </c>
      <c r="H3022" s="4">
        <f t="shared" si="1"/>
        <v>0.9808927962</v>
      </c>
      <c r="I3022" s="4" t="str">
        <f t="shared" si="2"/>
        <v>C</v>
      </c>
    </row>
    <row r="3023">
      <c r="A3023" s="2">
        <v>3022.0</v>
      </c>
      <c r="B3023" s="2">
        <v>85117.0</v>
      </c>
      <c r="C3023" s="2" t="s">
        <v>3539</v>
      </c>
      <c r="D3023" s="2">
        <v>1.65</v>
      </c>
      <c r="E3023" s="2">
        <v>176.0</v>
      </c>
      <c r="F3023" s="2">
        <v>300.46</v>
      </c>
      <c r="G3023" s="4">
        <f t="shared" si="3"/>
        <v>9362351.33</v>
      </c>
      <c r="H3023" s="4">
        <f t="shared" si="1"/>
        <v>0.9809242764</v>
      </c>
      <c r="I3023" s="4" t="str">
        <f t="shared" si="2"/>
        <v>C</v>
      </c>
    </row>
    <row r="3024">
      <c r="A3024" s="2">
        <v>3023.0</v>
      </c>
      <c r="B3024" s="2" t="s">
        <v>3540</v>
      </c>
      <c r="C3024" s="2" t="s">
        <v>3541</v>
      </c>
      <c r="D3024" s="2">
        <v>2.46</v>
      </c>
      <c r="E3024" s="2">
        <v>216.0</v>
      </c>
      <c r="F3024" s="2">
        <v>300.33</v>
      </c>
      <c r="G3024" s="4">
        <f t="shared" si="3"/>
        <v>9362651.66</v>
      </c>
      <c r="H3024" s="4">
        <f t="shared" si="1"/>
        <v>0.9809557429</v>
      </c>
      <c r="I3024" s="4" t="str">
        <f t="shared" si="2"/>
        <v>C</v>
      </c>
    </row>
    <row r="3025">
      <c r="A3025" s="2">
        <v>3024.0</v>
      </c>
      <c r="B3025" s="2">
        <v>85146.0</v>
      </c>
      <c r="C3025" s="2" t="s">
        <v>3542</v>
      </c>
      <c r="D3025" s="2">
        <v>5.95</v>
      </c>
      <c r="E3025" s="2">
        <v>59.0</v>
      </c>
      <c r="F3025" s="2">
        <v>299.69</v>
      </c>
      <c r="G3025" s="4">
        <f t="shared" si="3"/>
        <v>9362951.35</v>
      </c>
      <c r="H3025" s="4">
        <f t="shared" si="1"/>
        <v>0.9809871425</v>
      </c>
      <c r="I3025" s="4" t="str">
        <f t="shared" si="2"/>
        <v>C</v>
      </c>
    </row>
    <row r="3026">
      <c r="A3026" s="2">
        <v>3025.0</v>
      </c>
      <c r="B3026" s="2">
        <v>82605.0</v>
      </c>
      <c r="C3026" s="2" t="s">
        <v>3543</v>
      </c>
      <c r="D3026" s="2">
        <v>2.1</v>
      </c>
      <c r="E3026" s="2">
        <v>135.0</v>
      </c>
      <c r="F3026" s="2">
        <v>299.64</v>
      </c>
      <c r="G3026" s="4">
        <f t="shared" si="3"/>
        <v>9363250.99</v>
      </c>
      <c r="H3026" s="4">
        <f t="shared" si="1"/>
        <v>0.9810185367</v>
      </c>
      <c r="I3026" s="4" t="str">
        <f t="shared" si="2"/>
        <v>C</v>
      </c>
    </row>
    <row r="3027">
      <c r="A3027" s="2">
        <v>3026.0</v>
      </c>
      <c r="B3027" s="2" t="s">
        <v>3544</v>
      </c>
      <c r="C3027" s="2" t="s">
        <v>3545</v>
      </c>
      <c r="D3027" s="2">
        <v>1.69</v>
      </c>
      <c r="E3027" s="2">
        <v>628.0</v>
      </c>
      <c r="F3027" s="2">
        <v>299.16</v>
      </c>
      <c r="G3027" s="4">
        <f t="shared" si="3"/>
        <v>9363550.15</v>
      </c>
      <c r="H3027" s="4">
        <f t="shared" si="1"/>
        <v>0.9810498807</v>
      </c>
      <c r="I3027" s="4" t="str">
        <f t="shared" si="2"/>
        <v>C</v>
      </c>
    </row>
    <row r="3028">
      <c r="A3028" s="2">
        <v>3027.0</v>
      </c>
      <c r="B3028" s="2">
        <v>47469.0</v>
      </c>
      <c r="C3028" s="2" t="s">
        <v>3546</v>
      </c>
      <c r="D3028" s="2">
        <v>0.65</v>
      </c>
      <c r="E3028" s="2">
        <v>612.0</v>
      </c>
      <c r="F3028" s="2">
        <v>298.76</v>
      </c>
      <c r="G3028" s="4">
        <f t="shared" si="3"/>
        <v>9363848.91</v>
      </c>
      <c r="H3028" s="4">
        <f t="shared" si="1"/>
        <v>0.9810811828</v>
      </c>
      <c r="I3028" s="4" t="str">
        <f t="shared" si="2"/>
        <v>C</v>
      </c>
    </row>
    <row r="3029">
      <c r="A3029" s="2">
        <v>3028.0</v>
      </c>
      <c r="B3029" s="2">
        <v>22092.0</v>
      </c>
      <c r="C3029" s="2" t="s">
        <v>3547</v>
      </c>
      <c r="D3029" s="2">
        <v>0.39</v>
      </c>
      <c r="E3029" s="2">
        <v>469.0</v>
      </c>
      <c r="F3029" s="2">
        <v>298.72</v>
      </c>
      <c r="G3029" s="4">
        <f t="shared" si="3"/>
        <v>9364147.63</v>
      </c>
      <c r="H3029" s="4">
        <f t="shared" si="1"/>
        <v>0.9811124806</v>
      </c>
      <c r="I3029" s="4" t="str">
        <f t="shared" si="2"/>
        <v>C</v>
      </c>
    </row>
    <row r="3030">
      <c r="A3030" s="2">
        <v>3029.0</v>
      </c>
      <c r="B3030" s="2" t="s">
        <v>3548</v>
      </c>
      <c r="C3030" s="2" t="s">
        <v>3549</v>
      </c>
      <c r="D3030" s="2">
        <v>0.42</v>
      </c>
      <c r="E3030" s="2">
        <v>735.0</v>
      </c>
      <c r="F3030" s="2">
        <v>298.39</v>
      </c>
      <c r="G3030" s="4">
        <f t="shared" si="3"/>
        <v>9364446.02</v>
      </c>
      <c r="H3030" s="4">
        <f t="shared" si="1"/>
        <v>0.9811437439</v>
      </c>
      <c r="I3030" s="4" t="str">
        <f t="shared" si="2"/>
        <v>C</v>
      </c>
    </row>
    <row r="3031">
      <c r="A3031" s="2">
        <v>3030.0</v>
      </c>
      <c r="B3031" s="2" t="s">
        <v>3550</v>
      </c>
      <c r="C3031" s="2" t="s">
        <v>3551</v>
      </c>
      <c r="D3031" s="2">
        <v>3.75</v>
      </c>
      <c r="E3031" s="2">
        <v>66.0</v>
      </c>
      <c r="F3031" s="2">
        <v>297.59</v>
      </c>
      <c r="G3031" s="4">
        <f t="shared" si="3"/>
        <v>9364743.61</v>
      </c>
      <c r="H3031" s="4">
        <f t="shared" si="1"/>
        <v>0.9811749234</v>
      </c>
      <c r="I3031" s="4" t="str">
        <f t="shared" si="2"/>
        <v>C</v>
      </c>
    </row>
    <row r="3032">
      <c r="A3032" s="2">
        <v>3031.0</v>
      </c>
      <c r="B3032" s="2">
        <v>72122.0</v>
      </c>
      <c r="C3032" s="2" t="s">
        <v>3552</v>
      </c>
      <c r="D3032" s="2">
        <v>0.95</v>
      </c>
      <c r="E3032" s="2">
        <v>294.0</v>
      </c>
      <c r="F3032" s="2">
        <v>297.14</v>
      </c>
      <c r="G3032" s="4">
        <f t="shared" si="3"/>
        <v>9365040.75</v>
      </c>
      <c r="H3032" s="4">
        <f t="shared" si="1"/>
        <v>0.9812060557</v>
      </c>
      <c r="I3032" s="4" t="str">
        <f t="shared" si="2"/>
        <v>C</v>
      </c>
    </row>
    <row r="3033">
      <c r="A3033" s="2">
        <v>3032.0</v>
      </c>
      <c r="B3033" s="2">
        <v>84682.0</v>
      </c>
      <c r="C3033" s="2" t="s">
        <v>3553</v>
      </c>
      <c r="D3033" s="2">
        <v>2.95</v>
      </c>
      <c r="E3033" s="2">
        <v>147.0</v>
      </c>
      <c r="F3033" s="2">
        <v>297.0</v>
      </c>
      <c r="G3033" s="4">
        <f t="shared" si="3"/>
        <v>9365337.75</v>
      </c>
      <c r="H3033" s="4">
        <f t="shared" si="1"/>
        <v>0.9812371734</v>
      </c>
      <c r="I3033" s="4" t="str">
        <f t="shared" si="2"/>
        <v>C</v>
      </c>
    </row>
    <row r="3034">
      <c r="A3034" s="2">
        <v>3033.0</v>
      </c>
      <c r="B3034" s="2">
        <v>23377.0</v>
      </c>
      <c r="C3034" s="2" t="s">
        <v>3554</v>
      </c>
      <c r="D3034" s="2">
        <v>0.39</v>
      </c>
      <c r="E3034" s="2">
        <v>677.0</v>
      </c>
      <c r="F3034" s="2">
        <v>296.81</v>
      </c>
      <c r="G3034" s="4">
        <f t="shared" si="3"/>
        <v>9365634.56</v>
      </c>
      <c r="H3034" s="4">
        <f t="shared" si="1"/>
        <v>0.9812682712</v>
      </c>
      <c r="I3034" s="4" t="str">
        <f t="shared" si="2"/>
        <v>C</v>
      </c>
    </row>
    <row r="3035">
      <c r="A3035" s="2">
        <v>3034.0</v>
      </c>
      <c r="B3035" s="2">
        <v>21553.0</v>
      </c>
      <c r="C3035" s="2" t="s">
        <v>3555</v>
      </c>
      <c r="D3035" s="2">
        <v>5.95</v>
      </c>
      <c r="E3035" s="2">
        <v>46.0</v>
      </c>
      <c r="F3035" s="2">
        <v>296.58</v>
      </c>
      <c r="G3035" s="4">
        <f t="shared" si="3"/>
        <v>9365931.14</v>
      </c>
      <c r="H3035" s="4">
        <f t="shared" si="1"/>
        <v>0.9812993448</v>
      </c>
      <c r="I3035" s="4" t="str">
        <f t="shared" si="2"/>
        <v>C</v>
      </c>
    </row>
    <row r="3036">
      <c r="A3036" s="2">
        <v>3035.0</v>
      </c>
      <c r="B3036" s="2">
        <v>20849.0</v>
      </c>
      <c r="C3036" s="2" t="s">
        <v>3556</v>
      </c>
      <c r="D3036" s="2">
        <v>3.75</v>
      </c>
      <c r="E3036" s="2">
        <v>337.0</v>
      </c>
      <c r="F3036" s="2">
        <v>296.52</v>
      </c>
      <c r="G3036" s="4">
        <f t="shared" si="3"/>
        <v>9366227.66</v>
      </c>
      <c r="H3036" s="4">
        <f t="shared" si="1"/>
        <v>0.9813304122</v>
      </c>
      <c r="I3036" s="4" t="str">
        <f t="shared" si="2"/>
        <v>C</v>
      </c>
    </row>
    <row r="3037">
      <c r="A3037" s="2">
        <v>3036.0</v>
      </c>
      <c r="B3037" s="2" t="s">
        <v>3557</v>
      </c>
      <c r="C3037" s="2" t="s">
        <v>3558</v>
      </c>
      <c r="D3037" s="2">
        <v>1.95</v>
      </c>
      <c r="E3037" s="2">
        <v>192.0</v>
      </c>
      <c r="F3037" s="2">
        <v>296.4</v>
      </c>
      <c r="G3037" s="4">
        <f t="shared" si="3"/>
        <v>9366524.06</v>
      </c>
      <c r="H3037" s="4">
        <f t="shared" si="1"/>
        <v>0.981361467</v>
      </c>
      <c r="I3037" s="4" t="str">
        <f t="shared" si="2"/>
        <v>C</v>
      </c>
    </row>
    <row r="3038">
      <c r="A3038" s="2">
        <v>3037.0</v>
      </c>
      <c r="B3038" s="2">
        <v>85092.0</v>
      </c>
      <c r="C3038" s="2" t="s">
        <v>3559</v>
      </c>
      <c r="D3038" s="2">
        <v>3.35</v>
      </c>
      <c r="E3038" s="2">
        <v>184.0</v>
      </c>
      <c r="F3038" s="2">
        <v>296.29</v>
      </c>
      <c r="G3038" s="4">
        <f t="shared" si="3"/>
        <v>9366820.35</v>
      </c>
      <c r="H3038" s="4">
        <f t="shared" si="1"/>
        <v>0.9813925103</v>
      </c>
      <c r="I3038" s="4" t="str">
        <f t="shared" si="2"/>
        <v>C</v>
      </c>
    </row>
    <row r="3039">
      <c r="A3039" s="2">
        <v>3038.0</v>
      </c>
      <c r="B3039" s="2">
        <v>20804.0</v>
      </c>
      <c r="C3039" s="2" t="s">
        <v>3560</v>
      </c>
      <c r="D3039" s="2">
        <v>3.36</v>
      </c>
      <c r="E3039" s="2">
        <v>166.0</v>
      </c>
      <c r="F3039" s="2">
        <v>296.26</v>
      </c>
      <c r="G3039" s="4">
        <f t="shared" si="3"/>
        <v>9367116.61</v>
      </c>
      <c r="H3039" s="4">
        <f t="shared" si="1"/>
        <v>0.9814235504</v>
      </c>
      <c r="I3039" s="4" t="str">
        <f t="shared" si="2"/>
        <v>C</v>
      </c>
    </row>
    <row r="3040">
      <c r="A3040" s="2">
        <v>3039.0</v>
      </c>
      <c r="B3040" s="2">
        <v>21223.0</v>
      </c>
      <c r="C3040" s="2" t="s">
        <v>3561</v>
      </c>
      <c r="D3040" s="2">
        <v>1.25</v>
      </c>
      <c r="E3040" s="2">
        <v>248.0</v>
      </c>
      <c r="F3040" s="2">
        <v>296.04</v>
      </c>
      <c r="G3040" s="4">
        <f t="shared" si="3"/>
        <v>9367412.65</v>
      </c>
      <c r="H3040" s="4">
        <f t="shared" si="1"/>
        <v>0.9814545675</v>
      </c>
      <c r="I3040" s="4" t="str">
        <f t="shared" si="2"/>
        <v>C</v>
      </c>
    </row>
    <row r="3041">
      <c r="A3041" s="2">
        <v>3040.0</v>
      </c>
      <c r="B3041" s="2">
        <v>85113.0</v>
      </c>
      <c r="C3041" s="2" t="s">
        <v>3562</v>
      </c>
      <c r="D3041" s="2">
        <v>2.1</v>
      </c>
      <c r="E3041" s="2">
        <v>142.0</v>
      </c>
      <c r="F3041" s="2">
        <v>295.83</v>
      </c>
      <c r="G3041" s="4">
        <f t="shared" si="3"/>
        <v>9367708.48</v>
      </c>
      <c r="H3041" s="4">
        <f t="shared" si="1"/>
        <v>0.9814855626</v>
      </c>
      <c r="I3041" s="4" t="str">
        <f t="shared" si="2"/>
        <v>C</v>
      </c>
    </row>
    <row r="3042">
      <c r="A3042" s="2">
        <v>3041.0</v>
      </c>
      <c r="B3042" s="2">
        <v>21304.0</v>
      </c>
      <c r="C3042" s="2" t="s">
        <v>3563</v>
      </c>
      <c r="D3042" s="2">
        <v>12.75</v>
      </c>
      <c r="E3042" s="2">
        <v>43.0</v>
      </c>
      <c r="F3042" s="2">
        <v>295.79</v>
      </c>
      <c r="G3042" s="4">
        <f t="shared" si="3"/>
        <v>9368004.27</v>
      </c>
      <c r="H3042" s="4">
        <f t="shared" si="1"/>
        <v>0.9815165535</v>
      </c>
      <c r="I3042" s="4" t="str">
        <f t="shared" si="2"/>
        <v>C</v>
      </c>
    </row>
    <row r="3043">
      <c r="A3043" s="2">
        <v>3042.0</v>
      </c>
      <c r="B3043" s="2" t="s">
        <v>3564</v>
      </c>
      <c r="C3043" s="2" t="s">
        <v>3565</v>
      </c>
      <c r="D3043" s="2">
        <v>49.95</v>
      </c>
      <c r="E3043" s="2">
        <v>9.0</v>
      </c>
      <c r="F3043" s="2">
        <v>295.75</v>
      </c>
      <c r="G3043" s="4">
        <f t="shared" si="3"/>
        <v>9368300.02</v>
      </c>
      <c r="H3043" s="4">
        <f t="shared" si="1"/>
        <v>0.9815475402</v>
      </c>
      <c r="I3043" s="4" t="str">
        <f t="shared" si="2"/>
        <v>C</v>
      </c>
    </row>
    <row r="3044">
      <c r="A3044" s="2">
        <v>3043.0</v>
      </c>
      <c r="B3044" s="2">
        <v>21322.0</v>
      </c>
      <c r="C3044" s="2" t="s">
        <v>3566</v>
      </c>
      <c r="D3044" s="2">
        <v>6.65</v>
      </c>
      <c r="E3044" s="2">
        <v>150.0</v>
      </c>
      <c r="F3044" s="2">
        <v>295.23</v>
      </c>
      <c r="G3044" s="4">
        <f t="shared" si="3"/>
        <v>9368595.25</v>
      </c>
      <c r="H3044" s="4">
        <f t="shared" si="1"/>
        <v>0.9815784724</v>
      </c>
      <c r="I3044" s="4" t="str">
        <f t="shared" si="2"/>
        <v>C</v>
      </c>
    </row>
    <row r="3045">
      <c r="A3045" s="2">
        <v>3044.0</v>
      </c>
      <c r="B3045" s="2">
        <v>21256.0</v>
      </c>
      <c r="C3045" s="2" t="s">
        <v>3567</v>
      </c>
      <c r="D3045" s="2">
        <v>1.65</v>
      </c>
      <c r="E3045" s="2">
        <v>163.0</v>
      </c>
      <c r="F3045" s="2">
        <v>294.32</v>
      </c>
      <c r="G3045" s="4">
        <f t="shared" si="3"/>
        <v>9368889.57</v>
      </c>
      <c r="H3045" s="4">
        <f t="shared" si="1"/>
        <v>0.9816093093</v>
      </c>
      <c r="I3045" s="4" t="str">
        <f t="shared" si="2"/>
        <v>C</v>
      </c>
    </row>
    <row r="3046">
      <c r="A3046" s="2">
        <v>3045.0</v>
      </c>
      <c r="B3046" s="2">
        <v>21893.0</v>
      </c>
      <c r="C3046" s="2" t="s">
        <v>3568</v>
      </c>
      <c r="D3046" s="2">
        <v>4.25</v>
      </c>
      <c r="E3046" s="2">
        <v>86.0</v>
      </c>
      <c r="F3046" s="2">
        <v>293.9</v>
      </c>
      <c r="G3046" s="4">
        <f t="shared" si="3"/>
        <v>9369183.47</v>
      </c>
      <c r="H3046" s="4">
        <f t="shared" si="1"/>
        <v>0.9816401021</v>
      </c>
      <c r="I3046" s="4" t="str">
        <f t="shared" si="2"/>
        <v>C</v>
      </c>
    </row>
    <row r="3047">
      <c r="A3047" s="2">
        <v>3046.0</v>
      </c>
      <c r="B3047" s="2">
        <v>21167.0</v>
      </c>
      <c r="C3047" s="2" t="s">
        <v>3569</v>
      </c>
      <c r="D3047" s="2">
        <v>0.42</v>
      </c>
      <c r="E3047" s="2">
        <v>1220.0</v>
      </c>
      <c r="F3047" s="2">
        <v>293.76</v>
      </c>
      <c r="G3047" s="4">
        <f t="shared" si="3"/>
        <v>9369477.23</v>
      </c>
      <c r="H3047" s="4">
        <f t="shared" si="1"/>
        <v>0.9816708803</v>
      </c>
      <c r="I3047" s="4" t="str">
        <f t="shared" si="2"/>
        <v>C</v>
      </c>
    </row>
    <row r="3048">
      <c r="A3048" s="2">
        <v>3047.0</v>
      </c>
      <c r="B3048" s="2">
        <v>23499.0</v>
      </c>
      <c r="C3048" s="2" t="s">
        <v>3570</v>
      </c>
      <c r="D3048" s="2">
        <v>0.42</v>
      </c>
      <c r="E3048" s="2">
        <v>658.0</v>
      </c>
      <c r="F3048" s="2">
        <v>293.74</v>
      </c>
      <c r="G3048" s="4">
        <f t="shared" si="3"/>
        <v>9369770.97</v>
      </c>
      <c r="H3048" s="4">
        <f t="shared" si="1"/>
        <v>0.9817016564</v>
      </c>
      <c r="I3048" s="4" t="str">
        <f t="shared" si="2"/>
        <v>C</v>
      </c>
    </row>
    <row r="3049">
      <c r="A3049" s="2">
        <v>3048.0</v>
      </c>
      <c r="B3049" s="2">
        <v>16236.0</v>
      </c>
      <c r="C3049" s="2" t="s">
        <v>3571</v>
      </c>
      <c r="D3049" s="2">
        <v>0.21</v>
      </c>
      <c r="E3049" s="2">
        <v>1312.0</v>
      </c>
      <c r="F3049" s="2">
        <v>293.7</v>
      </c>
      <c r="G3049" s="4">
        <f t="shared" si="3"/>
        <v>9370064.67</v>
      </c>
      <c r="H3049" s="4">
        <f t="shared" si="1"/>
        <v>0.9817324283</v>
      </c>
      <c r="I3049" s="4" t="str">
        <f t="shared" si="2"/>
        <v>C</v>
      </c>
    </row>
    <row r="3050">
      <c r="A3050" s="2">
        <v>3049.0</v>
      </c>
      <c r="B3050" s="2">
        <v>84934.0</v>
      </c>
      <c r="C3050" s="2" t="s">
        <v>3572</v>
      </c>
      <c r="D3050" s="2">
        <v>0.85</v>
      </c>
      <c r="E3050" s="2">
        <v>344.0</v>
      </c>
      <c r="F3050" s="2">
        <v>293.25</v>
      </c>
      <c r="G3050" s="4">
        <f t="shared" si="3"/>
        <v>9370357.92</v>
      </c>
      <c r="H3050" s="4">
        <f t="shared" si="1"/>
        <v>0.9817631531</v>
      </c>
      <c r="I3050" s="4" t="str">
        <f t="shared" si="2"/>
        <v>C</v>
      </c>
    </row>
    <row r="3051">
      <c r="A3051" s="2">
        <v>3050.0</v>
      </c>
      <c r="B3051" s="2">
        <v>23565.0</v>
      </c>
      <c r="C3051" s="2" t="s">
        <v>3573</v>
      </c>
      <c r="D3051" s="2">
        <v>1.25</v>
      </c>
      <c r="E3051" s="2">
        <v>205.0</v>
      </c>
      <c r="F3051" s="2">
        <v>293.15</v>
      </c>
      <c r="G3051" s="4">
        <f t="shared" si="3"/>
        <v>9370651.07</v>
      </c>
      <c r="H3051" s="4">
        <f t="shared" si="1"/>
        <v>0.9817938674</v>
      </c>
      <c r="I3051" s="4" t="str">
        <f t="shared" si="2"/>
        <v>C</v>
      </c>
    </row>
    <row r="3052">
      <c r="A3052" s="2">
        <v>3051.0</v>
      </c>
      <c r="B3052" s="2">
        <v>21016.0</v>
      </c>
      <c r="C3052" s="2" t="s">
        <v>3574</v>
      </c>
      <c r="D3052" s="2">
        <v>0.85</v>
      </c>
      <c r="E3052" s="2">
        <v>418.0</v>
      </c>
      <c r="F3052" s="2">
        <v>292.27</v>
      </c>
      <c r="G3052" s="4">
        <f t="shared" si="3"/>
        <v>9370943.34</v>
      </c>
      <c r="H3052" s="4">
        <f t="shared" si="1"/>
        <v>0.9818244895</v>
      </c>
      <c r="I3052" s="4" t="str">
        <f t="shared" si="2"/>
        <v>C</v>
      </c>
    </row>
    <row r="3053">
      <c r="A3053" s="2">
        <v>3052.0</v>
      </c>
      <c r="B3053" s="2">
        <v>20781.0</v>
      </c>
      <c r="C3053" s="2" t="s">
        <v>3575</v>
      </c>
      <c r="D3053" s="2">
        <v>5.49</v>
      </c>
      <c r="E3053" s="2">
        <v>52.0</v>
      </c>
      <c r="F3053" s="2">
        <v>291.92</v>
      </c>
      <c r="G3053" s="4">
        <f t="shared" si="3"/>
        <v>9371235.26</v>
      </c>
      <c r="H3053" s="4">
        <f t="shared" si="1"/>
        <v>0.9818550749</v>
      </c>
      <c r="I3053" s="4" t="str">
        <f t="shared" si="2"/>
        <v>C</v>
      </c>
    </row>
    <row r="3054">
      <c r="A3054" s="2">
        <v>3053.0</v>
      </c>
      <c r="B3054" s="2">
        <v>23537.0</v>
      </c>
      <c r="C3054" s="2" t="s">
        <v>3576</v>
      </c>
      <c r="D3054" s="2">
        <v>4.95</v>
      </c>
      <c r="E3054" s="2">
        <v>56.0</v>
      </c>
      <c r="F3054" s="2">
        <v>290.56</v>
      </c>
      <c r="G3054" s="4">
        <f t="shared" si="3"/>
        <v>9371525.82</v>
      </c>
      <c r="H3054" s="4">
        <f t="shared" si="1"/>
        <v>0.9818855178</v>
      </c>
      <c r="I3054" s="4" t="str">
        <f t="shared" si="2"/>
        <v>C</v>
      </c>
    </row>
    <row r="3055">
      <c r="A3055" s="2">
        <v>3054.0</v>
      </c>
      <c r="B3055" s="2">
        <v>20935.0</v>
      </c>
      <c r="C3055" s="2" t="s">
        <v>3577</v>
      </c>
      <c r="D3055" s="2">
        <v>2.95</v>
      </c>
      <c r="E3055" s="2">
        <v>151.0</v>
      </c>
      <c r="F3055" s="2">
        <v>290.19</v>
      </c>
      <c r="G3055" s="4">
        <f t="shared" si="3"/>
        <v>9371816.01</v>
      </c>
      <c r="H3055" s="4">
        <f t="shared" si="1"/>
        <v>0.981915922</v>
      </c>
      <c r="I3055" s="4" t="str">
        <f t="shared" si="2"/>
        <v>C</v>
      </c>
    </row>
    <row r="3056">
      <c r="A3056" s="2">
        <v>3055.0</v>
      </c>
      <c r="B3056" s="2" t="s">
        <v>3578</v>
      </c>
      <c r="C3056" s="2" t="s">
        <v>3579</v>
      </c>
      <c r="D3056" s="2">
        <v>6.35</v>
      </c>
      <c r="E3056" s="2">
        <v>49.0</v>
      </c>
      <c r="F3056" s="2">
        <v>289.47</v>
      </c>
      <c r="G3056" s="4">
        <f t="shared" si="3"/>
        <v>9372105.48</v>
      </c>
      <c r="H3056" s="4">
        <f t="shared" si="1"/>
        <v>0.9819462507</v>
      </c>
      <c r="I3056" s="4" t="str">
        <f t="shared" si="2"/>
        <v>C</v>
      </c>
    </row>
    <row r="3057">
      <c r="A3057" s="2">
        <v>3056.0</v>
      </c>
      <c r="B3057" s="2" t="s">
        <v>3580</v>
      </c>
      <c r="C3057" s="2" t="s">
        <v>3581</v>
      </c>
      <c r="D3057" s="2">
        <v>8.47</v>
      </c>
      <c r="E3057" s="2">
        <v>38.0</v>
      </c>
      <c r="F3057" s="2">
        <v>289.36</v>
      </c>
      <c r="G3057" s="4">
        <f t="shared" si="3"/>
        <v>9372394.84</v>
      </c>
      <c r="H3057" s="4">
        <f t="shared" si="1"/>
        <v>0.9819765679</v>
      </c>
      <c r="I3057" s="4" t="str">
        <f t="shared" si="2"/>
        <v>C</v>
      </c>
    </row>
    <row r="3058">
      <c r="A3058" s="2">
        <v>3057.0</v>
      </c>
      <c r="B3058" s="2" t="s">
        <v>3582</v>
      </c>
      <c r="C3058" s="2" t="s">
        <v>3583</v>
      </c>
      <c r="D3058" s="2">
        <v>8.95</v>
      </c>
      <c r="E3058" s="2">
        <v>32.0</v>
      </c>
      <c r="F3058" s="2">
        <v>289.01</v>
      </c>
      <c r="G3058" s="4">
        <f t="shared" si="3"/>
        <v>9372683.85</v>
      </c>
      <c r="H3058" s="4">
        <f t="shared" si="1"/>
        <v>0.9820068484</v>
      </c>
      <c r="I3058" s="4" t="str">
        <f t="shared" si="2"/>
        <v>C</v>
      </c>
    </row>
    <row r="3059">
      <c r="A3059" s="2">
        <v>3058.0</v>
      </c>
      <c r="B3059" s="2" t="s">
        <v>3584</v>
      </c>
      <c r="C3059" s="2" t="s">
        <v>481</v>
      </c>
      <c r="D3059" s="2">
        <v>12.46</v>
      </c>
      <c r="E3059" s="2">
        <v>23.0</v>
      </c>
      <c r="F3059" s="2">
        <v>288.92</v>
      </c>
      <c r="G3059" s="4">
        <f t="shared" si="3"/>
        <v>9372972.77</v>
      </c>
      <c r="H3059" s="4">
        <f t="shared" si="1"/>
        <v>0.9820371195</v>
      </c>
      <c r="I3059" s="4" t="str">
        <f t="shared" si="2"/>
        <v>C</v>
      </c>
    </row>
    <row r="3060">
      <c r="A3060" s="2">
        <v>3059.0</v>
      </c>
      <c r="B3060" s="2">
        <v>21419.0</v>
      </c>
      <c r="C3060" s="2" t="s">
        <v>3585</v>
      </c>
      <c r="D3060" s="2">
        <v>3.75</v>
      </c>
      <c r="E3060" s="2">
        <v>630.0</v>
      </c>
      <c r="F3060" s="2">
        <v>288.84</v>
      </c>
      <c r="G3060" s="4">
        <f t="shared" si="3"/>
        <v>9373261.61</v>
      </c>
      <c r="H3060" s="4">
        <f t="shared" si="1"/>
        <v>0.9820673822</v>
      </c>
      <c r="I3060" s="4" t="str">
        <f t="shared" si="2"/>
        <v>C</v>
      </c>
    </row>
    <row r="3061">
      <c r="A3061" s="2">
        <v>3060.0</v>
      </c>
      <c r="B3061" s="2">
        <v>47421.0</v>
      </c>
      <c r="C3061" s="2" t="s">
        <v>3586</v>
      </c>
      <c r="D3061" s="2">
        <v>0.42</v>
      </c>
      <c r="E3061" s="2">
        <v>736.0</v>
      </c>
      <c r="F3061" s="2">
        <v>288.45</v>
      </c>
      <c r="G3061" s="4">
        <f t="shared" si="3"/>
        <v>9373550.06</v>
      </c>
      <c r="H3061" s="4">
        <f t="shared" si="1"/>
        <v>0.9820976041</v>
      </c>
      <c r="I3061" s="4" t="str">
        <f t="shared" si="2"/>
        <v>C</v>
      </c>
    </row>
    <row r="3062">
      <c r="A3062" s="2">
        <v>3061.0</v>
      </c>
      <c r="B3062" s="2">
        <v>35922.0</v>
      </c>
      <c r="C3062" s="2" t="s">
        <v>3587</v>
      </c>
      <c r="D3062" s="2">
        <v>4.95</v>
      </c>
      <c r="E3062" s="2">
        <v>48.0</v>
      </c>
      <c r="F3062" s="2">
        <v>288.0</v>
      </c>
      <c r="G3062" s="4">
        <f t="shared" si="3"/>
        <v>9373838.06</v>
      </c>
      <c r="H3062" s="4">
        <f t="shared" si="1"/>
        <v>0.9821277788</v>
      </c>
      <c r="I3062" s="4" t="str">
        <f t="shared" si="2"/>
        <v>C</v>
      </c>
    </row>
    <row r="3063">
      <c r="A3063" s="2">
        <v>3062.0</v>
      </c>
      <c r="B3063" s="2">
        <v>23016.0</v>
      </c>
      <c r="C3063" s="2" t="s">
        <v>3588</v>
      </c>
      <c r="D3063" s="2">
        <v>7.85</v>
      </c>
      <c r="E3063" s="2">
        <v>37.0</v>
      </c>
      <c r="F3063" s="2">
        <v>287.62</v>
      </c>
      <c r="G3063" s="4">
        <f t="shared" si="3"/>
        <v>9374125.68</v>
      </c>
      <c r="H3063" s="4">
        <f t="shared" si="1"/>
        <v>0.9821579137</v>
      </c>
      <c r="I3063" s="4" t="str">
        <f t="shared" si="2"/>
        <v>C</v>
      </c>
    </row>
    <row r="3064">
      <c r="A3064" s="2">
        <v>3063.0</v>
      </c>
      <c r="B3064" s="2">
        <v>23125.0</v>
      </c>
      <c r="C3064" s="2" t="s">
        <v>3589</v>
      </c>
      <c r="D3064" s="2">
        <v>2.46</v>
      </c>
      <c r="E3064" s="2">
        <v>230.0</v>
      </c>
      <c r="F3064" s="2">
        <v>287.44</v>
      </c>
      <c r="G3064" s="4">
        <f t="shared" si="3"/>
        <v>9374413.12</v>
      </c>
      <c r="H3064" s="4">
        <f t="shared" si="1"/>
        <v>0.9821880297</v>
      </c>
      <c r="I3064" s="4" t="str">
        <f t="shared" si="2"/>
        <v>C</v>
      </c>
    </row>
    <row r="3065">
      <c r="A3065" s="2">
        <v>3064.0</v>
      </c>
      <c r="B3065" s="2" t="s">
        <v>3590</v>
      </c>
      <c r="C3065" s="2" t="s">
        <v>3591</v>
      </c>
      <c r="D3065" s="2">
        <v>1.95</v>
      </c>
      <c r="E3065" s="2">
        <v>120.0</v>
      </c>
      <c r="F3065" s="2">
        <v>287.36</v>
      </c>
      <c r="G3065" s="4">
        <f t="shared" si="3"/>
        <v>9374700.48</v>
      </c>
      <c r="H3065" s="4">
        <f t="shared" si="1"/>
        <v>0.9822181374</v>
      </c>
      <c r="I3065" s="4" t="str">
        <f t="shared" si="2"/>
        <v>C</v>
      </c>
    </row>
    <row r="3066">
      <c r="A3066" s="2">
        <v>3065.0</v>
      </c>
      <c r="B3066" s="2" t="s">
        <v>3592</v>
      </c>
      <c r="C3066" s="2" t="s">
        <v>3593</v>
      </c>
      <c r="D3066" s="2">
        <v>5.91</v>
      </c>
      <c r="E3066" s="2">
        <v>444.0</v>
      </c>
      <c r="F3066" s="2">
        <v>287.33</v>
      </c>
      <c r="G3066" s="4">
        <f t="shared" si="3"/>
        <v>9374987.81</v>
      </c>
      <c r="H3066" s="4">
        <f t="shared" si="1"/>
        <v>0.9822482419</v>
      </c>
      <c r="I3066" s="4" t="str">
        <f t="shared" si="2"/>
        <v>C</v>
      </c>
    </row>
    <row r="3067">
      <c r="A3067" s="2">
        <v>3066.0</v>
      </c>
      <c r="B3067" s="2" t="s">
        <v>3594</v>
      </c>
      <c r="C3067" s="2" t="s">
        <v>3595</v>
      </c>
      <c r="D3067" s="2">
        <v>1.65</v>
      </c>
      <c r="E3067" s="2">
        <v>534.0</v>
      </c>
      <c r="F3067" s="2">
        <v>286.2</v>
      </c>
      <c r="G3067" s="4">
        <f t="shared" si="3"/>
        <v>9375274.01</v>
      </c>
      <c r="H3067" s="4">
        <f t="shared" si="1"/>
        <v>0.982278228</v>
      </c>
      <c r="I3067" s="4" t="str">
        <f t="shared" si="2"/>
        <v>C</v>
      </c>
    </row>
    <row r="3068">
      <c r="A3068" s="2">
        <v>3067.0</v>
      </c>
      <c r="B3068" s="2" t="s">
        <v>3596</v>
      </c>
      <c r="C3068" s="2" t="s">
        <v>3597</v>
      </c>
      <c r="D3068" s="2">
        <v>2.1</v>
      </c>
      <c r="E3068" s="2">
        <v>126.0</v>
      </c>
      <c r="F3068" s="2">
        <v>285.88</v>
      </c>
      <c r="G3068" s="4">
        <f t="shared" si="3"/>
        <v>9375559.89</v>
      </c>
      <c r="H3068" s="4">
        <f t="shared" si="1"/>
        <v>0.9823081806</v>
      </c>
      <c r="I3068" s="4" t="str">
        <f t="shared" si="2"/>
        <v>C</v>
      </c>
    </row>
    <row r="3069">
      <c r="A3069" s="2">
        <v>3068.0</v>
      </c>
      <c r="B3069" s="2" t="s">
        <v>3598</v>
      </c>
      <c r="C3069" s="2" t="s">
        <v>3599</v>
      </c>
      <c r="D3069" s="2">
        <v>3.75</v>
      </c>
      <c r="E3069" s="2">
        <v>66.0</v>
      </c>
      <c r="F3069" s="2">
        <v>285.5</v>
      </c>
      <c r="G3069" s="4">
        <f t="shared" si="3"/>
        <v>9375845.39</v>
      </c>
      <c r="H3069" s="4">
        <f t="shared" si="1"/>
        <v>0.9823380933</v>
      </c>
      <c r="I3069" s="4" t="str">
        <f t="shared" si="2"/>
        <v>C</v>
      </c>
    </row>
    <row r="3070">
      <c r="A3070" s="2">
        <v>3069.0</v>
      </c>
      <c r="B3070" s="2">
        <v>20794.0</v>
      </c>
      <c r="C3070" s="2" t="s">
        <v>3600</v>
      </c>
      <c r="D3070" s="2">
        <v>2.55</v>
      </c>
      <c r="E3070" s="2">
        <v>102.0</v>
      </c>
      <c r="F3070" s="2">
        <v>285.31</v>
      </c>
      <c r="G3070" s="4">
        <f t="shared" si="3"/>
        <v>9376130.7</v>
      </c>
      <c r="H3070" s="4">
        <f t="shared" si="1"/>
        <v>0.9823679862</v>
      </c>
      <c r="I3070" s="4" t="str">
        <f t="shared" si="2"/>
        <v>C</v>
      </c>
    </row>
    <row r="3071">
      <c r="A3071" s="2">
        <v>3070.0</v>
      </c>
      <c r="B3071" s="2" t="s">
        <v>3601</v>
      </c>
      <c r="C3071" s="2" t="s">
        <v>3602</v>
      </c>
      <c r="D3071" s="2">
        <v>4.25</v>
      </c>
      <c r="E3071" s="2">
        <v>194.0</v>
      </c>
      <c r="F3071" s="2">
        <v>285.1</v>
      </c>
      <c r="G3071" s="4">
        <f t="shared" si="3"/>
        <v>9376415.8</v>
      </c>
      <c r="H3071" s="4">
        <f t="shared" si="1"/>
        <v>0.9823978571</v>
      </c>
      <c r="I3071" s="4" t="str">
        <f t="shared" si="2"/>
        <v>C</v>
      </c>
    </row>
    <row r="3072">
      <c r="A3072" s="2">
        <v>3071.0</v>
      </c>
      <c r="B3072" s="2">
        <v>23455.0</v>
      </c>
      <c r="C3072" s="2" t="s">
        <v>3603</v>
      </c>
      <c r="D3072" s="2">
        <v>2.89</v>
      </c>
      <c r="E3072" s="2">
        <v>104.0</v>
      </c>
      <c r="F3072" s="2">
        <v>284.72</v>
      </c>
      <c r="G3072" s="4">
        <f t="shared" si="3"/>
        <v>9376700.52</v>
      </c>
      <c r="H3072" s="4">
        <f t="shared" si="1"/>
        <v>0.9824276881</v>
      </c>
      <c r="I3072" s="4" t="str">
        <f t="shared" si="2"/>
        <v>C</v>
      </c>
    </row>
    <row r="3073">
      <c r="A3073" s="2">
        <v>3072.0</v>
      </c>
      <c r="B3073" s="2">
        <v>23069.0</v>
      </c>
      <c r="C3073" s="2" t="s">
        <v>3604</v>
      </c>
      <c r="D3073" s="2">
        <v>6.25</v>
      </c>
      <c r="E3073" s="2">
        <v>45.0</v>
      </c>
      <c r="F3073" s="2">
        <v>284.36</v>
      </c>
      <c r="G3073" s="4">
        <f t="shared" si="3"/>
        <v>9376984.88</v>
      </c>
      <c r="H3073" s="4">
        <f t="shared" si="1"/>
        <v>0.9824574814</v>
      </c>
      <c r="I3073" s="4" t="str">
        <f t="shared" si="2"/>
        <v>C</v>
      </c>
    </row>
    <row r="3074">
      <c r="A3074" s="2">
        <v>3073.0</v>
      </c>
      <c r="B3074" s="2" t="s">
        <v>3605</v>
      </c>
      <c r="C3074" s="2" t="s">
        <v>3606</v>
      </c>
      <c r="D3074" s="2">
        <v>0.85</v>
      </c>
      <c r="E3074" s="2">
        <v>294.0</v>
      </c>
      <c r="F3074" s="2">
        <v>284.36</v>
      </c>
      <c r="G3074" s="4">
        <f t="shared" si="3"/>
        <v>9377269.24</v>
      </c>
      <c r="H3074" s="4">
        <f t="shared" si="1"/>
        <v>0.9824872748</v>
      </c>
      <c r="I3074" s="4" t="str">
        <f t="shared" si="2"/>
        <v>C</v>
      </c>
    </row>
    <row r="3075">
      <c r="A3075" s="2">
        <v>3074.0</v>
      </c>
      <c r="B3075" s="2" t="s">
        <v>3607</v>
      </c>
      <c r="C3075" s="2" t="s">
        <v>3608</v>
      </c>
      <c r="D3075" s="2">
        <v>1.25</v>
      </c>
      <c r="E3075" s="2">
        <v>201.0</v>
      </c>
      <c r="F3075" s="2">
        <v>284.34</v>
      </c>
      <c r="G3075" s="4">
        <f t="shared" si="3"/>
        <v>9377553.58</v>
      </c>
      <c r="H3075" s="4">
        <f t="shared" si="1"/>
        <v>0.982517066</v>
      </c>
      <c r="I3075" s="4" t="str">
        <f t="shared" si="2"/>
        <v>C</v>
      </c>
    </row>
    <row r="3076">
      <c r="A3076" s="2">
        <v>3075.0</v>
      </c>
      <c r="B3076" s="2">
        <v>23219.0</v>
      </c>
      <c r="C3076" s="2" t="s">
        <v>3609</v>
      </c>
      <c r="D3076" s="2">
        <v>1.25</v>
      </c>
      <c r="E3076" s="2">
        <v>215.0</v>
      </c>
      <c r="F3076" s="2">
        <v>284.3</v>
      </c>
      <c r="G3076" s="4">
        <f t="shared" si="3"/>
        <v>9377837.88</v>
      </c>
      <c r="H3076" s="4">
        <f t="shared" si="1"/>
        <v>0.9825468531</v>
      </c>
      <c r="I3076" s="4" t="str">
        <f t="shared" si="2"/>
        <v>C</v>
      </c>
    </row>
    <row r="3077">
      <c r="A3077" s="2">
        <v>3076.0</v>
      </c>
      <c r="B3077" s="2" t="s">
        <v>3610</v>
      </c>
      <c r="C3077" s="2" t="s">
        <v>3611</v>
      </c>
      <c r="D3077" s="2">
        <v>1.45</v>
      </c>
      <c r="E3077" s="2">
        <v>225.0</v>
      </c>
      <c r="F3077" s="2">
        <v>284.01</v>
      </c>
      <c r="G3077" s="4">
        <f t="shared" si="3"/>
        <v>9378121.89</v>
      </c>
      <c r="H3077" s="4">
        <f t="shared" si="1"/>
        <v>0.9825766097</v>
      </c>
      <c r="I3077" s="4" t="str">
        <f t="shared" si="2"/>
        <v>C</v>
      </c>
    </row>
    <row r="3078">
      <c r="A3078" s="2">
        <v>3077.0</v>
      </c>
      <c r="B3078" s="2" t="s">
        <v>3612</v>
      </c>
      <c r="C3078" s="2" t="s">
        <v>3613</v>
      </c>
      <c r="D3078" s="2">
        <v>0.29</v>
      </c>
      <c r="E3078" s="2">
        <v>1072.0</v>
      </c>
      <c r="F3078" s="2">
        <v>284.0</v>
      </c>
      <c r="G3078" s="4">
        <f t="shared" si="3"/>
        <v>9378405.89</v>
      </c>
      <c r="H3078" s="4">
        <f t="shared" si="1"/>
        <v>0.9826063653</v>
      </c>
      <c r="I3078" s="4" t="str">
        <f t="shared" si="2"/>
        <v>C</v>
      </c>
    </row>
    <row r="3079">
      <c r="A3079" s="2">
        <v>3078.0</v>
      </c>
      <c r="B3079" s="2">
        <v>23381.0</v>
      </c>
      <c r="C3079" s="2" t="s">
        <v>3614</v>
      </c>
      <c r="D3079" s="2">
        <v>0.39</v>
      </c>
      <c r="E3079" s="2">
        <v>754.0</v>
      </c>
      <c r="F3079" s="2">
        <v>283.97</v>
      </c>
      <c r="G3079" s="4">
        <f t="shared" si="3"/>
        <v>9378689.86</v>
      </c>
      <c r="H3079" s="4">
        <f t="shared" si="1"/>
        <v>0.9826361178</v>
      </c>
      <c r="I3079" s="4" t="str">
        <f t="shared" si="2"/>
        <v>C</v>
      </c>
    </row>
    <row r="3080">
      <c r="A3080" s="2">
        <v>3079.0</v>
      </c>
      <c r="B3080" s="2" t="s">
        <v>3615</v>
      </c>
      <c r="C3080" s="2" t="s">
        <v>3616</v>
      </c>
      <c r="D3080" s="2">
        <v>8.95</v>
      </c>
      <c r="E3080" s="2">
        <v>34.0</v>
      </c>
      <c r="F3080" s="2">
        <v>283.65</v>
      </c>
      <c r="G3080" s="4">
        <f t="shared" si="3"/>
        <v>9378973.51</v>
      </c>
      <c r="H3080" s="4">
        <f t="shared" si="1"/>
        <v>0.9826658367</v>
      </c>
      <c r="I3080" s="4" t="str">
        <f t="shared" si="2"/>
        <v>C</v>
      </c>
    </row>
    <row r="3081">
      <c r="A3081" s="2">
        <v>3080.0</v>
      </c>
      <c r="B3081" s="2" t="s">
        <v>3617</v>
      </c>
      <c r="C3081" s="2" t="s">
        <v>3618</v>
      </c>
      <c r="D3081" s="2">
        <v>0.42</v>
      </c>
      <c r="E3081" s="2">
        <v>675.0</v>
      </c>
      <c r="F3081" s="2">
        <v>283.5</v>
      </c>
      <c r="G3081" s="4">
        <f t="shared" si="3"/>
        <v>9379257.01</v>
      </c>
      <c r="H3081" s="4">
        <f t="shared" si="1"/>
        <v>0.98269554</v>
      </c>
      <c r="I3081" s="4" t="str">
        <f t="shared" si="2"/>
        <v>C</v>
      </c>
    </row>
    <row r="3082">
      <c r="A3082" s="2">
        <v>3081.0</v>
      </c>
      <c r="B3082" s="2" t="s">
        <v>3619</v>
      </c>
      <c r="C3082" s="2" t="s">
        <v>3620</v>
      </c>
      <c r="D3082" s="2">
        <v>1.25</v>
      </c>
      <c r="E3082" s="2">
        <v>252.0</v>
      </c>
      <c r="F3082" s="2">
        <v>283.41</v>
      </c>
      <c r="G3082" s="4">
        <f t="shared" si="3"/>
        <v>9379540.42</v>
      </c>
      <c r="H3082" s="4">
        <f t="shared" si="1"/>
        <v>0.9827252338</v>
      </c>
      <c r="I3082" s="4" t="str">
        <f t="shared" si="2"/>
        <v>C</v>
      </c>
    </row>
    <row r="3083">
      <c r="A3083" s="2">
        <v>3082.0</v>
      </c>
      <c r="B3083" s="2">
        <v>85202.0</v>
      </c>
      <c r="C3083" s="2" t="s">
        <v>3621</v>
      </c>
      <c r="D3083" s="2">
        <v>0.42</v>
      </c>
      <c r="E3083" s="2">
        <v>596.0</v>
      </c>
      <c r="F3083" s="2">
        <v>281.68</v>
      </c>
      <c r="G3083" s="4">
        <f t="shared" si="3"/>
        <v>9379822.1</v>
      </c>
      <c r="H3083" s="4">
        <f t="shared" si="1"/>
        <v>0.9827547463</v>
      </c>
      <c r="I3083" s="4" t="str">
        <f t="shared" si="2"/>
        <v>C</v>
      </c>
    </row>
    <row r="3084">
      <c r="A3084" s="2">
        <v>3083.0</v>
      </c>
      <c r="B3084" s="2" t="s">
        <v>3622</v>
      </c>
      <c r="C3084" s="2" t="s">
        <v>3623</v>
      </c>
      <c r="D3084" s="2">
        <v>24.95</v>
      </c>
      <c r="E3084" s="2">
        <v>34.0</v>
      </c>
      <c r="F3084" s="2">
        <v>281.46</v>
      </c>
      <c r="G3084" s="4">
        <f t="shared" si="3"/>
        <v>9380103.56</v>
      </c>
      <c r="H3084" s="4">
        <f t="shared" si="1"/>
        <v>0.9827842358</v>
      </c>
      <c r="I3084" s="4" t="str">
        <f t="shared" si="2"/>
        <v>C</v>
      </c>
    </row>
    <row r="3085">
      <c r="A3085" s="2">
        <v>3084.0</v>
      </c>
      <c r="B3085" s="2">
        <v>23272.0</v>
      </c>
      <c r="C3085" s="2" t="s">
        <v>3624</v>
      </c>
      <c r="D3085" s="2">
        <v>1.65</v>
      </c>
      <c r="E3085" s="2">
        <v>182.0</v>
      </c>
      <c r="F3085" s="2">
        <v>281.11</v>
      </c>
      <c r="G3085" s="4">
        <f t="shared" si="3"/>
        <v>9380384.67</v>
      </c>
      <c r="H3085" s="4">
        <f t="shared" si="1"/>
        <v>0.9828136886</v>
      </c>
      <c r="I3085" s="4" t="str">
        <f t="shared" si="2"/>
        <v>C</v>
      </c>
    </row>
    <row r="3086">
      <c r="A3086" s="2">
        <v>3085.0</v>
      </c>
      <c r="B3086" s="2" t="s">
        <v>3625</v>
      </c>
      <c r="C3086" s="2" t="s">
        <v>3626</v>
      </c>
      <c r="D3086" s="2">
        <v>1.25</v>
      </c>
      <c r="E3086" s="2">
        <v>218.0</v>
      </c>
      <c r="F3086" s="2">
        <v>281.09</v>
      </c>
      <c r="G3086" s="4">
        <f t="shared" si="3"/>
        <v>9380665.76</v>
      </c>
      <c r="H3086" s="4">
        <f t="shared" si="1"/>
        <v>0.9828431393</v>
      </c>
      <c r="I3086" s="4" t="str">
        <f t="shared" si="2"/>
        <v>C</v>
      </c>
    </row>
    <row r="3087">
      <c r="A3087" s="2">
        <v>3086.0</v>
      </c>
      <c r="B3087" s="2">
        <v>37345.0</v>
      </c>
      <c r="C3087" s="2" t="s">
        <v>3627</v>
      </c>
      <c r="D3087" s="2">
        <v>1.95</v>
      </c>
      <c r="E3087" s="2">
        <v>160.0</v>
      </c>
      <c r="F3087" s="2">
        <v>280.52</v>
      </c>
      <c r="G3087" s="4">
        <f t="shared" si="3"/>
        <v>9380946.28</v>
      </c>
      <c r="H3087" s="4">
        <f t="shared" si="1"/>
        <v>0.9828725303</v>
      </c>
      <c r="I3087" s="4" t="str">
        <f t="shared" si="2"/>
        <v>C</v>
      </c>
    </row>
    <row r="3088">
      <c r="A3088" s="2">
        <v>3087.0</v>
      </c>
      <c r="B3088" s="2">
        <v>84773.0</v>
      </c>
      <c r="C3088" s="2" t="s">
        <v>3628</v>
      </c>
      <c r="D3088" s="2">
        <v>2.95</v>
      </c>
      <c r="E3088" s="2">
        <v>95.0</v>
      </c>
      <c r="F3088" s="2">
        <v>280.25</v>
      </c>
      <c r="G3088" s="4">
        <f t="shared" si="3"/>
        <v>9381226.53</v>
      </c>
      <c r="H3088" s="4">
        <f t="shared" si="1"/>
        <v>0.982901893</v>
      </c>
      <c r="I3088" s="4" t="str">
        <f t="shared" si="2"/>
        <v>C</v>
      </c>
    </row>
    <row r="3089">
      <c r="A3089" s="2">
        <v>3088.0</v>
      </c>
      <c r="B3089" s="2">
        <v>16049.0</v>
      </c>
      <c r="C3089" s="2" t="s">
        <v>3629</v>
      </c>
      <c r="D3089" s="2">
        <v>0.42</v>
      </c>
      <c r="E3089" s="2">
        <v>1584.0</v>
      </c>
      <c r="F3089" s="2">
        <v>280.24</v>
      </c>
      <c r="G3089" s="4">
        <f t="shared" si="3"/>
        <v>9381506.77</v>
      </c>
      <c r="H3089" s="4">
        <f t="shared" si="1"/>
        <v>0.9829312547</v>
      </c>
      <c r="I3089" s="4" t="str">
        <f t="shared" si="2"/>
        <v>C</v>
      </c>
    </row>
    <row r="3090">
      <c r="A3090" s="2">
        <v>3089.0</v>
      </c>
      <c r="B3090" s="2">
        <v>16238.0</v>
      </c>
      <c r="C3090" s="2" t="s">
        <v>3630</v>
      </c>
      <c r="D3090" s="2">
        <v>0.21</v>
      </c>
      <c r="E3090" s="2">
        <v>1224.0</v>
      </c>
      <c r="F3090" s="2">
        <v>279.98</v>
      </c>
      <c r="G3090" s="4">
        <f t="shared" si="3"/>
        <v>9381786.75</v>
      </c>
      <c r="H3090" s="4">
        <f t="shared" si="1"/>
        <v>0.9829605891</v>
      </c>
      <c r="I3090" s="4" t="str">
        <f t="shared" si="2"/>
        <v>C</v>
      </c>
    </row>
    <row r="3091">
      <c r="A3091" s="2">
        <v>3090.0</v>
      </c>
      <c r="B3091" s="2" t="s">
        <v>3631</v>
      </c>
      <c r="C3091" s="2" t="s">
        <v>3632</v>
      </c>
      <c r="D3091" s="2">
        <v>3.75</v>
      </c>
      <c r="E3091" s="2">
        <v>160.0</v>
      </c>
      <c r="F3091" s="2">
        <v>279.64</v>
      </c>
      <c r="G3091" s="4">
        <f t="shared" si="3"/>
        <v>9382066.39</v>
      </c>
      <c r="H3091" s="4">
        <f t="shared" si="1"/>
        <v>0.9829898879</v>
      </c>
      <c r="I3091" s="4" t="str">
        <f t="shared" si="2"/>
        <v>C</v>
      </c>
    </row>
    <row r="3092">
      <c r="A3092" s="2">
        <v>3091.0</v>
      </c>
      <c r="B3092" s="2">
        <v>23451.0</v>
      </c>
      <c r="C3092" s="2" t="s">
        <v>3633</v>
      </c>
      <c r="D3092" s="2">
        <v>1.95</v>
      </c>
      <c r="E3092" s="2">
        <v>139.0</v>
      </c>
      <c r="F3092" s="2">
        <v>279.06</v>
      </c>
      <c r="G3092" s="4">
        <f t="shared" si="3"/>
        <v>9382345.45</v>
      </c>
      <c r="H3092" s="4">
        <f t="shared" si="1"/>
        <v>0.983019126</v>
      </c>
      <c r="I3092" s="4" t="str">
        <f t="shared" si="2"/>
        <v>C</v>
      </c>
    </row>
    <row r="3093">
      <c r="A3093" s="2">
        <v>3092.0</v>
      </c>
      <c r="B3093" s="2">
        <v>84306.0</v>
      </c>
      <c r="C3093" s="2" t="s">
        <v>3634</v>
      </c>
      <c r="D3093" s="2">
        <v>10.95</v>
      </c>
      <c r="E3093" s="2">
        <v>24.0</v>
      </c>
      <c r="F3093" s="2">
        <v>278.74</v>
      </c>
      <c r="G3093" s="4">
        <f t="shared" si="3"/>
        <v>9382624.19</v>
      </c>
      <c r="H3093" s="4">
        <f t="shared" si="1"/>
        <v>0.9830483305</v>
      </c>
      <c r="I3093" s="4" t="str">
        <f t="shared" si="2"/>
        <v>C</v>
      </c>
    </row>
    <row r="3094">
      <c r="A3094" s="2">
        <v>3093.0</v>
      </c>
      <c r="B3094" s="2">
        <v>21371.0</v>
      </c>
      <c r="C3094" s="2" t="s">
        <v>3635</v>
      </c>
      <c r="D3094" s="2">
        <v>2.55</v>
      </c>
      <c r="E3094" s="2">
        <v>202.0</v>
      </c>
      <c r="F3094" s="2">
        <v>278.0</v>
      </c>
      <c r="G3094" s="4">
        <f t="shared" si="3"/>
        <v>9382902.19</v>
      </c>
      <c r="H3094" s="4">
        <f t="shared" si="1"/>
        <v>0.9830774574</v>
      </c>
      <c r="I3094" s="4" t="str">
        <f t="shared" si="2"/>
        <v>C</v>
      </c>
    </row>
    <row r="3095">
      <c r="A3095" s="2">
        <v>3094.0</v>
      </c>
      <c r="B3095" s="2">
        <v>20838.0</v>
      </c>
      <c r="C3095" s="2" t="s">
        <v>3636</v>
      </c>
      <c r="D3095" s="2">
        <v>0.85</v>
      </c>
      <c r="E3095" s="2">
        <v>217.0</v>
      </c>
      <c r="F3095" s="2">
        <v>277.8</v>
      </c>
      <c r="G3095" s="4">
        <f t="shared" si="3"/>
        <v>9383179.99</v>
      </c>
      <c r="H3095" s="4">
        <f t="shared" si="1"/>
        <v>0.9831065635</v>
      </c>
      <c r="I3095" s="4" t="str">
        <f t="shared" si="2"/>
        <v>C</v>
      </c>
    </row>
    <row r="3096">
      <c r="A3096" s="2">
        <v>3095.0</v>
      </c>
      <c r="B3096" s="2" t="s">
        <v>3637</v>
      </c>
      <c r="C3096" s="2" t="s">
        <v>3638</v>
      </c>
      <c r="D3096" s="2">
        <v>1.25</v>
      </c>
      <c r="E3096" s="2">
        <v>216.0</v>
      </c>
      <c r="F3096" s="2">
        <v>277.7</v>
      </c>
      <c r="G3096" s="4">
        <f t="shared" si="3"/>
        <v>9383457.69</v>
      </c>
      <c r="H3096" s="4">
        <f t="shared" si="1"/>
        <v>0.983135659</v>
      </c>
      <c r="I3096" s="4" t="str">
        <f t="shared" si="2"/>
        <v>C</v>
      </c>
    </row>
    <row r="3097">
      <c r="A3097" s="2">
        <v>3096.0</v>
      </c>
      <c r="B3097" s="2">
        <v>21881.0</v>
      </c>
      <c r="C3097" s="2" t="s">
        <v>3639</v>
      </c>
      <c r="D3097" s="2">
        <v>0.65</v>
      </c>
      <c r="E3097" s="2">
        <v>666.0</v>
      </c>
      <c r="F3097" s="2">
        <v>277.48</v>
      </c>
      <c r="G3097" s="4">
        <f t="shared" si="3"/>
        <v>9383735.17</v>
      </c>
      <c r="H3097" s="4">
        <f t="shared" si="1"/>
        <v>0.9831647315</v>
      </c>
      <c r="I3097" s="4" t="str">
        <f t="shared" si="2"/>
        <v>C</v>
      </c>
    </row>
    <row r="3098">
      <c r="A3098" s="2">
        <v>3097.0</v>
      </c>
      <c r="B3098" s="2">
        <v>23457.0</v>
      </c>
      <c r="C3098" s="2" t="s">
        <v>3640</v>
      </c>
      <c r="D3098" s="2">
        <v>4.95</v>
      </c>
      <c r="E3098" s="2">
        <v>56.0</v>
      </c>
      <c r="F3098" s="2">
        <v>277.42</v>
      </c>
      <c r="G3098" s="4">
        <f t="shared" si="3"/>
        <v>9384012.59</v>
      </c>
      <c r="H3098" s="4">
        <f t="shared" si="1"/>
        <v>0.9831937977</v>
      </c>
      <c r="I3098" s="4" t="str">
        <f t="shared" si="2"/>
        <v>C</v>
      </c>
    </row>
    <row r="3099">
      <c r="A3099" s="2">
        <v>3098.0</v>
      </c>
      <c r="B3099" s="2" t="s">
        <v>3641</v>
      </c>
      <c r="C3099" s="2" t="s">
        <v>3642</v>
      </c>
      <c r="D3099" s="2">
        <v>4.25</v>
      </c>
      <c r="E3099" s="2">
        <v>67.0</v>
      </c>
      <c r="F3099" s="2">
        <v>277.06</v>
      </c>
      <c r="G3099" s="4">
        <f t="shared" si="3"/>
        <v>9384289.65</v>
      </c>
      <c r="H3099" s="4">
        <f t="shared" si="1"/>
        <v>0.9832228262</v>
      </c>
      <c r="I3099" s="4" t="str">
        <f t="shared" si="2"/>
        <v>C</v>
      </c>
    </row>
    <row r="3100">
      <c r="A3100" s="2">
        <v>3099.0</v>
      </c>
      <c r="B3100" s="2">
        <v>90143.0</v>
      </c>
      <c r="C3100" s="2" t="s">
        <v>3643</v>
      </c>
      <c r="D3100" s="2">
        <v>7.5</v>
      </c>
      <c r="E3100" s="2">
        <v>36.0</v>
      </c>
      <c r="F3100" s="2">
        <v>277.06</v>
      </c>
      <c r="G3100" s="4">
        <f t="shared" si="3"/>
        <v>9384566.71</v>
      </c>
      <c r="H3100" s="4">
        <f t="shared" si="1"/>
        <v>0.9832518547</v>
      </c>
      <c r="I3100" s="4" t="str">
        <f t="shared" si="2"/>
        <v>C</v>
      </c>
    </row>
    <row r="3101">
      <c r="A3101" s="2">
        <v>3100.0</v>
      </c>
      <c r="B3101" s="2">
        <v>84675.0</v>
      </c>
      <c r="C3101" s="2" t="s">
        <v>3644</v>
      </c>
      <c r="D3101" s="2">
        <v>2.95</v>
      </c>
      <c r="E3101" s="2">
        <v>100.0</v>
      </c>
      <c r="F3101" s="2">
        <v>277.0</v>
      </c>
      <c r="G3101" s="4">
        <f t="shared" si="3"/>
        <v>9384843.71</v>
      </c>
      <c r="H3101" s="4">
        <f t="shared" si="1"/>
        <v>0.9832808769</v>
      </c>
      <c r="I3101" s="4" t="str">
        <f t="shared" si="2"/>
        <v>C</v>
      </c>
    </row>
    <row r="3102">
      <c r="A3102" s="2">
        <v>3101.0</v>
      </c>
      <c r="B3102" s="2">
        <v>23473.0</v>
      </c>
      <c r="C3102" s="2" t="s">
        <v>3645</v>
      </c>
      <c r="D3102" s="2">
        <v>0.83</v>
      </c>
      <c r="E3102" s="2">
        <v>340.0</v>
      </c>
      <c r="F3102" s="2">
        <v>276.42</v>
      </c>
      <c r="G3102" s="4">
        <f t="shared" si="3"/>
        <v>9385120.13</v>
      </c>
      <c r="H3102" s="4">
        <f t="shared" si="1"/>
        <v>0.9833098383</v>
      </c>
      <c r="I3102" s="4" t="str">
        <f t="shared" si="2"/>
        <v>C</v>
      </c>
    </row>
    <row r="3103">
      <c r="A3103" s="2">
        <v>3102.0</v>
      </c>
      <c r="B3103" s="2" t="s">
        <v>3646</v>
      </c>
      <c r="C3103" s="2" t="s">
        <v>3647</v>
      </c>
      <c r="D3103" s="2">
        <v>1.95</v>
      </c>
      <c r="E3103" s="2">
        <v>152.0</v>
      </c>
      <c r="F3103" s="2">
        <v>276.36</v>
      </c>
      <c r="G3103" s="4">
        <f t="shared" si="3"/>
        <v>9385396.49</v>
      </c>
      <c r="H3103" s="4">
        <f t="shared" si="1"/>
        <v>0.9833387934</v>
      </c>
      <c r="I3103" s="4" t="str">
        <f t="shared" si="2"/>
        <v>C</v>
      </c>
    </row>
    <row r="3104">
      <c r="A3104" s="2">
        <v>3103.0</v>
      </c>
      <c r="B3104" s="2" t="s">
        <v>3648</v>
      </c>
      <c r="C3104" s="2" t="s">
        <v>3649</v>
      </c>
      <c r="D3104" s="2">
        <v>2.95</v>
      </c>
      <c r="E3104" s="2">
        <v>170.0</v>
      </c>
      <c r="F3104" s="2">
        <v>275.7</v>
      </c>
      <c r="G3104" s="4">
        <f t="shared" si="3"/>
        <v>9385672.19</v>
      </c>
      <c r="H3104" s="4">
        <f t="shared" si="1"/>
        <v>0.9833676794</v>
      </c>
      <c r="I3104" s="4" t="str">
        <f t="shared" si="2"/>
        <v>C</v>
      </c>
    </row>
    <row r="3105">
      <c r="A3105" s="2">
        <v>3104.0</v>
      </c>
      <c r="B3105" s="2" t="s">
        <v>3650</v>
      </c>
      <c r="C3105" s="2" t="s">
        <v>3651</v>
      </c>
      <c r="D3105" s="2">
        <v>0.39</v>
      </c>
      <c r="E3105" s="2">
        <v>442.0</v>
      </c>
      <c r="F3105" s="2">
        <v>274.43</v>
      </c>
      <c r="G3105" s="4">
        <f t="shared" si="3"/>
        <v>9385946.62</v>
      </c>
      <c r="H3105" s="4">
        <f t="shared" si="1"/>
        <v>0.9833964324</v>
      </c>
      <c r="I3105" s="4" t="str">
        <f t="shared" si="2"/>
        <v>C</v>
      </c>
    </row>
    <row r="3106">
      <c r="A3106" s="2">
        <v>3105.0</v>
      </c>
      <c r="B3106" s="2">
        <v>37423.0</v>
      </c>
      <c r="C3106" s="2" t="s">
        <v>3652</v>
      </c>
      <c r="D3106" s="2">
        <v>1.66</v>
      </c>
      <c r="E3106" s="2">
        <v>1608.0</v>
      </c>
      <c r="F3106" s="2">
        <v>274.34</v>
      </c>
      <c r="G3106" s="4">
        <f t="shared" si="3"/>
        <v>9386220.96</v>
      </c>
      <c r="H3106" s="4">
        <f t="shared" si="1"/>
        <v>0.9834251759</v>
      </c>
      <c r="I3106" s="4" t="str">
        <f t="shared" si="2"/>
        <v>C</v>
      </c>
    </row>
    <row r="3107">
      <c r="A3107" s="2">
        <v>3106.0</v>
      </c>
      <c r="B3107" s="2">
        <v>23549.0</v>
      </c>
      <c r="C3107" s="2" t="s">
        <v>3653</v>
      </c>
      <c r="D3107" s="2">
        <v>0.42</v>
      </c>
      <c r="E3107" s="2">
        <v>652.0</v>
      </c>
      <c r="F3107" s="2">
        <v>274.05</v>
      </c>
      <c r="G3107" s="4">
        <f t="shared" si="3"/>
        <v>9386495.01</v>
      </c>
      <c r="H3107" s="4">
        <f t="shared" si="1"/>
        <v>0.983453889</v>
      </c>
      <c r="I3107" s="4" t="str">
        <f t="shared" si="2"/>
        <v>C</v>
      </c>
    </row>
    <row r="3108">
      <c r="A3108" s="2">
        <v>3107.0</v>
      </c>
      <c r="B3108" s="2">
        <v>20888.0</v>
      </c>
      <c r="C3108" s="2" t="s">
        <v>3654</v>
      </c>
      <c r="D3108" s="2">
        <v>3.75</v>
      </c>
      <c r="E3108" s="2">
        <v>184.0</v>
      </c>
      <c r="F3108" s="2">
        <v>273.87</v>
      </c>
      <c r="G3108" s="4">
        <f t="shared" si="3"/>
        <v>9386768.88</v>
      </c>
      <c r="H3108" s="4">
        <f t="shared" si="1"/>
        <v>0.9834825832</v>
      </c>
      <c r="I3108" s="4" t="str">
        <f t="shared" si="2"/>
        <v>C</v>
      </c>
    </row>
    <row r="3109">
      <c r="A3109" s="2">
        <v>3108.0</v>
      </c>
      <c r="B3109" s="2">
        <v>23484.0</v>
      </c>
      <c r="C3109" s="2" t="s">
        <v>3655</v>
      </c>
      <c r="D3109" s="2">
        <v>2.89</v>
      </c>
      <c r="E3109" s="2">
        <v>92.0</v>
      </c>
      <c r="F3109" s="2">
        <v>273.68</v>
      </c>
      <c r="G3109" s="4">
        <f t="shared" si="3"/>
        <v>9387042.56</v>
      </c>
      <c r="H3109" s="4">
        <f t="shared" si="1"/>
        <v>0.9835112576</v>
      </c>
      <c r="I3109" s="4" t="str">
        <f t="shared" si="2"/>
        <v>C</v>
      </c>
    </row>
    <row r="3110">
      <c r="A3110" s="2">
        <v>3109.0</v>
      </c>
      <c r="B3110" s="2" t="s">
        <v>3656</v>
      </c>
      <c r="C3110" s="2" t="s">
        <v>3657</v>
      </c>
      <c r="D3110" s="2">
        <v>0.38</v>
      </c>
      <c r="E3110" s="2">
        <v>559.0</v>
      </c>
      <c r="F3110" s="2">
        <v>273.62</v>
      </c>
      <c r="G3110" s="4">
        <f t="shared" si="3"/>
        <v>9387316.18</v>
      </c>
      <c r="H3110" s="4">
        <f t="shared" si="1"/>
        <v>0.9835399257</v>
      </c>
      <c r="I3110" s="4" t="str">
        <f t="shared" si="2"/>
        <v>C</v>
      </c>
    </row>
    <row r="3111">
      <c r="A3111" s="2">
        <v>3110.0</v>
      </c>
      <c r="B3111" s="2">
        <v>21311.0</v>
      </c>
      <c r="C3111" s="2" t="s">
        <v>3658</v>
      </c>
      <c r="D3111" s="2">
        <v>2.1</v>
      </c>
      <c r="E3111" s="2">
        <v>364.0</v>
      </c>
      <c r="F3111" s="2">
        <v>273.6</v>
      </c>
      <c r="G3111" s="4">
        <f t="shared" si="3"/>
        <v>9387589.78</v>
      </c>
      <c r="H3111" s="4">
        <f t="shared" si="1"/>
        <v>0.9835685916</v>
      </c>
      <c r="I3111" s="4" t="str">
        <f t="shared" si="2"/>
        <v>C</v>
      </c>
    </row>
    <row r="3112">
      <c r="A3112" s="2">
        <v>3111.0</v>
      </c>
      <c r="B3112" s="2">
        <v>72267.0</v>
      </c>
      <c r="C3112" s="2" t="s">
        <v>3659</v>
      </c>
      <c r="D3112" s="2">
        <v>2.1</v>
      </c>
      <c r="E3112" s="2">
        <v>136.0</v>
      </c>
      <c r="F3112" s="2">
        <v>273.48</v>
      </c>
      <c r="G3112" s="4">
        <f t="shared" si="3"/>
        <v>9387863.26</v>
      </c>
      <c r="H3112" s="4">
        <f t="shared" si="1"/>
        <v>0.983597245</v>
      </c>
      <c r="I3112" s="4" t="str">
        <f t="shared" si="2"/>
        <v>C</v>
      </c>
    </row>
    <row r="3113">
      <c r="A3113" s="2">
        <v>3112.0</v>
      </c>
      <c r="B3113" s="2">
        <v>35969.0</v>
      </c>
      <c r="C3113" s="2" t="s">
        <v>3660</v>
      </c>
      <c r="D3113" s="2">
        <v>1.65</v>
      </c>
      <c r="E3113" s="2">
        <v>262.0</v>
      </c>
      <c r="F3113" s="2">
        <v>272.88</v>
      </c>
      <c r="G3113" s="4">
        <f t="shared" si="3"/>
        <v>9388136.14</v>
      </c>
      <c r="H3113" s="4">
        <f t="shared" si="1"/>
        <v>0.9836258356</v>
      </c>
      <c r="I3113" s="4" t="str">
        <f t="shared" si="2"/>
        <v>C</v>
      </c>
    </row>
    <row r="3114">
      <c r="A3114" s="2">
        <v>3113.0</v>
      </c>
      <c r="B3114" s="2">
        <v>85090.0</v>
      </c>
      <c r="C3114" s="2" t="s">
        <v>3661</v>
      </c>
      <c r="D3114" s="2">
        <v>4.65</v>
      </c>
      <c r="E3114" s="2">
        <v>52.0</v>
      </c>
      <c r="F3114" s="2">
        <v>272.67</v>
      </c>
      <c r="G3114" s="4">
        <f t="shared" si="3"/>
        <v>9388408.81</v>
      </c>
      <c r="H3114" s="4">
        <f t="shared" si="1"/>
        <v>0.9836544041</v>
      </c>
      <c r="I3114" s="4" t="str">
        <f t="shared" si="2"/>
        <v>C</v>
      </c>
    </row>
    <row r="3115">
      <c r="A3115" s="2">
        <v>3114.0</v>
      </c>
      <c r="B3115" s="2">
        <v>22044.0</v>
      </c>
      <c r="C3115" s="2" t="s">
        <v>3662</v>
      </c>
      <c r="D3115" s="2">
        <v>0.42</v>
      </c>
      <c r="E3115" s="2">
        <v>964.0</v>
      </c>
      <c r="F3115" s="2">
        <v>272.62</v>
      </c>
      <c r="G3115" s="4">
        <f t="shared" si="3"/>
        <v>9388681.43</v>
      </c>
      <c r="H3115" s="4">
        <f t="shared" si="1"/>
        <v>0.9836829674</v>
      </c>
      <c r="I3115" s="4" t="str">
        <f t="shared" si="2"/>
        <v>C</v>
      </c>
    </row>
    <row r="3116">
      <c r="A3116" s="2">
        <v>3115.0</v>
      </c>
      <c r="B3116" s="2">
        <v>21339.0</v>
      </c>
      <c r="C3116" s="2" t="s">
        <v>3663</v>
      </c>
      <c r="D3116" s="2">
        <v>19.95</v>
      </c>
      <c r="E3116" s="2">
        <v>15.0</v>
      </c>
      <c r="F3116" s="2">
        <v>272.25</v>
      </c>
      <c r="G3116" s="4">
        <f t="shared" si="3"/>
        <v>9388953.68</v>
      </c>
      <c r="H3116" s="4">
        <f t="shared" si="1"/>
        <v>0.9837114919</v>
      </c>
      <c r="I3116" s="4" t="str">
        <f t="shared" si="2"/>
        <v>C</v>
      </c>
    </row>
    <row r="3117">
      <c r="A3117" s="2">
        <v>3116.0</v>
      </c>
      <c r="B3117" s="2">
        <v>23043.0</v>
      </c>
      <c r="C3117" s="2" t="s">
        <v>3664</v>
      </c>
      <c r="D3117" s="2">
        <v>6.25</v>
      </c>
      <c r="E3117" s="2">
        <v>40.0</v>
      </c>
      <c r="F3117" s="2">
        <v>271.76</v>
      </c>
      <c r="G3117" s="4">
        <f t="shared" si="3"/>
        <v>9389225.44</v>
      </c>
      <c r="H3117" s="4">
        <f t="shared" si="1"/>
        <v>0.9837399651</v>
      </c>
      <c r="I3117" s="4" t="str">
        <f t="shared" si="2"/>
        <v>C</v>
      </c>
    </row>
    <row r="3118">
      <c r="A3118" s="2">
        <v>3117.0</v>
      </c>
      <c r="B3118" s="2" t="s">
        <v>3665</v>
      </c>
      <c r="C3118" s="2" t="s">
        <v>3666</v>
      </c>
      <c r="D3118" s="2">
        <v>1.25</v>
      </c>
      <c r="E3118" s="2">
        <v>214.0</v>
      </c>
      <c r="F3118" s="2">
        <v>271.7</v>
      </c>
      <c r="G3118" s="4">
        <f t="shared" si="3"/>
        <v>9389497.14</v>
      </c>
      <c r="H3118" s="4">
        <f t="shared" si="1"/>
        <v>0.983768432</v>
      </c>
      <c r="I3118" s="4" t="str">
        <f t="shared" si="2"/>
        <v>C</v>
      </c>
    </row>
    <row r="3119">
      <c r="A3119" s="2">
        <v>3118.0</v>
      </c>
      <c r="B3119" s="2">
        <v>23074.0</v>
      </c>
      <c r="C3119" s="2" t="s">
        <v>3667</v>
      </c>
      <c r="D3119" s="2">
        <v>2.08</v>
      </c>
      <c r="E3119" s="2">
        <v>122.0</v>
      </c>
      <c r="F3119" s="2">
        <v>271.56</v>
      </c>
      <c r="G3119" s="4">
        <f t="shared" si="3"/>
        <v>9389768.7</v>
      </c>
      <c r="H3119" s="4">
        <f t="shared" si="1"/>
        <v>0.9837968842</v>
      </c>
      <c r="I3119" s="4" t="str">
        <f t="shared" si="2"/>
        <v>C</v>
      </c>
    </row>
    <row r="3120">
      <c r="A3120" s="2">
        <v>3119.0</v>
      </c>
      <c r="B3120" s="2">
        <v>20943.0</v>
      </c>
      <c r="C3120" s="2" t="s">
        <v>3668</v>
      </c>
      <c r="D3120" s="2">
        <v>1.25</v>
      </c>
      <c r="E3120" s="2">
        <v>192.0</v>
      </c>
      <c r="F3120" s="2">
        <v>271.36</v>
      </c>
      <c r="G3120" s="4">
        <f t="shared" si="3"/>
        <v>9390040.06</v>
      </c>
      <c r="H3120" s="4">
        <f t="shared" si="1"/>
        <v>0.9838253155</v>
      </c>
      <c r="I3120" s="4" t="str">
        <f t="shared" si="2"/>
        <v>C</v>
      </c>
    </row>
    <row r="3121">
      <c r="A3121" s="2">
        <v>3120.0</v>
      </c>
      <c r="B3121" s="2">
        <v>84592.0</v>
      </c>
      <c r="C3121" s="2" t="s">
        <v>3669</v>
      </c>
      <c r="D3121" s="2">
        <v>2.95</v>
      </c>
      <c r="E3121" s="2">
        <v>88.0</v>
      </c>
      <c r="F3121" s="2">
        <v>271.15</v>
      </c>
      <c r="G3121" s="4">
        <f t="shared" si="3"/>
        <v>9390311.21</v>
      </c>
      <c r="H3121" s="4">
        <f t="shared" si="1"/>
        <v>0.9838537248</v>
      </c>
      <c r="I3121" s="4" t="str">
        <f t="shared" si="2"/>
        <v>C</v>
      </c>
    </row>
    <row r="3122">
      <c r="A3122" s="2">
        <v>3121.0</v>
      </c>
      <c r="B3122" s="2" t="s">
        <v>3670</v>
      </c>
      <c r="C3122" s="2" t="s">
        <v>3671</v>
      </c>
      <c r="D3122" s="2">
        <v>1.25</v>
      </c>
      <c r="E3122" s="2">
        <v>356.0</v>
      </c>
      <c r="F3122" s="2">
        <v>270.98</v>
      </c>
      <c r="G3122" s="4">
        <f t="shared" si="3"/>
        <v>9390582.19</v>
      </c>
      <c r="H3122" s="4">
        <f t="shared" si="1"/>
        <v>0.9838821162</v>
      </c>
      <c r="I3122" s="4" t="str">
        <f t="shared" si="2"/>
        <v>C</v>
      </c>
    </row>
    <row r="3123">
      <c r="A3123" s="2">
        <v>3122.0</v>
      </c>
      <c r="B3123" s="2">
        <v>90203.0</v>
      </c>
      <c r="C3123" s="2" t="s">
        <v>3672</v>
      </c>
      <c r="D3123" s="2">
        <v>7.5</v>
      </c>
      <c r="E3123" s="2">
        <v>36.0</v>
      </c>
      <c r="F3123" s="2">
        <v>270.88</v>
      </c>
      <c r="G3123" s="4">
        <f t="shared" si="3"/>
        <v>9390853.07</v>
      </c>
      <c r="H3123" s="4">
        <f t="shared" si="1"/>
        <v>0.9839104972</v>
      </c>
      <c r="I3123" s="4" t="str">
        <f t="shared" si="2"/>
        <v>C</v>
      </c>
    </row>
    <row r="3124">
      <c r="A3124" s="2">
        <v>3123.0</v>
      </c>
      <c r="B3124" s="2">
        <v>85119.0</v>
      </c>
      <c r="C3124" s="2" t="s">
        <v>3673</v>
      </c>
      <c r="D3124" s="2">
        <v>1.69</v>
      </c>
      <c r="E3124" s="2">
        <v>198.0</v>
      </c>
      <c r="F3124" s="2">
        <v>270.22</v>
      </c>
      <c r="G3124" s="4">
        <f t="shared" si="3"/>
        <v>9391123.29</v>
      </c>
      <c r="H3124" s="4">
        <f t="shared" si="1"/>
        <v>0.9839388091</v>
      </c>
      <c r="I3124" s="4" t="str">
        <f t="shared" si="2"/>
        <v>C</v>
      </c>
    </row>
    <row r="3125">
      <c r="A3125" s="2">
        <v>3124.0</v>
      </c>
      <c r="B3125" s="2">
        <v>21373.0</v>
      </c>
      <c r="C3125" s="2" t="s">
        <v>3674</v>
      </c>
      <c r="D3125" s="2">
        <v>0.75</v>
      </c>
      <c r="E3125" s="2">
        <v>312.0</v>
      </c>
      <c r="F3125" s="2">
        <v>269.94</v>
      </c>
      <c r="G3125" s="4">
        <f t="shared" si="3"/>
        <v>9391393.23</v>
      </c>
      <c r="H3125" s="4">
        <f t="shared" si="1"/>
        <v>0.9839670916</v>
      </c>
      <c r="I3125" s="4" t="str">
        <f t="shared" si="2"/>
        <v>C</v>
      </c>
    </row>
    <row r="3126">
      <c r="A3126" s="2">
        <v>3125.0</v>
      </c>
      <c r="B3126" s="2">
        <v>23398.0</v>
      </c>
      <c r="C3126" s="2" t="s">
        <v>3675</v>
      </c>
      <c r="D3126" s="2">
        <v>0.85</v>
      </c>
      <c r="E3126" s="2">
        <v>305.0</v>
      </c>
      <c r="F3126" s="2">
        <v>269.38</v>
      </c>
      <c r="G3126" s="4">
        <f t="shared" si="3"/>
        <v>9391662.61</v>
      </c>
      <c r="H3126" s="4">
        <f t="shared" si="1"/>
        <v>0.9839953154</v>
      </c>
      <c r="I3126" s="4" t="str">
        <f t="shared" si="2"/>
        <v>C</v>
      </c>
    </row>
    <row r="3127">
      <c r="A3127" s="2">
        <v>3126.0</v>
      </c>
      <c r="B3127" s="2">
        <v>20659.0</v>
      </c>
      <c r="C3127" s="2" t="s">
        <v>3676</v>
      </c>
      <c r="D3127" s="2">
        <v>1.25</v>
      </c>
      <c r="E3127" s="2">
        <v>186.0</v>
      </c>
      <c r="F3127" s="2">
        <v>269.26</v>
      </c>
      <c r="G3127" s="4">
        <f t="shared" si="3"/>
        <v>9391931.87</v>
      </c>
      <c r="H3127" s="4">
        <f t="shared" si="1"/>
        <v>0.9840235266</v>
      </c>
      <c r="I3127" s="4" t="str">
        <f t="shared" si="2"/>
        <v>C</v>
      </c>
    </row>
    <row r="3128">
      <c r="A3128" s="2">
        <v>3127.0</v>
      </c>
      <c r="B3128" s="2">
        <v>21017.0</v>
      </c>
      <c r="C3128" s="2" t="s">
        <v>3677</v>
      </c>
      <c r="D3128" s="2">
        <v>1.06</v>
      </c>
      <c r="E3128" s="2">
        <v>331.0</v>
      </c>
      <c r="F3128" s="2">
        <v>269.22</v>
      </c>
      <c r="G3128" s="4">
        <f t="shared" si="3"/>
        <v>9392201.09</v>
      </c>
      <c r="H3128" s="4">
        <f t="shared" si="1"/>
        <v>0.9840517337</v>
      </c>
      <c r="I3128" s="4" t="str">
        <f t="shared" si="2"/>
        <v>C</v>
      </c>
    </row>
    <row r="3129">
      <c r="A3129" s="2">
        <v>3128.0</v>
      </c>
      <c r="B3129" s="2">
        <v>16048.0</v>
      </c>
      <c r="C3129" s="2" t="s">
        <v>3678</v>
      </c>
      <c r="D3129" s="2">
        <v>0.12</v>
      </c>
      <c r="E3129" s="2">
        <v>1731.0</v>
      </c>
      <c r="F3129" s="2">
        <v>268.59</v>
      </c>
      <c r="G3129" s="4">
        <f t="shared" si="3"/>
        <v>9392469.68</v>
      </c>
      <c r="H3129" s="4">
        <f t="shared" si="1"/>
        <v>0.9840798748</v>
      </c>
      <c r="I3129" s="4" t="str">
        <f t="shared" si="2"/>
        <v>C</v>
      </c>
    </row>
    <row r="3130">
      <c r="A3130" s="2">
        <v>3129.0</v>
      </c>
      <c r="B3130" s="2">
        <v>20823.0</v>
      </c>
      <c r="C3130" s="2" t="s">
        <v>3679</v>
      </c>
      <c r="D3130" s="2">
        <v>4.25</v>
      </c>
      <c r="E3130" s="2">
        <v>128.0</v>
      </c>
      <c r="F3130" s="2">
        <v>268.44</v>
      </c>
      <c r="G3130" s="4">
        <f t="shared" si="3"/>
        <v>9392738.12</v>
      </c>
      <c r="H3130" s="4">
        <f t="shared" si="1"/>
        <v>0.9841080001</v>
      </c>
      <c r="I3130" s="4" t="str">
        <f t="shared" si="2"/>
        <v>C</v>
      </c>
    </row>
    <row r="3131">
      <c r="A3131" s="2">
        <v>3130.0</v>
      </c>
      <c r="B3131" s="2" t="s">
        <v>3680</v>
      </c>
      <c r="C3131" s="2" t="s">
        <v>3681</v>
      </c>
      <c r="D3131" s="2">
        <v>5.95</v>
      </c>
      <c r="E3131" s="2">
        <v>39.0</v>
      </c>
      <c r="F3131" s="2">
        <v>268.12</v>
      </c>
      <c r="G3131" s="4">
        <f t="shared" si="3"/>
        <v>9393006.24</v>
      </c>
      <c r="H3131" s="4">
        <f t="shared" si="1"/>
        <v>0.9841360919</v>
      </c>
      <c r="I3131" s="4" t="str">
        <f t="shared" si="2"/>
        <v>C</v>
      </c>
    </row>
    <row r="3132">
      <c r="A3132" s="2">
        <v>3131.0</v>
      </c>
      <c r="B3132" s="2" t="s">
        <v>3682</v>
      </c>
      <c r="C3132" s="2" t="s">
        <v>3683</v>
      </c>
      <c r="D3132" s="2">
        <v>2.95</v>
      </c>
      <c r="E3132" s="2">
        <v>183.0</v>
      </c>
      <c r="F3132" s="2">
        <v>267.21</v>
      </c>
      <c r="G3132" s="4">
        <f t="shared" si="3"/>
        <v>9393273.45</v>
      </c>
      <c r="H3132" s="4">
        <f t="shared" si="1"/>
        <v>0.9841640884</v>
      </c>
      <c r="I3132" s="4" t="str">
        <f t="shared" si="2"/>
        <v>C</v>
      </c>
    </row>
    <row r="3133">
      <c r="A3133" s="2">
        <v>3132.0</v>
      </c>
      <c r="B3133" s="2">
        <v>85142.0</v>
      </c>
      <c r="C3133" s="2" t="s">
        <v>3684</v>
      </c>
      <c r="D3133" s="2">
        <v>7.95</v>
      </c>
      <c r="E3133" s="2">
        <v>30.0</v>
      </c>
      <c r="F3133" s="2">
        <v>267.19</v>
      </c>
      <c r="G3133" s="4">
        <f t="shared" si="3"/>
        <v>9393540.64</v>
      </c>
      <c r="H3133" s="4">
        <f t="shared" si="1"/>
        <v>0.9841920828</v>
      </c>
      <c r="I3133" s="4" t="str">
        <f t="shared" si="2"/>
        <v>C</v>
      </c>
    </row>
    <row r="3134">
      <c r="A3134" s="2">
        <v>3133.0</v>
      </c>
      <c r="B3134" s="2">
        <v>22394.0</v>
      </c>
      <c r="C3134" s="2" t="s">
        <v>3685</v>
      </c>
      <c r="D3134" s="2">
        <v>2.55</v>
      </c>
      <c r="E3134" s="2">
        <v>171.0</v>
      </c>
      <c r="F3134" s="2">
        <v>267.04</v>
      </c>
      <c r="G3134" s="4">
        <f t="shared" si="3"/>
        <v>9393807.68</v>
      </c>
      <c r="H3134" s="4">
        <f t="shared" si="1"/>
        <v>0.9842200614</v>
      </c>
      <c r="I3134" s="4" t="str">
        <f t="shared" si="2"/>
        <v>C</v>
      </c>
    </row>
    <row r="3135">
      <c r="A3135" s="2">
        <v>3134.0</v>
      </c>
      <c r="B3135" s="2" t="s">
        <v>3686</v>
      </c>
      <c r="C3135" s="2" t="s">
        <v>3687</v>
      </c>
      <c r="D3135" s="2">
        <v>0.42</v>
      </c>
      <c r="E3135" s="2">
        <v>875.0</v>
      </c>
      <c r="F3135" s="2">
        <v>266.88</v>
      </c>
      <c r="G3135" s="4">
        <f t="shared" si="3"/>
        <v>9394074.56</v>
      </c>
      <c r="H3135" s="4">
        <f t="shared" si="1"/>
        <v>0.9842480233</v>
      </c>
      <c r="I3135" s="4" t="str">
        <f t="shared" si="2"/>
        <v>C</v>
      </c>
    </row>
    <row r="3136">
      <c r="A3136" s="2">
        <v>3135.0</v>
      </c>
      <c r="B3136" s="2">
        <v>85020.0</v>
      </c>
      <c r="C3136" s="2" t="s">
        <v>3688</v>
      </c>
      <c r="D3136" s="2">
        <v>2.1</v>
      </c>
      <c r="E3136" s="2">
        <v>120.0</v>
      </c>
      <c r="F3136" s="2">
        <v>266.74</v>
      </c>
      <c r="G3136" s="4">
        <f t="shared" si="3"/>
        <v>9394341.3</v>
      </c>
      <c r="H3136" s="4">
        <f t="shared" si="1"/>
        <v>0.9842759705</v>
      </c>
      <c r="I3136" s="4" t="str">
        <f t="shared" si="2"/>
        <v>C</v>
      </c>
    </row>
    <row r="3137">
      <c r="A3137" s="2">
        <v>3136.0</v>
      </c>
      <c r="B3137" s="2">
        <v>21734.0</v>
      </c>
      <c r="C3137" s="2" t="s">
        <v>3689</v>
      </c>
      <c r="D3137" s="2">
        <v>3.75</v>
      </c>
      <c r="E3137" s="2">
        <v>49.0</v>
      </c>
      <c r="F3137" s="2">
        <v>266.62</v>
      </c>
      <c r="G3137" s="4">
        <f t="shared" si="3"/>
        <v>9394607.92</v>
      </c>
      <c r="H3137" s="4">
        <f t="shared" si="1"/>
        <v>0.9843039052</v>
      </c>
      <c r="I3137" s="4" t="str">
        <f t="shared" si="2"/>
        <v>C</v>
      </c>
    </row>
    <row r="3138">
      <c r="A3138" s="2">
        <v>3137.0</v>
      </c>
      <c r="B3138" s="2" t="s">
        <v>3690</v>
      </c>
      <c r="C3138" s="2" t="s">
        <v>3691</v>
      </c>
      <c r="D3138" s="2">
        <v>4.65</v>
      </c>
      <c r="E3138" s="2">
        <v>160.0</v>
      </c>
      <c r="F3138" s="2">
        <v>266.0</v>
      </c>
      <c r="G3138" s="4">
        <f t="shared" si="3"/>
        <v>9394873.92</v>
      </c>
      <c r="H3138" s="4">
        <f t="shared" si="1"/>
        <v>0.9843317749</v>
      </c>
      <c r="I3138" s="4" t="str">
        <f t="shared" si="2"/>
        <v>C</v>
      </c>
    </row>
    <row r="3139">
      <c r="A3139" s="2">
        <v>3138.0</v>
      </c>
      <c r="B3139" s="2">
        <v>21160.0</v>
      </c>
      <c r="C3139" s="2" t="s">
        <v>3692</v>
      </c>
      <c r="D3139" s="2">
        <v>1.45</v>
      </c>
      <c r="E3139" s="2">
        <v>362.0</v>
      </c>
      <c r="F3139" s="2">
        <v>265.79</v>
      </c>
      <c r="G3139" s="4">
        <f t="shared" si="3"/>
        <v>9395139.71</v>
      </c>
      <c r="H3139" s="4">
        <f t="shared" si="1"/>
        <v>0.9843596226</v>
      </c>
      <c r="I3139" s="4" t="str">
        <f t="shared" si="2"/>
        <v>C</v>
      </c>
    </row>
    <row r="3140">
      <c r="A3140" s="2">
        <v>3139.0</v>
      </c>
      <c r="B3140" s="2" t="s">
        <v>3693</v>
      </c>
      <c r="C3140" s="2" t="s">
        <v>3694</v>
      </c>
      <c r="D3140" s="2">
        <v>2.55</v>
      </c>
      <c r="E3140" s="2">
        <v>110.0</v>
      </c>
      <c r="F3140" s="2">
        <v>265.58</v>
      </c>
      <c r="G3140" s="4">
        <f t="shared" si="3"/>
        <v>9395405.29</v>
      </c>
      <c r="H3140" s="4">
        <f t="shared" si="1"/>
        <v>0.9843874483</v>
      </c>
      <c r="I3140" s="4" t="str">
        <f t="shared" si="2"/>
        <v>C</v>
      </c>
    </row>
    <row r="3141">
      <c r="A3141" s="2">
        <v>3140.0</v>
      </c>
      <c r="B3141" s="2" t="s">
        <v>3695</v>
      </c>
      <c r="C3141" s="2" t="s">
        <v>3696</v>
      </c>
      <c r="D3141" s="2">
        <v>2.55</v>
      </c>
      <c r="E3141" s="2">
        <v>122.0</v>
      </c>
      <c r="F3141" s="2">
        <v>265.11</v>
      </c>
      <c r="G3141" s="4">
        <f t="shared" si="3"/>
        <v>9395670.4</v>
      </c>
      <c r="H3141" s="4">
        <f t="shared" si="1"/>
        <v>0.9844152247</v>
      </c>
      <c r="I3141" s="4" t="str">
        <f t="shared" si="2"/>
        <v>C</v>
      </c>
    </row>
    <row r="3142">
      <c r="A3142" s="2">
        <v>3141.0</v>
      </c>
      <c r="B3142" s="2" t="s">
        <v>3697</v>
      </c>
      <c r="C3142" s="2" t="s">
        <v>3698</v>
      </c>
      <c r="D3142" s="2">
        <v>6.95</v>
      </c>
      <c r="E3142" s="2">
        <v>38.0</v>
      </c>
      <c r="F3142" s="2">
        <v>264.61</v>
      </c>
      <c r="G3142" s="4">
        <f t="shared" si="3"/>
        <v>9395935.01</v>
      </c>
      <c r="H3142" s="4">
        <f t="shared" si="1"/>
        <v>0.9844429488</v>
      </c>
      <c r="I3142" s="4" t="str">
        <f t="shared" si="2"/>
        <v>C</v>
      </c>
    </row>
    <row r="3143">
      <c r="A3143" s="2">
        <v>3142.0</v>
      </c>
      <c r="B3143" s="2">
        <v>21943.0</v>
      </c>
      <c r="C3143" s="2" t="s">
        <v>3699</v>
      </c>
      <c r="D3143" s="2">
        <v>0.85</v>
      </c>
      <c r="E3143" s="2">
        <v>296.0</v>
      </c>
      <c r="F3143" s="2">
        <v>264.58</v>
      </c>
      <c r="G3143" s="4">
        <f t="shared" si="3"/>
        <v>9396199.59</v>
      </c>
      <c r="H3143" s="4">
        <f t="shared" si="1"/>
        <v>0.9844706697</v>
      </c>
      <c r="I3143" s="4" t="str">
        <f t="shared" si="2"/>
        <v>C</v>
      </c>
    </row>
    <row r="3144">
      <c r="A3144" s="2">
        <v>3143.0</v>
      </c>
      <c r="B3144" s="2">
        <v>71270.0</v>
      </c>
      <c r="C3144" s="2" t="s">
        <v>3700</v>
      </c>
      <c r="D3144" s="2">
        <v>1.25</v>
      </c>
      <c r="E3144" s="2">
        <v>186.0</v>
      </c>
      <c r="F3144" s="2">
        <v>264.58</v>
      </c>
      <c r="G3144" s="4">
        <f t="shared" si="3"/>
        <v>9396464.17</v>
      </c>
      <c r="H3144" s="4">
        <f t="shared" si="1"/>
        <v>0.9844983906</v>
      </c>
      <c r="I3144" s="4" t="str">
        <f t="shared" si="2"/>
        <v>C</v>
      </c>
    </row>
    <row r="3145">
      <c r="A3145" s="2">
        <v>3144.0</v>
      </c>
      <c r="B3145" s="2">
        <v>20653.0</v>
      </c>
      <c r="C3145" s="2" t="s">
        <v>3701</v>
      </c>
      <c r="D3145" s="2">
        <v>1.25</v>
      </c>
      <c r="E3145" s="2">
        <v>1002.0</v>
      </c>
      <c r="F3145" s="2">
        <v>264.38</v>
      </c>
      <c r="G3145" s="4">
        <f t="shared" si="3"/>
        <v>9396728.55</v>
      </c>
      <c r="H3145" s="4">
        <f t="shared" si="1"/>
        <v>0.9845260906</v>
      </c>
      <c r="I3145" s="4" t="str">
        <f t="shared" si="2"/>
        <v>C</v>
      </c>
    </row>
    <row r="3146">
      <c r="A3146" s="2">
        <v>3145.0</v>
      </c>
      <c r="B3146" s="2">
        <v>21418.0</v>
      </c>
      <c r="C3146" s="2" t="s">
        <v>3702</v>
      </c>
      <c r="D3146" s="2">
        <v>2.55</v>
      </c>
      <c r="E3146" s="2">
        <v>96.0</v>
      </c>
      <c r="F3146" s="2">
        <v>264.37</v>
      </c>
      <c r="G3146" s="4">
        <f t="shared" si="3"/>
        <v>9396992.92</v>
      </c>
      <c r="H3146" s="4">
        <f t="shared" si="1"/>
        <v>0.9845537895</v>
      </c>
      <c r="I3146" s="4" t="str">
        <f t="shared" si="2"/>
        <v>C</v>
      </c>
    </row>
    <row r="3147">
      <c r="A3147" s="2">
        <v>3146.0</v>
      </c>
      <c r="B3147" s="2">
        <v>23060.0</v>
      </c>
      <c r="C3147" s="2" t="s">
        <v>3703</v>
      </c>
      <c r="D3147" s="2">
        <v>2.08</v>
      </c>
      <c r="E3147" s="2">
        <v>124.0</v>
      </c>
      <c r="F3147" s="2">
        <v>264.09</v>
      </c>
      <c r="G3147" s="4">
        <f t="shared" si="3"/>
        <v>9397257.01</v>
      </c>
      <c r="H3147" s="4">
        <f t="shared" si="1"/>
        <v>0.984581459</v>
      </c>
      <c r="I3147" s="4" t="str">
        <f t="shared" si="2"/>
        <v>C</v>
      </c>
    </row>
    <row r="3148">
      <c r="A3148" s="2">
        <v>3147.0</v>
      </c>
      <c r="B3148" s="2" t="s">
        <v>3704</v>
      </c>
      <c r="C3148" s="2" t="s">
        <v>3705</v>
      </c>
      <c r="D3148" s="2">
        <v>9.15</v>
      </c>
      <c r="E3148" s="2">
        <v>29.0</v>
      </c>
      <c r="F3148" s="2">
        <v>263.91</v>
      </c>
      <c r="G3148" s="4">
        <f t="shared" si="3"/>
        <v>9397520.92</v>
      </c>
      <c r="H3148" s="4">
        <f t="shared" si="1"/>
        <v>0.9846091098</v>
      </c>
      <c r="I3148" s="4" t="str">
        <f t="shared" si="2"/>
        <v>C</v>
      </c>
    </row>
    <row r="3149">
      <c r="A3149" s="2">
        <v>3148.0</v>
      </c>
      <c r="B3149" s="2" t="s">
        <v>3706</v>
      </c>
      <c r="C3149" s="2" t="s">
        <v>3707</v>
      </c>
      <c r="D3149" s="2">
        <v>2.55</v>
      </c>
      <c r="E3149" s="2">
        <v>104.0</v>
      </c>
      <c r="F3149" s="2">
        <v>263.22</v>
      </c>
      <c r="G3149" s="4">
        <f t="shared" si="3"/>
        <v>9397784.14</v>
      </c>
      <c r="H3149" s="4">
        <f t="shared" si="1"/>
        <v>0.9846366882</v>
      </c>
      <c r="I3149" s="4" t="str">
        <f t="shared" si="2"/>
        <v>C</v>
      </c>
    </row>
    <row r="3150">
      <c r="A3150" s="2">
        <v>3149.0</v>
      </c>
      <c r="B3150" s="2">
        <v>84657.0</v>
      </c>
      <c r="C3150" s="2" t="s">
        <v>3708</v>
      </c>
      <c r="D3150" s="2">
        <v>4.65</v>
      </c>
      <c r="E3150" s="2">
        <v>124.0</v>
      </c>
      <c r="F3150" s="2">
        <v>261.71</v>
      </c>
      <c r="G3150" s="4">
        <f t="shared" si="3"/>
        <v>9398045.85</v>
      </c>
      <c r="H3150" s="4">
        <f t="shared" si="1"/>
        <v>0.9846641084</v>
      </c>
      <c r="I3150" s="4" t="str">
        <f t="shared" si="2"/>
        <v>C</v>
      </c>
    </row>
    <row r="3151">
      <c r="A3151" s="2">
        <v>3150.0</v>
      </c>
      <c r="B3151" s="2" t="s">
        <v>3709</v>
      </c>
      <c r="C3151" s="2" t="s">
        <v>3710</v>
      </c>
      <c r="D3151" s="2">
        <v>0.55</v>
      </c>
      <c r="E3151" s="2">
        <v>496.0</v>
      </c>
      <c r="F3151" s="2">
        <v>261.7</v>
      </c>
      <c r="G3151" s="4">
        <f t="shared" si="3"/>
        <v>9398307.55</v>
      </c>
      <c r="H3151" s="4">
        <f t="shared" si="1"/>
        <v>0.9846915276</v>
      </c>
      <c r="I3151" s="4" t="str">
        <f t="shared" si="2"/>
        <v>C</v>
      </c>
    </row>
    <row r="3152">
      <c r="A3152" s="2">
        <v>3151.0</v>
      </c>
      <c r="B3152" s="2">
        <v>72728.0</v>
      </c>
      <c r="C3152" s="2" t="s">
        <v>3711</v>
      </c>
      <c r="D3152" s="2">
        <v>0.85</v>
      </c>
      <c r="E3152" s="2">
        <v>322.0</v>
      </c>
      <c r="F3152" s="2">
        <v>261.58</v>
      </c>
      <c r="G3152" s="4">
        <f t="shared" si="3"/>
        <v>9398569.13</v>
      </c>
      <c r="H3152" s="4">
        <f t="shared" si="1"/>
        <v>0.9847189342</v>
      </c>
      <c r="I3152" s="4" t="str">
        <f t="shared" si="2"/>
        <v>C</v>
      </c>
    </row>
    <row r="3153">
      <c r="A3153" s="2">
        <v>3152.0</v>
      </c>
      <c r="B3153" s="2">
        <v>21403.0</v>
      </c>
      <c r="C3153" s="2" t="s">
        <v>3712</v>
      </c>
      <c r="D3153" s="2">
        <v>0.42</v>
      </c>
      <c r="E3153" s="2">
        <v>1160.0</v>
      </c>
      <c r="F3153" s="2">
        <v>261.53</v>
      </c>
      <c r="G3153" s="4">
        <f t="shared" si="3"/>
        <v>9398830.66</v>
      </c>
      <c r="H3153" s="4">
        <f t="shared" si="1"/>
        <v>0.9847463355</v>
      </c>
      <c r="I3153" s="4" t="str">
        <f t="shared" si="2"/>
        <v>C</v>
      </c>
    </row>
    <row r="3154">
      <c r="A3154" s="2">
        <v>3153.0</v>
      </c>
      <c r="B3154" s="2">
        <v>22861.0</v>
      </c>
      <c r="C3154" s="2" t="s">
        <v>3713</v>
      </c>
      <c r="D3154" s="2">
        <v>1.65</v>
      </c>
      <c r="E3154" s="2">
        <v>152.0</v>
      </c>
      <c r="F3154" s="2">
        <v>261.46</v>
      </c>
      <c r="G3154" s="4">
        <f t="shared" si="3"/>
        <v>9399092.12</v>
      </c>
      <c r="H3154" s="4">
        <f t="shared" si="1"/>
        <v>0.9847737295</v>
      </c>
      <c r="I3154" s="4" t="str">
        <f t="shared" si="2"/>
        <v>C</v>
      </c>
    </row>
    <row r="3155">
      <c r="A3155" s="2">
        <v>3154.0</v>
      </c>
      <c r="B3155" s="2">
        <v>22407.0</v>
      </c>
      <c r="C3155" s="2" t="s">
        <v>3714</v>
      </c>
      <c r="D3155" s="2">
        <v>1.25</v>
      </c>
      <c r="E3155" s="2">
        <v>220.0</v>
      </c>
      <c r="F3155" s="2">
        <v>261.18</v>
      </c>
      <c r="G3155" s="4">
        <f t="shared" si="3"/>
        <v>9399353.3</v>
      </c>
      <c r="H3155" s="4">
        <f t="shared" si="1"/>
        <v>0.9848010942</v>
      </c>
      <c r="I3155" s="4" t="str">
        <f t="shared" si="2"/>
        <v>C</v>
      </c>
    </row>
    <row r="3156">
      <c r="A3156" s="2">
        <v>3155.0</v>
      </c>
      <c r="B3156" s="2">
        <v>23336.0</v>
      </c>
      <c r="C3156" s="2" t="s">
        <v>3715</v>
      </c>
      <c r="D3156" s="2">
        <v>2.08</v>
      </c>
      <c r="E3156" s="2">
        <v>113.0</v>
      </c>
      <c r="F3156" s="2">
        <v>260.67</v>
      </c>
      <c r="G3156" s="4">
        <f t="shared" si="3"/>
        <v>9399613.97</v>
      </c>
      <c r="H3156" s="4">
        <f t="shared" si="1"/>
        <v>0.9848284055</v>
      </c>
      <c r="I3156" s="4" t="str">
        <f t="shared" si="2"/>
        <v>C</v>
      </c>
    </row>
    <row r="3157">
      <c r="A3157" s="2">
        <v>3156.0</v>
      </c>
      <c r="B3157" s="2">
        <v>21459.0</v>
      </c>
      <c r="C3157" s="2" t="s">
        <v>3716</v>
      </c>
      <c r="D3157" s="2">
        <v>1.95</v>
      </c>
      <c r="E3157" s="2">
        <v>132.0</v>
      </c>
      <c r="F3157" s="2">
        <v>260.27</v>
      </c>
      <c r="G3157" s="4">
        <f t="shared" si="3"/>
        <v>9399874.24</v>
      </c>
      <c r="H3157" s="4">
        <f t="shared" si="1"/>
        <v>0.9848556748</v>
      </c>
      <c r="I3157" s="4" t="str">
        <f t="shared" si="2"/>
        <v>C</v>
      </c>
    </row>
    <row r="3158">
      <c r="A3158" s="2">
        <v>3157.0</v>
      </c>
      <c r="B3158" s="2">
        <v>84683.0</v>
      </c>
      <c r="C3158" s="2" t="s">
        <v>3717</v>
      </c>
      <c r="D3158" s="2">
        <v>1.25</v>
      </c>
      <c r="E3158" s="2">
        <v>270.0</v>
      </c>
      <c r="F3158" s="2">
        <v>259.68</v>
      </c>
      <c r="G3158" s="4">
        <f t="shared" si="3"/>
        <v>9400133.92</v>
      </c>
      <c r="H3158" s="4">
        <f t="shared" si="1"/>
        <v>0.9848828823</v>
      </c>
      <c r="I3158" s="4" t="str">
        <f t="shared" si="2"/>
        <v>C</v>
      </c>
    </row>
    <row r="3159">
      <c r="A3159" s="2">
        <v>3158.0</v>
      </c>
      <c r="B3159" s="2">
        <v>20868.0</v>
      </c>
      <c r="C3159" s="2" t="s">
        <v>3718</v>
      </c>
      <c r="D3159" s="2">
        <v>0.85</v>
      </c>
      <c r="E3159" s="2">
        <v>441.0</v>
      </c>
      <c r="F3159" s="2">
        <v>259.04</v>
      </c>
      <c r="G3159" s="4">
        <f t="shared" si="3"/>
        <v>9400392.96</v>
      </c>
      <c r="H3159" s="4">
        <f t="shared" si="1"/>
        <v>0.9849100228</v>
      </c>
      <c r="I3159" s="4" t="str">
        <f t="shared" si="2"/>
        <v>C</v>
      </c>
    </row>
    <row r="3160">
      <c r="A3160" s="2">
        <v>3159.0</v>
      </c>
      <c r="B3160" s="2" t="s">
        <v>3719</v>
      </c>
      <c r="C3160" s="2" t="s">
        <v>3720</v>
      </c>
      <c r="D3160" s="2">
        <v>1.25</v>
      </c>
      <c r="E3160" s="2">
        <v>348.0</v>
      </c>
      <c r="F3160" s="2">
        <v>258.18</v>
      </c>
      <c r="G3160" s="4">
        <f t="shared" si="3"/>
        <v>9400651.14</v>
      </c>
      <c r="H3160" s="4">
        <f t="shared" si="1"/>
        <v>0.9849370732</v>
      </c>
      <c r="I3160" s="4" t="str">
        <f t="shared" si="2"/>
        <v>C</v>
      </c>
    </row>
    <row r="3161">
      <c r="A3161" s="2">
        <v>3160.0</v>
      </c>
      <c r="B3161" s="2" t="s">
        <v>3721</v>
      </c>
      <c r="C3161" s="2" t="s">
        <v>3722</v>
      </c>
      <c r="D3161" s="2">
        <v>2.46</v>
      </c>
      <c r="E3161" s="2">
        <v>109.0</v>
      </c>
      <c r="F3161" s="2">
        <v>257.86</v>
      </c>
      <c r="G3161" s="4">
        <f t="shared" si="3"/>
        <v>9400909</v>
      </c>
      <c r="H3161" s="4">
        <f t="shared" si="1"/>
        <v>0.98496409</v>
      </c>
      <c r="I3161" s="4" t="str">
        <f t="shared" si="2"/>
        <v>C</v>
      </c>
    </row>
    <row r="3162">
      <c r="A3162" s="2">
        <v>3161.0</v>
      </c>
      <c r="B3162" s="2">
        <v>23660.0</v>
      </c>
      <c r="C3162" s="2" t="s">
        <v>3723</v>
      </c>
      <c r="D3162" s="2">
        <v>1.65</v>
      </c>
      <c r="E3162" s="2">
        <v>147.0</v>
      </c>
      <c r="F3162" s="2">
        <v>257.43</v>
      </c>
      <c r="G3162" s="4">
        <f t="shared" si="3"/>
        <v>9401166.43</v>
      </c>
      <c r="H3162" s="4">
        <f t="shared" si="1"/>
        <v>0.9849910618</v>
      </c>
      <c r="I3162" s="4" t="str">
        <f t="shared" si="2"/>
        <v>C</v>
      </c>
    </row>
    <row r="3163">
      <c r="A3163" s="2">
        <v>3162.0</v>
      </c>
      <c r="B3163" s="2" t="s">
        <v>3724</v>
      </c>
      <c r="C3163" s="2" t="s">
        <v>3725</v>
      </c>
      <c r="D3163" s="2">
        <v>1.65</v>
      </c>
      <c r="E3163" s="2">
        <v>268.0</v>
      </c>
      <c r="F3163" s="2">
        <v>257.33</v>
      </c>
      <c r="G3163" s="4">
        <f t="shared" si="3"/>
        <v>9401423.76</v>
      </c>
      <c r="H3163" s="4">
        <f t="shared" si="1"/>
        <v>0.9850180231</v>
      </c>
      <c r="I3163" s="4" t="str">
        <f t="shared" si="2"/>
        <v>C</v>
      </c>
    </row>
    <row r="3164">
      <c r="A3164" s="2">
        <v>3163.0</v>
      </c>
      <c r="B3164" s="2">
        <v>71143.0</v>
      </c>
      <c r="C3164" s="2" t="s">
        <v>3726</v>
      </c>
      <c r="D3164" s="2">
        <v>2.51</v>
      </c>
      <c r="E3164" s="2">
        <v>174.0</v>
      </c>
      <c r="F3164" s="2">
        <v>257.22</v>
      </c>
      <c r="G3164" s="4">
        <f t="shared" si="3"/>
        <v>9401680.98</v>
      </c>
      <c r="H3164" s="4">
        <f t="shared" si="1"/>
        <v>0.9850449729</v>
      </c>
      <c r="I3164" s="4" t="str">
        <f t="shared" si="2"/>
        <v>C</v>
      </c>
    </row>
    <row r="3165">
      <c r="A3165" s="2">
        <v>3164.0</v>
      </c>
      <c r="B3165" s="2">
        <v>90114.0</v>
      </c>
      <c r="C3165" s="2" t="s">
        <v>3727</v>
      </c>
      <c r="D3165" s="2">
        <v>2.46</v>
      </c>
      <c r="E3165" s="2">
        <v>102.0</v>
      </c>
      <c r="F3165" s="2">
        <v>257.09</v>
      </c>
      <c r="G3165" s="4">
        <f t="shared" si="3"/>
        <v>9401938.07</v>
      </c>
      <c r="H3165" s="4">
        <f t="shared" si="1"/>
        <v>0.9850719091</v>
      </c>
      <c r="I3165" s="4" t="str">
        <f t="shared" si="2"/>
        <v>C</v>
      </c>
    </row>
    <row r="3166">
      <c r="A3166" s="2">
        <v>3165.0</v>
      </c>
      <c r="B3166" s="2" t="s">
        <v>3728</v>
      </c>
      <c r="C3166" s="2" t="s">
        <v>3729</v>
      </c>
      <c r="D3166" s="2">
        <v>1.25</v>
      </c>
      <c r="E3166" s="2">
        <v>196.0</v>
      </c>
      <c r="F3166" s="2">
        <v>256.99</v>
      </c>
      <c r="G3166" s="4">
        <f t="shared" si="3"/>
        <v>9402195.06</v>
      </c>
      <c r="H3166" s="4">
        <f t="shared" si="1"/>
        <v>0.9850988347</v>
      </c>
      <c r="I3166" s="4" t="str">
        <f t="shared" si="2"/>
        <v>C</v>
      </c>
    </row>
    <row r="3167">
      <c r="A3167" s="2">
        <v>3166.0</v>
      </c>
      <c r="B3167" s="2">
        <v>46118.0</v>
      </c>
      <c r="C3167" s="2" t="s">
        <v>3730</v>
      </c>
      <c r="D3167" s="2">
        <v>3.29</v>
      </c>
      <c r="E3167" s="2">
        <v>186.0</v>
      </c>
      <c r="F3167" s="2">
        <v>256.79</v>
      </c>
      <c r="G3167" s="4">
        <f t="shared" si="3"/>
        <v>9402451.85</v>
      </c>
      <c r="H3167" s="4">
        <f t="shared" si="1"/>
        <v>0.9851257395</v>
      </c>
      <c r="I3167" s="4" t="str">
        <f t="shared" si="2"/>
        <v>C</v>
      </c>
    </row>
    <row r="3168">
      <c r="A3168" s="2">
        <v>3167.0</v>
      </c>
      <c r="B3168" s="2">
        <v>23139.0</v>
      </c>
      <c r="C3168" s="2" t="s">
        <v>3731</v>
      </c>
      <c r="D3168" s="2">
        <v>1.45</v>
      </c>
      <c r="E3168" s="2">
        <v>202.0</v>
      </c>
      <c r="F3168" s="2">
        <v>256.38</v>
      </c>
      <c r="G3168" s="4">
        <f t="shared" si="3"/>
        <v>9402708.23</v>
      </c>
      <c r="H3168" s="4">
        <f t="shared" si="1"/>
        <v>0.9851526013</v>
      </c>
      <c r="I3168" s="4" t="str">
        <f t="shared" si="2"/>
        <v>C</v>
      </c>
    </row>
    <row r="3169">
      <c r="A3169" s="2">
        <v>3168.0</v>
      </c>
      <c r="B3169" s="2" t="s">
        <v>3732</v>
      </c>
      <c r="C3169" s="2" t="s">
        <v>3733</v>
      </c>
      <c r="D3169" s="2">
        <v>0.42</v>
      </c>
      <c r="E3169" s="2">
        <v>843.0</v>
      </c>
      <c r="F3169" s="2">
        <v>256.19</v>
      </c>
      <c r="G3169" s="4">
        <f t="shared" si="3"/>
        <v>9402964.42</v>
      </c>
      <c r="H3169" s="4">
        <f t="shared" si="1"/>
        <v>0.9851794431</v>
      </c>
      <c r="I3169" s="4" t="str">
        <f t="shared" si="2"/>
        <v>C</v>
      </c>
    </row>
    <row r="3170">
      <c r="A3170" s="2">
        <v>3169.0</v>
      </c>
      <c r="B3170" s="2" t="s">
        <v>3734</v>
      </c>
      <c r="C3170" s="2" t="s">
        <v>688</v>
      </c>
      <c r="D3170" s="2">
        <v>8.47</v>
      </c>
      <c r="E3170" s="2">
        <v>30.0</v>
      </c>
      <c r="F3170" s="2">
        <v>255.99</v>
      </c>
      <c r="G3170" s="4">
        <f t="shared" si="3"/>
        <v>9403220.41</v>
      </c>
      <c r="H3170" s="4">
        <f t="shared" si="1"/>
        <v>0.985206264</v>
      </c>
      <c r="I3170" s="4" t="str">
        <f t="shared" si="2"/>
        <v>C</v>
      </c>
    </row>
    <row r="3171">
      <c r="A3171" s="2">
        <v>3170.0</v>
      </c>
      <c r="B3171" s="2">
        <v>23136.0</v>
      </c>
      <c r="C3171" s="2" t="s">
        <v>3735</v>
      </c>
      <c r="D3171" s="2">
        <v>3.75</v>
      </c>
      <c r="E3171" s="2">
        <v>68.0</v>
      </c>
      <c r="F3171" s="2">
        <v>255.94</v>
      </c>
      <c r="G3171" s="4">
        <f t="shared" si="3"/>
        <v>9403476.35</v>
      </c>
      <c r="H3171" s="4">
        <f t="shared" si="1"/>
        <v>0.9852330797</v>
      </c>
      <c r="I3171" s="4" t="str">
        <f t="shared" si="2"/>
        <v>C</v>
      </c>
    </row>
    <row r="3172">
      <c r="A3172" s="2">
        <v>3171.0</v>
      </c>
      <c r="B3172" s="2" t="s">
        <v>3736</v>
      </c>
      <c r="C3172" s="2" t="s">
        <v>863</v>
      </c>
      <c r="D3172" s="2">
        <v>3.32</v>
      </c>
      <c r="E3172" s="2">
        <v>77.0</v>
      </c>
      <c r="F3172" s="2">
        <v>255.73</v>
      </c>
      <c r="G3172" s="4">
        <f t="shared" si="3"/>
        <v>9403732.08</v>
      </c>
      <c r="H3172" s="4">
        <f t="shared" si="1"/>
        <v>0.9852598734</v>
      </c>
      <c r="I3172" s="4" t="str">
        <f t="shared" si="2"/>
        <v>C</v>
      </c>
    </row>
    <row r="3173">
      <c r="A3173" s="2">
        <v>3172.0</v>
      </c>
      <c r="B3173" s="2" t="s">
        <v>3737</v>
      </c>
      <c r="C3173" s="2" t="s">
        <v>3738</v>
      </c>
      <c r="D3173" s="2">
        <v>1.25</v>
      </c>
      <c r="E3173" s="2">
        <v>186.0</v>
      </c>
      <c r="F3173" s="2">
        <v>255.5</v>
      </c>
      <c r="G3173" s="4">
        <f t="shared" si="3"/>
        <v>9403987.58</v>
      </c>
      <c r="H3173" s="4">
        <f t="shared" si="1"/>
        <v>0.985286643</v>
      </c>
      <c r="I3173" s="4" t="str">
        <f t="shared" si="2"/>
        <v>C</v>
      </c>
    </row>
    <row r="3174">
      <c r="A3174" s="2">
        <v>3173.0</v>
      </c>
      <c r="B3174" s="2" t="s">
        <v>3739</v>
      </c>
      <c r="C3174" s="2" t="s">
        <v>3740</v>
      </c>
      <c r="D3174" s="2">
        <v>0.55</v>
      </c>
      <c r="E3174" s="2">
        <v>505.0</v>
      </c>
      <c r="F3174" s="2">
        <v>255.35</v>
      </c>
      <c r="G3174" s="4">
        <f t="shared" si="3"/>
        <v>9404242.93</v>
      </c>
      <c r="H3174" s="4">
        <f t="shared" si="1"/>
        <v>0.9853133968</v>
      </c>
      <c r="I3174" s="4" t="str">
        <f t="shared" si="2"/>
        <v>C</v>
      </c>
    </row>
    <row r="3175">
      <c r="A3175" s="2">
        <v>3174.0</v>
      </c>
      <c r="B3175" s="2">
        <v>84842.0</v>
      </c>
      <c r="C3175" s="2" t="s">
        <v>3741</v>
      </c>
      <c r="D3175" s="2">
        <v>3.75</v>
      </c>
      <c r="E3175" s="2">
        <v>393.0</v>
      </c>
      <c r="F3175" s="2">
        <v>255.15</v>
      </c>
      <c r="G3175" s="4">
        <f t="shared" si="3"/>
        <v>9404498.08</v>
      </c>
      <c r="H3175" s="4">
        <f t="shared" si="1"/>
        <v>0.9853401297</v>
      </c>
      <c r="I3175" s="4" t="str">
        <f t="shared" si="2"/>
        <v>C</v>
      </c>
    </row>
    <row r="3176">
      <c r="A3176" s="2">
        <v>3175.0</v>
      </c>
      <c r="B3176" s="2">
        <v>84799.0</v>
      </c>
      <c r="C3176" s="2" t="s">
        <v>3742</v>
      </c>
      <c r="D3176" s="2">
        <v>1.25</v>
      </c>
      <c r="E3176" s="2">
        <v>316.0</v>
      </c>
      <c r="F3176" s="2">
        <v>254.94</v>
      </c>
      <c r="G3176" s="4">
        <f t="shared" si="3"/>
        <v>9404753.02</v>
      </c>
      <c r="H3176" s="4">
        <f t="shared" si="1"/>
        <v>0.9853668406</v>
      </c>
      <c r="I3176" s="4" t="str">
        <f t="shared" si="2"/>
        <v>C</v>
      </c>
    </row>
    <row r="3177">
      <c r="A3177" s="2">
        <v>3176.0</v>
      </c>
      <c r="B3177" s="2">
        <v>21117.0</v>
      </c>
      <c r="C3177" s="2" t="s">
        <v>3743</v>
      </c>
      <c r="D3177" s="2">
        <v>1.25</v>
      </c>
      <c r="E3177" s="2">
        <v>167.0</v>
      </c>
      <c r="F3177" s="2">
        <v>254.79</v>
      </c>
      <c r="G3177" s="4">
        <f t="shared" si="3"/>
        <v>9405007.81</v>
      </c>
      <c r="H3177" s="4">
        <f t="shared" si="1"/>
        <v>0.9853935358</v>
      </c>
      <c r="I3177" s="4" t="str">
        <f t="shared" si="2"/>
        <v>C</v>
      </c>
    </row>
    <row r="3178">
      <c r="A3178" s="2">
        <v>3177.0</v>
      </c>
      <c r="B3178" s="2">
        <v>20753.0</v>
      </c>
      <c r="C3178" s="2" t="s">
        <v>3744</v>
      </c>
      <c r="D3178" s="2">
        <v>2.1</v>
      </c>
      <c r="E3178" s="2">
        <v>109.0</v>
      </c>
      <c r="F3178" s="2">
        <v>254.5</v>
      </c>
      <c r="G3178" s="4">
        <f t="shared" si="3"/>
        <v>9405262.31</v>
      </c>
      <c r="H3178" s="4">
        <f t="shared" si="1"/>
        <v>0.9854202006</v>
      </c>
      <c r="I3178" s="4" t="str">
        <f t="shared" si="2"/>
        <v>C</v>
      </c>
    </row>
    <row r="3179">
      <c r="A3179" s="2">
        <v>3178.0</v>
      </c>
      <c r="B3179" s="2" t="s">
        <v>3745</v>
      </c>
      <c r="C3179" s="2" t="s">
        <v>3746</v>
      </c>
      <c r="D3179" s="2">
        <v>0.42</v>
      </c>
      <c r="E3179" s="2">
        <v>580.0</v>
      </c>
      <c r="F3179" s="2">
        <v>254.14</v>
      </c>
      <c r="G3179" s="4">
        <f t="shared" si="3"/>
        <v>9405516.45</v>
      </c>
      <c r="H3179" s="4">
        <f t="shared" si="1"/>
        <v>0.9854468277</v>
      </c>
      <c r="I3179" s="4" t="str">
        <f t="shared" si="2"/>
        <v>C</v>
      </c>
    </row>
    <row r="3180">
      <c r="A3180" s="2">
        <v>3179.0</v>
      </c>
      <c r="B3180" s="2">
        <v>20654.0</v>
      </c>
      <c r="C3180" s="2" t="s">
        <v>3747</v>
      </c>
      <c r="D3180" s="2">
        <v>1.25</v>
      </c>
      <c r="E3180" s="2">
        <v>200.0</v>
      </c>
      <c r="F3180" s="2">
        <v>253.96</v>
      </c>
      <c r="G3180" s="4">
        <f t="shared" si="3"/>
        <v>9405770.41</v>
      </c>
      <c r="H3180" s="4">
        <f t="shared" si="1"/>
        <v>0.9854734359</v>
      </c>
      <c r="I3180" s="4" t="str">
        <f t="shared" si="2"/>
        <v>C</v>
      </c>
    </row>
    <row r="3181">
      <c r="A3181" s="2">
        <v>3180.0</v>
      </c>
      <c r="B3181" s="2" t="s">
        <v>3748</v>
      </c>
      <c r="C3181" s="2" t="s">
        <v>3749</v>
      </c>
      <c r="D3181" s="2">
        <v>2.1</v>
      </c>
      <c r="E3181" s="2">
        <v>156.0</v>
      </c>
      <c r="F3181" s="2">
        <v>253.88</v>
      </c>
      <c r="G3181" s="4">
        <f t="shared" si="3"/>
        <v>9406024.29</v>
      </c>
      <c r="H3181" s="4">
        <f t="shared" si="1"/>
        <v>0.9855000357</v>
      </c>
      <c r="I3181" s="4" t="str">
        <f t="shared" si="2"/>
        <v>C</v>
      </c>
    </row>
    <row r="3182">
      <c r="A3182" s="2">
        <v>3181.0</v>
      </c>
      <c r="B3182" s="2">
        <v>84615.0</v>
      </c>
      <c r="C3182" s="2" t="s">
        <v>3750</v>
      </c>
      <c r="D3182" s="2">
        <v>1.95</v>
      </c>
      <c r="E3182" s="2">
        <v>101.0</v>
      </c>
      <c r="F3182" s="2">
        <v>253.4</v>
      </c>
      <c r="G3182" s="4">
        <f t="shared" si="3"/>
        <v>9406277.69</v>
      </c>
      <c r="H3182" s="4">
        <f t="shared" si="1"/>
        <v>0.9855265853</v>
      </c>
      <c r="I3182" s="4" t="str">
        <f t="shared" si="2"/>
        <v>C</v>
      </c>
    </row>
    <row r="3183">
      <c r="A3183" s="2">
        <v>3182.0</v>
      </c>
      <c r="B3183" s="2">
        <v>84218.0</v>
      </c>
      <c r="C3183" s="2" t="s">
        <v>3751</v>
      </c>
      <c r="D3183" s="2">
        <v>1.95</v>
      </c>
      <c r="E3183" s="2">
        <v>131.0</v>
      </c>
      <c r="F3183" s="2">
        <v>252.73</v>
      </c>
      <c r="G3183" s="4">
        <f t="shared" si="3"/>
        <v>9406530.42</v>
      </c>
      <c r="H3183" s="4">
        <f t="shared" si="1"/>
        <v>0.9855530646</v>
      </c>
      <c r="I3183" s="4" t="str">
        <f t="shared" si="2"/>
        <v>C</v>
      </c>
    </row>
    <row r="3184">
      <c r="A3184" s="2">
        <v>3183.0</v>
      </c>
      <c r="B3184" s="2" t="s">
        <v>3752</v>
      </c>
      <c r="C3184" s="2" t="s">
        <v>3753</v>
      </c>
      <c r="D3184" s="2">
        <v>6.35</v>
      </c>
      <c r="E3184" s="2">
        <v>72.0</v>
      </c>
      <c r="F3184" s="2">
        <v>252.7</v>
      </c>
      <c r="G3184" s="4">
        <f t="shared" si="3"/>
        <v>9406783.12</v>
      </c>
      <c r="H3184" s="4">
        <f t="shared" si="1"/>
        <v>0.9855795409</v>
      </c>
      <c r="I3184" s="4" t="str">
        <f t="shared" si="2"/>
        <v>C</v>
      </c>
    </row>
    <row r="3185">
      <c r="A3185" s="2">
        <v>3184.0</v>
      </c>
      <c r="B3185" s="2" t="s">
        <v>3754</v>
      </c>
      <c r="C3185" s="2" t="s">
        <v>3755</v>
      </c>
      <c r="D3185" s="2">
        <v>1.25</v>
      </c>
      <c r="E3185" s="2">
        <v>215.0</v>
      </c>
      <c r="F3185" s="2">
        <v>252.7</v>
      </c>
      <c r="G3185" s="4">
        <f t="shared" si="3"/>
        <v>9407035.82</v>
      </c>
      <c r="H3185" s="4">
        <f t="shared" si="1"/>
        <v>0.9856060171</v>
      </c>
      <c r="I3185" s="4" t="str">
        <f t="shared" si="2"/>
        <v>C</v>
      </c>
    </row>
    <row r="3186">
      <c r="A3186" s="2">
        <v>3185.0</v>
      </c>
      <c r="B3186" s="2" t="s">
        <v>3756</v>
      </c>
      <c r="C3186" s="2" t="s">
        <v>2721</v>
      </c>
      <c r="D3186" s="2">
        <v>7.62</v>
      </c>
      <c r="E3186" s="2">
        <v>34.0</v>
      </c>
      <c r="F3186" s="2">
        <v>252.63</v>
      </c>
      <c r="G3186" s="4">
        <f t="shared" si="3"/>
        <v>9407288.45</v>
      </c>
      <c r="H3186" s="4">
        <f t="shared" si="1"/>
        <v>0.9856324859</v>
      </c>
      <c r="I3186" s="4" t="str">
        <f t="shared" si="2"/>
        <v>C</v>
      </c>
    </row>
    <row r="3187">
      <c r="A3187" s="2">
        <v>3186.0</v>
      </c>
      <c r="B3187" s="2">
        <v>23021.0</v>
      </c>
      <c r="C3187" s="2" t="s">
        <v>3757</v>
      </c>
      <c r="D3187" s="2">
        <v>4.15</v>
      </c>
      <c r="E3187" s="2">
        <v>60.0</v>
      </c>
      <c r="F3187" s="2">
        <v>252.48</v>
      </c>
      <c r="G3187" s="4">
        <f t="shared" si="3"/>
        <v>9407540.93</v>
      </c>
      <c r="H3187" s="4">
        <f t="shared" si="1"/>
        <v>0.9856589391</v>
      </c>
      <c r="I3187" s="4" t="str">
        <f t="shared" si="2"/>
        <v>C</v>
      </c>
    </row>
    <row r="3188">
      <c r="A3188" s="2">
        <v>3187.0</v>
      </c>
      <c r="B3188" s="2">
        <v>37352.0</v>
      </c>
      <c r="C3188" s="2" t="s">
        <v>3758</v>
      </c>
      <c r="D3188" s="2">
        <v>1.25</v>
      </c>
      <c r="E3188" s="2">
        <v>2322.0</v>
      </c>
      <c r="F3188" s="2">
        <v>252.28</v>
      </c>
      <c r="G3188" s="4">
        <f t="shared" si="3"/>
        <v>9407793.21</v>
      </c>
      <c r="H3188" s="4">
        <f t="shared" si="1"/>
        <v>0.9856853713</v>
      </c>
      <c r="I3188" s="4" t="str">
        <f t="shared" si="2"/>
        <v>C</v>
      </c>
    </row>
    <row r="3189">
      <c r="A3189" s="2">
        <v>3188.0</v>
      </c>
      <c r="B3189" s="2" t="s">
        <v>3759</v>
      </c>
      <c r="C3189" s="2" t="s">
        <v>3760</v>
      </c>
      <c r="D3189" s="2">
        <v>3.29</v>
      </c>
      <c r="E3189" s="2">
        <v>146.0</v>
      </c>
      <c r="F3189" s="2">
        <v>252.22</v>
      </c>
      <c r="G3189" s="4">
        <f t="shared" si="3"/>
        <v>9408045.43</v>
      </c>
      <c r="H3189" s="4">
        <f t="shared" si="1"/>
        <v>0.9857117972</v>
      </c>
      <c r="I3189" s="4" t="str">
        <f t="shared" si="2"/>
        <v>C</v>
      </c>
    </row>
    <row r="3190">
      <c r="A3190" s="2">
        <v>3189.0</v>
      </c>
      <c r="B3190" s="2">
        <v>22541.0</v>
      </c>
      <c r="C3190" s="2" t="s">
        <v>3761</v>
      </c>
      <c r="D3190" s="2">
        <v>0.42</v>
      </c>
      <c r="E3190" s="2">
        <v>623.0</v>
      </c>
      <c r="F3190" s="2">
        <v>252.17</v>
      </c>
      <c r="G3190" s="4">
        <f t="shared" si="3"/>
        <v>9408297.6</v>
      </c>
      <c r="H3190" s="4">
        <f t="shared" si="1"/>
        <v>0.9857382179</v>
      </c>
      <c r="I3190" s="4" t="str">
        <f t="shared" si="2"/>
        <v>C</v>
      </c>
    </row>
    <row r="3191">
      <c r="A3191" s="2">
        <v>3190.0</v>
      </c>
      <c r="B3191" s="2">
        <v>20845.0</v>
      </c>
      <c r="C3191" s="2" t="s">
        <v>3762</v>
      </c>
      <c r="D3191" s="2">
        <v>6.35</v>
      </c>
      <c r="E3191" s="2">
        <v>38.0</v>
      </c>
      <c r="F3191" s="2">
        <v>251.14</v>
      </c>
      <c r="G3191" s="4">
        <f t="shared" si="3"/>
        <v>9408548.74</v>
      </c>
      <c r="H3191" s="4">
        <f t="shared" si="1"/>
        <v>0.9857645307</v>
      </c>
      <c r="I3191" s="4" t="str">
        <f t="shared" si="2"/>
        <v>C</v>
      </c>
    </row>
    <row r="3192">
      <c r="A3192" s="2">
        <v>3191.0</v>
      </c>
      <c r="B3192" s="2">
        <v>23560.0</v>
      </c>
      <c r="C3192" s="2" t="s">
        <v>3763</v>
      </c>
      <c r="D3192" s="2">
        <v>2.89</v>
      </c>
      <c r="E3192" s="2">
        <v>86.0</v>
      </c>
      <c r="F3192" s="2">
        <v>251.04</v>
      </c>
      <c r="G3192" s="4">
        <f t="shared" si="3"/>
        <v>9408799.78</v>
      </c>
      <c r="H3192" s="4">
        <f t="shared" si="1"/>
        <v>0.9857908329</v>
      </c>
      <c r="I3192" s="4" t="str">
        <f t="shared" si="2"/>
        <v>C</v>
      </c>
    </row>
    <row r="3193">
      <c r="A3193" s="2">
        <v>3192.0</v>
      </c>
      <c r="B3193" s="2">
        <v>79337.0</v>
      </c>
      <c r="C3193" s="2" t="s">
        <v>3764</v>
      </c>
      <c r="D3193" s="2">
        <v>0.38</v>
      </c>
      <c r="E3193" s="2">
        <v>597.0</v>
      </c>
      <c r="F3193" s="2">
        <v>251.02</v>
      </c>
      <c r="G3193" s="4">
        <f t="shared" si="3"/>
        <v>9409050.8</v>
      </c>
      <c r="H3193" s="4">
        <f t="shared" si="1"/>
        <v>0.9858171331</v>
      </c>
      <c r="I3193" s="4" t="str">
        <f t="shared" si="2"/>
        <v>C</v>
      </c>
    </row>
    <row r="3194">
      <c r="A3194" s="2">
        <v>3193.0</v>
      </c>
      <c r="B3194" s="2" t="s">
        <v>3765</v>
      </c>
      <c r="C3194" s="2" t="s">
        <v>3766</v>
      </c>
      <c r="D3194" s="2">
        <v>9.95</v>
      </c>
      <c r="E3194" s="2">
        <v>28.0</v>
      </c>
      <c r="F3194" s="2">
        <v>251.0</v>
      </c>
      <c r="G3194" s="4">
        <f t="shared" si="3"/>
        <v>9409301.8</v>
      </c>
      <c r="H3194" s="4">
        <f t="shared" si="1"/>
        <v>0.9858434312</v>
      </c>
      <c r="I3194" s="4" t="str">
        <f t="shared" si="2"/>
        <v>C</v>
      </c>
    </row>
    <row r="3195">
      <c r="A3195" s="2">
        <v>3194.0</v>
      </c>
      <c r="B3195" s="2">
        <v>23117.0</v>
      </c>
      <c r="C3195" s="2" t="s">
        <v>3767</v>
      </c>
      <c r="D3195" s="2">
        <v>4.95</v>
      </c>
      <c r="E3195" s="2">
        <v>46.0</v>
      </c>
      <c r="F3195" s="2">
        <v>250.62</v>
      </c>
      <c r="G3195" s="4">
        <f t="shared" si="3"/>
        <v>9409552.42</v>
      </c>
      <c r="H3195" s="4">
        <f t="shared" si="1"/>
        <v>0.9858696895</v>
      </c>
      <c r="I3195" s="4" t="str">
        <f t="shared" si="2"/>
        <v>C</v>
      </c>
    </row>
    <row r="3196">
      <c r="A3196" s="2">
        <v>3195.0</v>
      </c>
      <c r="B3196" s="2">
        <v>21882.0</v>
      </c>
      <c r="C3196" s="2" t="s">
        <v>3768</v>
      </c>
      <c r="D3196" s="2">
        <v>0.65</v>
      </c>
      <c r="E3196" s="2">
        <v>527.0</v>
      </c>
      <c r="F3196" s="2">
        <v>250.37</v>
      </c>
      <c r="G3196" s="4">
        <f t="shared" si="3"/>
        <v>9409802.79</v>
      </c>
      <c r="H3196" s="4">
        <f t="shared" si="1"/>
        <v>0.9858959216</v>
      </c>
      <c r="I3196" s="4" t="str">
        <f t="shared" si="2"/>
        <v>C</v>
      </c>
    </row>
    <row r="3197">
      <c r="A3197" s="2">
        <v>3196.0</v>
      </c>
      <c r="B3197" s="2" t="s">
        <v>3769</v>
      </c>
      <c r="C3197" s="2" t="s">
        <v>3770</v>
      </c>
      <c r="D3197" s="2">
        <v>1.95</v>
      </c>
      <c r="E3197" s="2">
        <v>110.0</v>
      </c>
      <c r="F3197" s="2">
        <v>250.1</v>
      </c>
      <c r="G3197" s="4">
        <f t="shared" si="3"/>
        <v>9410052.89</v>
      </c>
      <c r="H3197" s="4">
        <f t="shared" si="1"/>
        <v>0.9859221254</v>
      </c>
      <c r="I3197" s="4" t="str">
        <f t="shared" si="2"/>
        <v>C</v>
      </c>
    </row>
    <row r="3198">
      <c r="A3198" s="2">
        <v>3197.0</v>
      </c>
      <c r="B3198" s="2">
        <v>20865.0</v>
      </c>
      <c r="C3198" s="2" t="s">
        <v>3771</v>
      </c>
      <c r="D3198" s="2">
        <v>2.1</v>
      </c>
      <c r="E3198" s="2">
        <v>125.0</v>
      </c>
      <c r="F3198" s="2">
        <v>249.2</v>
      </c>
      <c r="G3198" s="4">
        <f t="shared" si="3"/>
        <v>9410302.09</v>
      </c>
      <c r="H3198" s="4">
        <f t="shared" si="1"/>
        <v>0.9859482349</v>
      </c>
      <c r="I3198" s="4" t="str">
        <f t="shared" si="2"/>
        <v>C</v>
      </c>
    </row>
    <row r="3199">
      <c r="A3199" s="2">
        <v>3198.0</v>
      </c>
      <c r="B3199" s="2">
        <v>23466.0</v>
      </c>
      <c r="C3199" s="2" t="s">
        <v>3772</v>
      </c>
      <c r="D3199" s="2">
        <v>8.25</v>
      </c>
      <c r="E3199" s="2">
        <v>28.0</v>
      </c>
      <c r="F3199" s="2">
        <v>249.02</v>
      </c>
      <c r="G3199" s="4">
        <f t="shared" si="3"/>
        <v>9410551.11</v>
      </c>
      <c r="H3199" s="4">
        <f t="shared" si="1"/>
        <v>0.9859743255</v>
      </c>
      <c r="I3199" s="4" t="str">
        <f t="shared" si="2"/>
        <v>C</v>
      </c>
    </row>
    <row r="3200">
      <c r="A3200" s="2">
        <v>3199.0</v>
      </c>
      <c r="B3200" s="2">
        <v>23045.0</v>
      </c>
      <c r="C3200" s="2" t="s">
        <v>3773</v>
      </c>
      <c r="D3200" s="2">
        <v>4.15</v>
      </c>
      <c r="E3200" s="2">
        <v>59.0</v>
      </c>
      <c r="F3200" s="2">
        <v>248.99</v>
      </c>
      <c r="G3200" s="4">
        <f t="shared" si="3"/>
        <v>9410800.1</v>
      </c>
      <c r="H3200" s="4">
        <f t="shared" si="1"/>
        <v>0.986000413</v>
      </c>
      <c r="I3200" s="4" t="str">
        <f t="shared" si="2"/>
        <v>C</v>
      </c>
    </row>
    <row r="3201">
      <c r="A3201" s="2">
        <v>3200.0</v>
      </c>
      <c r="B3201" s="2" t="s">
        <v>3774</v>
      </c>
      <c r="C3201" s="2" t="s">
        <v>3775</v>
      </c>
      <c r="D3201" s="2">
        <v>2.95</v>
      </c>
      <c r="E3201" s="2">
        <v>70.0</v>
      </c>
      <c r="F3201" s="2">
        <v>248.85</v>
      </c>
      <c r="G3201" s="4">
        <f t="shared" si="3"/>
        <v>9411048.95</v>
      </c>
      <c r="H3201" s="4">
        <f t="shared" si="1"/>
        <v>0.9860264859</v>
      </c>
      <c r="I3201" s="4" t="str">
        <f t="shared" si="2"/>
        <v>C</v>
      </c>
    </row>
    <row r="3202">
      <c r="A3202" s="2">
        <v>3201.0</v>
      </c>
      <c r="B3202" s="2" t="s">
        <v>3776</v>
      </c>
      <c r="C3202" s="2" t="s">
        <v>3777</v>
      </c>
      <c r="D3202" s="2">
        <v>12.75</v>
      </c>
      <c r="E3202" s="2">
        <v>36.0</v>
      </c>
      <c r="F3202" s="2">
        <v>248.58</v>
      </c>
      <c r="G3202" s="4">
        <f t="shared" si="3"/>
        <v>9411297.53</v>
      </c>
      <c r="H3202" s="4">
        <f t="shared" si="1"/>
        <v>0.9860525304</v>
      </c>
      <c r="I3202" s="4" t="str">
        <f t="shared" si="2"/>
        <v>C</v>
      </c>
    </row>
    <row r="3203">
      <c r="A3203" s="2">
        <v>3202.0</v>
      </c>
      <c r="B3203" s="2" t="s">
        <v>3778</v>
      </c>
      <c r="C3203" s="2" t="s">
        <v>3779</v>
      </c>
      <c r="D3203" s="2">
        <v>0.29</v>
      </c>
      <c r="E3203" s="2">
        <v>996.0</v>
      </c>
      <c r="F3203" s="2">
        <v>248.52</v>
      </c>
      <c r="G3203" s="4">
        <f t="shared" si="3"/>
        <v>9411546.05</v>
      </c>
      <c r="H3203" s="4">
        <f t="shared" si="1"/>
        <v>0.9860785687</v>
      </c>
      <c r="I3203" s="4" t="str">
        <f t="shared" si="2"/>
        <v>C</v>
      </c>
    </row>
    <row r="3204">
      <c r="A3204" s="2">
        <v>3203.0</v>
      </c>
      <c r="B3204" s="2">
        <v>16219.0</v>
      </c>
      <c r="C3204" s="2" t="s">
        <v>3780</v>
      </c>
      <c r="D3204" s="2">
        <v>0.21</v>
      </c>
      <c r="E3204" s="2">
        <v>1654.0</v>
      </c>
      <c r="F3204" s="2">
        <v>248.34</v>
      </c>
      <c r="G3204" s="4">
        <f t="shared" si="3"/>
        <v>9411794.39</v>
      </c>
      <c r="H3204" s="4">
        <f t="shared" si="1"/>
        <v>0.9861045881</v>
      </c>
      <c r="I3204" s="4" t="str">
        <f t="shared" si="2"/>
        <v>C</v>
      </c>
    </row>
    <row r="3205">
      <c r="A3205" s="2">
        <v>3204.0</v>
      </c>
      <c r="B3205" s="2" t="s">
        <v>3781</v>
      </c>
      <c r="C3205" s="2" t="s">
        <v>3782</v>
      </c>
      <c r="D3205" s="2">
        <v>8.95</v>
      </c>
      <c r="E3205" s="2">
        <v>28.0</v>
      </c>
      <c r="F3205" s="2">
        <v>248.24</v>
      </c>
      <c r="G3205" s="4">
        <f t="shared" si="3"/>
        <v>9412042.63</v>
      </c>
      <c r="H3205" s="4">
        <f t="shared" si="1"/>
        <v>0.986130597</v>
      </c>
      <c r="I3205" s="4" t="str">
        <f t="shared" si="2"/>
        <v>C</v>
      </c>
    </row>
    <row r="3206">
      <c r="A3206" s="2">
        <v>3205.0</v>
      </c>
      <c r="B3206" s="2">
        <v>20864.0</v>
      </c>
      <c r="C3206" s="2" t="s">
        <v>3783</v>
      </c>
      <c r="D3206" s="2">
        <v>2.1</v>
      </c>
      <c r="E3206" s="2">
        <v>126.0</v>
      </c>
      <c r="F3206" s="2">
        <v>248.02</v>
      </c>
      <c r="G3206" s="4">
        <f t="shared" si="3"/>
        <v>9412290.65</v>
      </c>
      <c r="H3206" s="4">
        <f t="shared" si="1"/>
        <v>0.9861565828</v>
      </c>
      <c r="I3206" s="4" t="str">
        <f t="shared" si="2"/>
        <v>C</v>
      </c>
    </row>
    <row r="3207">
      <c r="A3207" s="2">
        <v>3206.0</v>
      </c>
      <c r="B3207" s="2" t="s">
        <v>3784</v>
      </c>
      <c r="C3207" s="2" t="s">
        <v>3785</v>
      </c>
      <c r="D3207" s="2">
        <v>2.55</v>
      </c>
      <c r="E3207" s="2">
        <v>163.0</v>
      </c>
      <c r="F3207" s="2">
        <v>246.45</v>
      </c>
      <c r="G3207" s="4">
        <f t="shared" si="3"/>
        <v>9412537.1</v>
      </c>
      <c r="H3207" s="4">
        <f t="shared" si="1"/>
        <v>0.9861824042</v>
      </c>
      <c r="I3207" s="4" t="str">
        <f t="shared" si="2"/>
        <v>C</v>
      </c>
    </row>
    <row r="3208">
      <c r="A3208" s="2">
        <v>3207.0</v>
      </c>
      <c r="B3208" s="2">
        <v>16239.0</v>
      </c>
      <c r="C3208" s="2" t="s">
        <v>3786</v>
      </c>
      <c r="D3208" s="2">
        <v>2.95</v>
      </c>
      <c r="E3208" s="2">
        <v>174.0</v>
      </c>
      <c r="F3208" s="2">
        <v>246.08</v>
      </c>
      <c r="G3208" s="4">
        <f t="shared" si="3"/>
        <v>9412783.18</v>
      </c>
      <c r="H3208" s="4">
        <f t="shared" si="1"/>
        <v>0.9862081868</v>
      </c>
      <c r="I3208" s="4" t="str">
        <f t="shared" si="2"/>
        <v>C</v>
      </c>
    </row>
    <row r="3209">
      <c r="A3209" s="2">
        <v>3208.0</v>
      </c>
      <c r="B3209" s="2" t="s">
        <v>3787</v>
      </c>
      <c r="C3209" s="2" t="s">
        <v>3788</v>
      </c>
      <c r="D3209" s="2">
        <v>1.95</v>
      </c>
      <c r="E3209" s="2">
        <v>83.0</v>
      </c>
      <c r="F3209" s="2">
        <v>245.85</v>
      </c>
      <c r="G3209" s="4">
        <f t="shared" si="3"/>
        <v>9413029.03</v>
      </c>
      <c r="H3209" s="4">
        <f t="shared" si="1"/>
        <v>0.9862339453</v>
      </c>
      <c r="I3209" s="4" t="str">
        <f t="shared" si="2"/>
        <v>C</v>
      </c>
    </row>
    <row r="3210">
      <c r="A3210" s="2">
        <v>3209.0</v>
      </c>
      <c r="B3210" s="2" t="s">
        <v>3789</v>
      </c>
      <c r="C3210" s="2" t="s">
        <v>165</v>
      </c>
      <c r="D3210" s="2">
        <v>12.46</v>
      </c>
      <c r="E3210" s="2">
        <v>20.0</v>
      </c>
      <c r="F3210" s="2">
        <v>245.71</v>
      </c>
      <c r="G3210" s="4">
        <f t="shared" si="3"/>
        <v>9413274.74</v>
      </c>
      <c r="H3210" s="4">
        <f t="shared" si="1"/>
        <v>0.9862596892</v>
      </c>
      <c r="I3210" s="4" t="str">
        <f t="shared" si="2"/>
        <v>C</v>
      </c>
    </row>
    <row r="3211">
      <c r="A3211" s="2">
        <v>3210.0</v>
      </c>
      <c r="B3211" s="2">
        <v>84827.0</v>
      </c>
      <c r="C3211" s="2" t="s">
        <v>3790</v>
      </c>
      <c r="D3211" s="2">
        <v>0.65</v>
      </c>
      <c r="E3211" s="2">
        <v>514.0</v>
      </c>
      <c r="F3211" s="2">
        <v>245.54</v>
      </c>
      <c r="G3211" s="4">
        <f t="shared" si="3"/>
        <v>9413520.28</v>
      </c>
      <c r="H3211" s="4">
        <f t="shared" si="1"/>
        <v>0.9862854152</v>
      </c>
      <c r="I3211" s="4" t="str">
        <f t="shared" si="2"/>
        <v>C</v>
      </c>
    </row>
    <row r="3212">
      <c r="A3212" s="2">
        <v>3211.0</v>
      </c>
      <c r="B3212" s="2" t="s">
        <v>3791</v>
      </c>
      <c r="C3212" s="2" t="s">
        <v>3792</v>
      </c>
      <c r="D3212" s="2">
        <v>6.95</v>
      </c>
      <c r="E3212" s="2">
        <v>36.0</v>
      </c>
      <c r="F3212" s="2">
        <v>245.46</v>
      </c>
      <c r="G3212" s="4">
        <f t="shared" si="3"/>
        <v>9413765.74</v>
      </c>
      <c r="H3212" s="4">
        <f t="shared" si="1"/>
        <v>0.9863111329</v>
      </c>
      <c r="I3212" s="4" t="str">
        <f t="shared" si="2"/>
        <v>C</v>
      </c>
    </row>
    <row r="3213">
      <c r="A3213" s="2">
        <v>3212.0</v>
      </c>
      <c r="B3213" s="2" t="s">
        <v>3793</v>
      </c>
      <c r="C3213" s="2" t="s">
        <v>3794</v>
      </c>
      <c r="D3213" s="2">
        <v>1.25</v>
      </c>
      <c r="E3213" s="2">
        <v>173.0</v>
      </c>
      <c r="F3213" s="2">
        <v>245.4</v>
      </c>
      <c r="G3213" s="4">
        <f t="shared" si="3"/>
        <v>9414011.14</v>
      </c>
      <c r="H3213" s="4">
        <f t="shared" si="1"/>
        <v>0.9863368442</v>
      </c>
      <c r="I3213" s="4" t="str">
        <f t="shared" si="2"/>
        <v>C</v>
      </c>
    </row>
    <row r="3214">
      <c r="A3214" s="2">
        <v>3213.0</v>
      </c>
      <c r="B3214" s="2">
        <v>22031.0</v>
      </c>
      <c r="C3214" s="2" t="s">
        <v>3795</v>
      </c>
      <c r="D3214" s="2">
        <v>0.42</v>
      </c>
      <c r="E3214" s="2">
        <v>556.0</v>
      </c>
      <c r="F3214" s="2">
        <v>244.48</v>
      </c>
      <c r="G3214" s="4">
        <f t="shared" si="3"/>
        <v>9414255.62</v>
      </c>
      <c r="H3214" s="4">
        <f t="shared" si="1"/>
        <v>0.9863624592</v>
      </c>
      <c r="I3214" s="4" t="str">
        <f t="shared" si="2"/>
        <v>C</v>
      </c>
    </row>
    <row r="3215">
      <c r="A3215" s="2">
        <v>3214.0</v>
      </c>
      <c r="B3215" s="2">
        <v>35967.0</v>
      </c>
      <c r="C3215" s="2" t="s">
        <v>3796</v>
      </c>
      <c r="D3215" s="2">
        <v>0.38</v>
      </c>
      <c r="E3215" s="2">
        <v>468.0</v>
      </c>
      <c r="F3215" s="2">
        <v>244.26</v>
      </c>
      <c r="G3215" s="4">
        <f t="shared" si="3"/>
        <v>9414499.88</v>
      </c>
      <c r="H3215" s="4">
        <f t="shared" si="1"/>
        <v>0.9863880511</v>
      </c>
      <c r="I3215" s="4" t="str">
        <f t="shared" si="2"/>
        <v>C</v>
      </c>
    </row>
    <row r="3216">
      <c r="A3216" s="2">
        <v>3215.0</v>
      </c>
      <c r="B3216" s="2" t="s">
        <v>3797</v>
      </c>
      <c r="C3216" s="2" t="s">
        <v>328</v>
      </c>
      <c r="D3216" s="2">
        <v>2.08</v>
      </c>
      <c r="E3216" s="2">
        <v>116.0</v>
      </c>
      <c r="F3216" s="2">
        <v>243.57</v>
      </c>
      <c r="G3216" s="4">
        <f t="shared" si="3"/>
        <v>9414743.45</v>
      </c>
      <c r="H3216" s="4">
        <f t="shared" si="1"/>
        <v>0.9864135708</v>
      </c>
      <c r="I3216" s="4" t="str">
        <f t="shared" si="2"/>
        <v>C</v>
      </c>
    </row>
    <row r="3217">
      <c r="A3217" s="2">
        <v>3216.0</v>
      </c>
      <c r="B3217" s="2" t="s">
        <v>3798</v>
      </c>
      <c r="C3217" s="2" t="s">
        <v>3799</v>
      </c>
      <c r="D3217" s="2">
        <v>1.25</v>
      </c>
      <c r="E3217" s="2">
        <v>541.0</v>
      </c>
      <c r="F3217" s="2">
        <v>242.81</v>
      </c>
      <c r="G3217" s="4">
        <f t="shared" si="3"/>
        <v>9414986.26</v>
      </c>
      <c r="H3217" s="4">
        <f t="shared" si="1"/>
        <v>0.9864390108</v>
      </c>
      <c r="I3217" s="4" t="str">
        <f t="shared" si="2"/>
        <v>C</v>
      </c>
    </row>
    <row r="3218">
      <c r="A3218" s="2">
        <v>3217.0</v>
      </c>
      <c r="B3218" s="2">
        <v>22259.0</v>
      </c>
      <c r="C3218" s="2" t="s">
        <v>3800</v>
      </c>
      <c r="D3218" s="2">
        <v>1.25</v>
      </c>
      <c r="E3218" s="2">
        <v>296.0</v>
      </c>
      <c r="F3218" s="2">
        <v>242.72</v>
      </c>
      <c r="G3218" s="4">
        <f t="shared" si="3"/>
        <v>9415228.98</v>
      </c>
      <c r="H3218" s="4">
        <f t="shared" si="1"/>
        <v>0.9864644413</v>
      </c>
      <c r="I3218" s="4" t="str">
        <f t="shared" si="2"/>
        <v>C</v>
      </c>
    </row>
    <row r="3219">
      <c r="A3219" s="2">
        <v>3218.0</v>
      </c>
      <c r="B3219" s="2">
        <v>20793.0</v>
      </c>
      <c r="C3219" s="2" t="s">
        <v>3801</v>
      </c>
      <c r="D3219" s="2">
        <v>6.75</v>
      </c>
      <c r="E3219" s="2">
        <v>138.0</v>
      </c>
      <c r="F3219" s="2">
        <v>242.38</v>
      </c>
      <c r="G3219" s="4">
        <f t="shared" si="3"/>
        <v>9415471.36</v>
      </c>
      <c r="H3219" s="4">
        <f t="shared" si="1"/>
        <v>0.9864898363</v>
      </c>
      <c r="I3219" s="4" t="str">
        <f t="shared" si="2"/>
        <v>C</v>
      </c>
    </row>
    <row r="3220">
      <c r="A3220" s="2">
        <v>3219.0</v>
      </c>
      <c r="B3220" s="2">
        <v>85030.0</v>
      </c>
      <c r="C3220" s="2" t="s">
        <v>3802</v>
      </c>
      <c r="D3220" s="2">
        <v>7.95</v>
      </c>
      <c r="E3220" s="2">
        <v>94.0</v>
      </c>
      <c r="F3220" s="2">
        <v>242.32</v>
      </c>
      <c r="G3220" s="4">
        <f t="shared" si="3"/>
        <v>9415713.68</v>
      </c>
      <c r="H3220" s="4">
        <f t="shared" si="1"/>
        <v>0.9865152249</v>
      </c>
      <c r="I3220" s="4" t="str">
        <f t="shared" si="2"/>
        <v>C</v>
      </c>
    </row>
    <row r="3221">
      <c r="A3221" s="2">
        <v>3220.0</v>
      </c>
      <c r="B3221" s="2" t="s">
        <v>3803</v>
      </c>
      <c r="C3221" s="2" t="s">
        <v>3804</v>
      </c>
      <c r="D3221" s="2">
        <v>1.25</v>
      </c>
      <c r="E3221" s="2">
        <v>186.0</v>
      </c>
      <c r="F3221" s="2">
        <v>241.88</v>
      </c>
      <c r="G3221" s="4">
        <f t="shared" si="3"/>
        <v>9415955.56</v>
      </c>
      <c r="H3221" s="4">
        <f t="shared" si="1"/>
        <v>0.9865405675</v>
      </c>
      <c r="I3221" s="4" t="str">
        <f t="shared" si="2"/>
        <v>C</v>
      </c>
    </row>
    <row r="3222">
      <c r="A3222" s="2">
        <v>3221.0</v>
      </c>
      <c r="B3222" s="2" t="s">
        <v>3805</v>
      </c>
      <c r="C3222" s="2" t="s">
        <v>3806</v>
      </c>
      <c r="D3222" s="2">
        <v>1.25</v>
      </c>
      <c r="E3222" s="2">
        <v>198.0</v>
      </c>
      <c r="F3222" s="2">
        <v>241.86</v>
      </c>
      <c r="G3222" s="4">
        <f t="shared" si="3"/>
        <v>9416197.42</v>
      </c>
      <c r="H3222" s="4">
        <f t="shared" si="1"/>
        <v>0.986565908</v>
      </c>
      <c r="I3222" s="4" t="str">
        <f t="shared" si="2"/>
        <v>C</v>
      </c>
    </row>
    <row r="3223">
      <c r="A3223" s="2">
        <v>3222.0</v>
      </c>
      <c r="B3223" s="2">
        <v>23218.0</v>
      </c>
      <c r="C3223" s="2" t="s">
        <v>3807</v>
      </c>
      <c r="D3223" s="2">
        <v>1.25</v>
      </c>
      <c r="E3223" s="2">
        <v>190.0</v>
      </c>
      <c r="F3223" s="2">
        <v>241.52</v>
      </c>
      <c r="G3223" s="4">
        <f t="shared" si="3"/>
        <v>9416438.94</v>
      </c>
      <c r="H3223" s="4">
        <f t="shared" si="1"/>
        <v>0.9865912128</v>
      </c>
      <c r="I3223" s="4" t="str">
        <f t="shared" si="2"/>
        <v>C</v>
      </c>
    </row>
    <row r="3224">
      <c r="A3224" s="2">
        <v>3223.0</v>
      </c>
      <c r="B3224" s="2">
        <v>84901.0</v>
      </c>
      <c r="C3224" s="2" t="s">
        <v>3808</v>
      </c>
      <c r="D3224" s="2">
        <v>3.75</v>
      </c>
      <c r="E3224" s="2">
        <v>63.0</v>
      </c>
      <c r="F3224" s="2">
        <v>241.19</v>
      </c>
      <c r="G3224" s="4">
        <f t="shared" si="3"/>
        <v>9416680.13</v>
      </c>
      <c r="H3224" s="4">
        <f t="shared" si="1"/>
        <v>0.9866164831</v>
      </c>
      <c r="I3224" s="4" t="str">
        <f t="shared" si="2"/>
        <v>C</v>
      </c>
    </row>
    <row r="3225">
      <c r="A3225" s="2">
        <v>3224.0</v>
      </c>
      <c r="B3225" s="2" t="s">
        <v>3809</v>
      </c>
      <c r="C3225" s="2" t="s">
        <v>3810</v>
      </c>
      <c r="D3225" s="2">
        <v>0.29</v>
      </c>
      <c r="E3225" s="2">
        <v>554.0</v>
      </c>
      <c r="F3225" s="2">
        <v>241.14</v>
      </c>
      <c r="G3225" s="4">
        <f t="shared" si="3"/>
        <v>9416921.27</v>
      </c>
      <c r="H3225" s="4">
        <f t="shared" si="1"/>
        <v>0.9866417481</v>
      </c>
      <c r="I3225" s="4" t="str">
        <f t="shared" si="2"/>
        <v>C</v>
      </c>
    </row>
    <row r="3226">
      <c r="A3226" s="2">
        <v>3225.0</v>
      </c>
      <c r="B3226" s="2">
        <v>21663.0</v>
      </c>
      <c r="C3226" s="2" t="s">
        <v>3811</v>
      </c>
      <c r="D3226" s="2">
        <v>5.95</v>
      </c>
      <c r="E3226" s="2">
        <v>38.0</v>
      </c>
      <c r="F3226" s="2">
        <v>241.1</v>
      </c>
      <c r="G3226" s="4">
        <f t="shared" si="3"/>
        <v>9417162.37</v>
      </c>
      <c r="H3226" s="4">
        <f t="shared" si="1"/>
        <v>0.9866670089</v>
      </c>
      <c r="I3226" s="4" t="str">
        <f t="shared" si="2"/>
        <v>C</v>
      </c>
    </row>
    <row r="3227">
      <c r="A3227" s="2">
        <v>3226.0</v>
      </c>
      <c r="B3227" s="2">
        <v>23691.0</v>
      </c>
      <c r="C3227" s="2" t="s">
        <v>3812</v>
      </c>
      <c r="D3227" s="2">
        <v>0.42</v>
      </c>
      <c r="E3227" s="2">
        <v>588.0</v>
      </c>
      <c r="F3227" s="2">
        <v>240.75</v>
      </c>
      <c r="G3227" s="4">
        <f t="shared" si="3"/>
        <v>9417403.12</v>
      </c>
      <c r="H3227" s="4">
        <f t="shared" si="1"/>
        <v>0.9866922331</v>
      </c>
      <c r="I3227" s="4" t="str">
        <f t="shared" si="2"/>
        <v>C</v>
      </c>
    </row>
    <row r="3228">
      <c r="A3228" s="2">
        <v>3227.0</v>
      </c>
      <c r="B3228" s="2">
        <v>22038.0</v>
      </c>
      <c r="C3228" s="2" t="s">
        <v>3813</v>
      </c>
      <c r="D3228" s="2">
        <v>0.42</v>
      </c>
      <c r="E3228" s="2">
        <v>575.0</v>
      </c>
      <c r="F3228" s="2">
        <v>240.5</v>
      </c>
      <c r="G3228" s="4">
        <f t="shared" si="3"/>
        <v>9417643.62</v>
      </c>
      <c r="H3228" s="4">
        <f t="shared" si="1"/>
        <v>0.9867174311</v>
      </c>
      <c r="I3228" s="4" t="str">
        <f t="shared" si="2"/>
        <v>C</v>
      </c>
    </row>
    <row r="3229">
      <c r="A3229" s="2">
        <v>3228.0</v>
      </c>
      <c r="B3229" s="2">
        <v>21132.0</v>
      </c>
      <c r="C3229" s="2" t="s">
        <v>3814</v>
      </c>
      <c r="D3229" s="2">
        <v>4.25</v>
      </c>
      <c r="E3229" s="2">
        <v>47.0</v>
      </c>
      <c r="F3229" s="2">
        <v>240.43</v>
      </c>
      <c r="G3229" s="4">
        <f t="shared" si="3"/>
        <v>9417884.05</v>
      </c>
      <c r="H3229" s="4">
        <f t="shared" si="1"/>
        <v>0.9867426217</v>
      </c>
      <c r="I3229" s="4" t="str">
        <f t="shared" si="2"/>
        <v>C</v>
      </c>
    </row>
    <row r="3230">
      <c r="A3230" s="2">
        <v>3229.0</v>
      </c>
      <c r="B3230" s="2" t="s">
        <v>3815</v>
      </c>
      <c r="C3230" s="2" t="s">
        <v>3816</v>
      </c>
      <c r="D3230" s="2">
        <v>4.21</v>
      </c>
      <c r="E3230" s="2">
        <v>93.0</v>
      </c>
      <c r="F3230" s="2">
        <v>239.7</v>
      </c>
      <c r="G3230" s="4">
        <f t="shared" si="3"/>
        <v>9418123.75</v>
      </c>
      <c r="H3230" s="4">
        <f t="shared" si="1"/>
        <v>0.9867677359</v>
      </c>
      <c r="I3230" s="4" t="str">
        <f t="shared" si="2"/>
        <v>C</v>
      </c>
    </row>
    <row r="3231">
      <c r="A3231" s="2">
        <v>3230.0</v>
      </c>
      <c r="B3231" s="2">
        <v>23422.0</v>
      </c>
      <c r="C3231" s="2" t="s">
        <v>3817</v>
      </c>
      <c r="D3231" s="2">
        <v>2.08</v>
      </c>
      <c r="E3231" s="2">
        <v>106.0</v>
      </c>
      <c r="F3231" s="2">
        <v>238.94</v>
      </c>
      <c r="G3231" s="4">
        <f t="shared" si="3"/>
        <v>9418362.69</v>
      </c>
      <c r="H3231" s="4">
        <f t="shared" si="1"/>
        <v>0.9867927704</v>
      </c>
      <c r="I3231" s="4" t="str">
        <f t="shared" si="2"/>
        <v>C</v>
      </c>
    </row>
    <row r="3232">
      <c r="A3232" s="2">
        <v>3231.0</v>
      </c>
      <c r="B3232" s="2">
        <v>21536.0</v>
      </c>
      <c r="C3232" s="2" t="s">
        <v>3818</v>
      </c>
      <c r="D3232" s="2">
        <v>2.1</v>
      </c>
      <c r="E3232" s="2">
        <v>111.0</v>
      </c>
      <c r="F3232" s="2">
        <v>238.42</v>
      </c>
      <c r="G3232" s="4">
        <f t="shared" si="3"/>
        <v>9418601.11</v>
      </c>
      <c r="H3232" s="4">
        <f t="shared" si="1"/>
        <v>0.9868177505</v>
      </c>
      <c r="I3232" s="4" t="str">
        <f t="shared" si="2"/>
        <v>C</v>
      </c>
    </row>
    <row r="3233">
      <c r="A3233" s="2">
        <v>3232.0</v>
      </c>
      <c r="B3233" s="2" t="s">
        <v>3819</v>
      </c>
      <c r="C3233" s="2" t="s">
        <v>3820</v>
      </c>
      <c r="D3233" s="2">
        <v>1.95</v>
      </c>
      <c r="E3233" s="2">
        <v>116.0</v>
      </c>
      <c r="F3233" s="2">
        <v>238.2</v>
      </c>
      <c r="G3233" s="4">
        <f t="shared" si="3"/>
        <v>9418839.31</v>
      </c>
      <c r="H3233" s="4">
        <f t="shared" si="1"/>
        <v>0.9868427074</v>
      </c>
      <c r="I3233" s="4" t="str">
        <f t="shared" si="2"/>
        <v>C</v>
      </c>
    </row>
    <row r="3234">
      <c r="A3234" s="2">
        <v>3233.0</v>
      </c>
      <c r="B3234" s="2">
        <v>23561.0</v>
      </c>
      <c r="C3234" s="2" t="s">
        <v>3821</v>
      </c>
      <c r="D3234" s="2">
        <v>2.89</v>
      </c>
      <c r="E3234" s="2">
        <v>85.0</v>
      </c>
      <c r="F3234" s="2">
        <v>238.0</v>
      </c>
      <c r="G3234" s="4">
        <f t="shared" si="3"/>
        <v>9419077.31</v>
      </c>
      <c r="H3234" s="4">
        <f t="shared" si="1"/>
        <v>0.9868676435</v>
      </c>
      <c r="I3234" s="4" t="str">
        <f t="shared" si="2"/>
        <v>C</v>
      </c>
    </row>
    <row r="3235">
      <c r="A3235" s="2">
        <v>3234.0</v>
      </c>
      <c r="B3235" s="2" t="s">
        <v>3822</v>
      </c>
      <c r="C3235" s="2" t="s">
        <v>3823</v>
      </c>
      <c r="D3235" s="2">
        <v>2.1</v>
      </c>
      <c r="E3235" s="2">
        <v>142.0</v>
      </c>
      <c r="F3235" s="2">
        <v>237.96</v>
      </c>
      <c r="G3235" s="4">
        <f t="shared" si="3"/>
        <v>9419315.27</v>
      </c>
      <c r="H3235" s="4">
        <f t="shared" si="1"/>
        <v>0.9868925753</v>
      </c>
      <c r="I3235" s="4" t="str">
        <f t="shared" si="2"/>
        <v>C</v>
      </c>
    </row>
    <row r="3236">
      <c r="A3236" s="2">
        <v>3235.0</v>
      </c>
      <c r="B3236" s="2" t="s">
        <v>3824</v>
      </c>
      <c r="C3236" s="2" t="s">
        <v>3825</v>
      </c>
      <c r="D3236" s="2">
        <v>2.1</v>
      </c>
      <c r="E3236" s="2">
        <v>138.0</v>
      </c>
      <c r="F3236" s="2">
        <v>237.42</v>
      </c>
      <c r="G3236" s="4">
        <f t="shared" si="3"/>
        <v>9419552.69</v>
      </c>
      <c r="H3236" s="4">
        <f t="shared" si="1"/>
        <v>0.9869174506</v>
      </c>
      <c r="I3236" s="4" t="str">
        <f t="shared" si="2"/>
        <v>C</v>
      </c>
    </row>
    <row r="3237">
      <c r="A3237" s="2">
        <v>3236.0</v>
      </c>
      <c r="B3237" s="2">
        <v>21518.0</v>
      </c>
      <c r="C3237" s="2" t="s">
        <v>3826</v>
      </c>
      <c r="D3237" s="2">
        <v>0.42</v>
      </c>
      <c r="E3237" s="2">
        <v>560.0</v>
      </c>
      <c r="F3237" s="2">
        <v>237.16</v>
      </c>
      <c r="G3237" s="4">
        <f t="shared" si="3"/>
        <v>9419789.85</v>
      </c>
      <c r="H3237" s="4">
        <f t="shared" si="1"/>
        <v>0.9869422986</v>
      </c>
      <c r="I3237" s="4" t="str">
        <f t="shared" si="2"/>
        <v>C</v>
      </c>
    </row>
    <row r="3238">
      <c r="A3238" s="2">
        <v>3237.0</v>
      </c>
      <c r="B3238" s="2" t="s">
        <v>3827</v>
      </c>
      <c r="C3238" s="2" t="s">
        <v>3828</v>
      </c>
      <c r="D3238" s="2">
        <v>7.95</v>
      </c>
      <c r="E3238" s="2">
        <v>30.0</v>
      </c>
      <c r="F3238" s="2">
        <v>236.89</v>
      </c>
      <c r="G3238" s="4">
        <f t="shared" si="3"/>
        <v>9420026.74</v>
      </c>
      <c r="H3238" s="4">
        <f t="shared" si="1"/>
        <v>0.9869671184</v>
      </c>
      <c r="I3238" s="4" t="str">
        <f t="shared" si="2"/>
        <v>C</v>
      </c>
    </row>
    <row r="3239">
      <c r="A3239" s="2">
        <v>3238.0</v>
      </c>
      <c r="B3239" s="2" t="s">
        <v>3829</v>
      </c>
      <c r="C3239" s="2" t="s">
        <v>3830</v>
      </c>
      <c r="D3239" s="2">
        <v>4.65</v>
      </c>
      <c r="E3239" s="2">
        <v>120.0</v>
      </c>
      <c r="F3239" s="2">
        <v>236.32</v>
      </c>
      <c r="G3239" s="4">
        <f t="shared" si="3"/>
        <v>9420263.06</v>
      </c>
      <c r="H3239" s="4">
        <f t="shared" si="1"/>
        <v>0.9869918784</v>
      </c>
      <c r="I3239" s="4" t="str">
        <f t="shared" si="2"/>
        <v>C</v>
      </c>
    </row>
    <row r="3240">
      <c r="A3240" s="2">
        <v>3239.0</v>
      </c>
      <c r="B3240" s="2" t="s">
        <v>3831</v>
      </c>
      <c r="C3240" s="2" t="s">
        <v>3832</v>
      </c>
      <c r="D3240" s="2">
        <v>1.25</v>
      </c>
      <c r="E3240" s="2">
        <v>178.0</v>
      </c>
      <c r="F3240" s="2">
        <v>236.04</v>
      </c>
      <c r="G3240" s="4">
        <f t="shared" si="3"/>
        <v>9420499.1</v>
      </c>
      <c r="H3240" s="4">
        <f t="shared" si="1"/>
        <v>0.9870166091</v>
      </c>
      <c r="I3240" s="4" t="str">
        <f t="shared" si="2"/>
        <v>C</v>
      </c>
    </row>
    <row r="3241">
      <c r="A3241" s="2">
        <v>3240.0</v>
      </c>
      <c r="B3241" s="2">
        <v>90192.0</v>
      </c>
      <c r="C3241" s="2" t="s">
        <v>3833</v>
      </c>
      <c r="D3241" s="2">
        <v>4.98</v>
      </c>
      <c r="E3241" s="2">
        <v>47.0</v>
      </c>
      <c r="F3241" s="2">
        <v>234.59</v>
      </c>
      <c r="G3241" s="4">
        <f t="shared" si="3"/>
        <v>9420733.69</v>
      </c>
      <c r="H3241" s="4">
        <f t="shared" si="1"/>
        <v>0.9870411879</v>
      </c>
      <c r="I3241" s="4" t="str">
        <f t="shared" si="2"/>
        <v>C</v>
      </c>
    </row>
    <row r="3242">
      <c r="A3242" s="2">
        <v>3241.0</v>
      </c>
      <c r="B3242" s="2">
        <v>84948.0</v>
      </c>
      <c r="C3242" s="2" t="s">
        <v>3834</v>
      </c>
      <c r="D3242" s="2">
        <v>1.65</v>
      </c>
      <c r="E3242" s="2">
        <v>140.0</v>
      </c>
      <c r="F3242" s="2">
        <v>234.55</v>
      </c>
      <c r="G3242" s="4">
        <f t="shared" si="3"/>
        <v>9420968.24</v>
      </c>
      <c r="H3242" s="4">
        <f t="shared" si="1"/>
        <v>0.9870657624</v>
      </c>
      <c r="I3242" s="4" t="str">
        <f t="shared" si="2"/>
        <v>C</v>
      </c>
    </row>
    <row r="3243">
      <c r="A3243" s="2">
        <v>3242.0</v>
      </c>
      <c r="B3243" s="2" t="s">
        <v>3835</v>
      </c>
      <c r="C3243" s="2" t="s">
        <v>3836</v>
      </c>
      <c r="D3243" s="2">
        <v>2.95</v>
      </c>
      <c r="E3243" s="2">
        <v>77.0</v>
      </c>
      <c r="F3243" s="2">
        <v>234.55</v>
      </c>
      <c r="G3243" s="4">
        <f t="shared" si="3"/>
        <v>9421202.79</v>
      </c>
      <c r="H3243" s="4">
        <f t="shared" si="1"/>
        <v>0.987090337</v>
      </c>
      <c r="I3243" s="4" t="str">
        <f t="shared" si="2"/>
        <v>C</v>
      </c>
    </row>
    <row r="3244">
      <c r="A3244" s="2">
        <v>3243.0</v>
      </c>
      <c r="B3244" s="2" t="s">
        <v>3837</v>
      </c>
      <c r="C3244" s="2" t="s">
        <v>3838</v>
      </c>
      <c r="D3244" s="2">
        <v>0.85</v>
      </c>
      <c r="E3244" s="2">
        <v>194.0</v>
      </c>
      <c r="F3244" s="2">
        <v>234.4</v>
      </c>
      <c r="G3244" s="4">
        <f t="shared" si="3"/>
        <v>9421437.19</v>
      </c>
      <c r="H3244" s="4">
        <f t="shared" si="1"/>
        <v>0.9871148959</v>
      </c>
      <c r="I3244" s="4" t="str">
        <f t="shared" si="2"/>
        <v>C</v>
      </c>
    </row>
    <row r="3245">
      <c r="A3245" s="2">
        <v>3244.0</v>
      </c>
      <c r="B3245" s="2" t="s">
        <v>3839</v>
      </c>
      <c r="C3245" s="2" t="s">
        <v>3840</v>
      </c>
      <c r="D3245" s="2">
        <v>2.95</v>
      </c>
      <c r="E3245" s="2">
        <v>161.0</v>
      </c>
      <c r="F3245" s="2">
        <v>233.86</v>
      </c>
      <c r="G3245" s="4">
        <f t="shared" si="3"/>
        <v>9421671.05</v>
      </c>
      <c r="H3245" s="4">
        <f t="shared" si="1"/>
        <v>0.9871393981</v>
      </c>
      <c r="I3245" s="4" t="str">
        <f t="shared" si="2"/>
        <v>C</v>
      </c>
    </row>
    <row r="3246">
      <c r="A3246" s="2">
        <v>3245.0</v>
      </c>
      <c r="B3246" s="2" t="s">
        <v>3841</v>
      </c>
      <c r="C3246" s="2" t="s">
        <v>3842</v>
      </c>
      <c r="D3246" s="2">
        <v>8.95</v>
      </c>
      <c r="E3246" s="2">
        <v>26.0</v>
      </c>
      <c r="F3246" s="2">
        <v>232.92</v>
      </c>
      <c r="G3246" s="4">
        <f t="shared" si="3"/>
        <v>9421903.97</v>
      </c>
      <c r="H3246" s="4">
        <f t="shared" si="1"/>
        <v>0.9871638019</v>
      </c>
      <c r="I3246" s="4" t="str">
        <f t="shared" si="2"/>
        <v>C</v>
      </c>
    </row>
    <row r="3247">
      <c r="A3247" s="2">
        <v>3246.0</v>
      </c>
      <c r="B3247" s="2">
        <v>23379.0</v>
      </c>
      <c r="C3247" s="2" t="s">
        <v>3843</v>
      </c>
      <c r="D3247" s="2">
        <v>0.39</v>
      </c>
      <c r="E3247" s="2">
        <v>610.0</v>
      </c>
      <c r="F3247" s="2">
        <v>232.68</v>
      </c>
      <c r="G3247" s="4">
        <f t="shared" si="3"/>
        <v>9422136.65</v>
      </c>
      <c r="H3247" s="4">
        <f t="shared" si="1"/>
        <v>0.9871881806</v>
      </c>
      <c r="I3247" s="4" t="str">
        <f t="shared" si="2"/>
        <v>C</v>
      </c>
    </row>
    <row r="3248">
      <c r="A3248" s="2">
        <v>3247.0</v>
      </c>
      <c r="B3248" s="2">
        <v>85091.0</v>
      </c>
      <c r="C3248" s="2" t="s">
        <v>3844</v>
      </c>
      <c r="D3248" s="2">
        <v>4.95</v>
      </c>
      <c r="E3248" s="2">
        <v>163.0</v>
      </c>
      <c r="F3248" s="2">
        <v>232.33</v>
      </c>
      <c r="G3248" s="4">
        <f t="shared" si="3"/>
        <v>9422368.98</v>
      </c>
      <c r="H3248" s="4">
        <f t="shared" si="1"/>
        <v>0.9872125226</v>
      </c>
      <c r="I3248" s="4" t="str">
        <f t="shared" si="2"/>
        <v>C</v>
      </c>
    </row>
    <row r="3249">
      <c r="A3249" s="2">
        <v>3248.0</v>
      </c>
      <c r="B3249" s="2" t="s">
        <v>3845</v>
      </c>
      <c r="C3249" s="2" t="s">
        <v>3846</v>
      </c>
      <c r="D3249" s="2">
        <v>1.25</v>
      </c>
      <c r="E3249" s="2">
        <v>652.0</v>
      </c>
      <c r="F3249" s="2">
        <v>232.28</v>
      </c>
      <c r="G3249" s="4">
        <f t="shared" si="3"/>
        <v>9422601.26</v>
      </c>
      <c r="H3249" s="4">
        <f t="shared" si="1"/>
        <v>0.9872368593</v>
      </c>
      <c r="I3249" s="4" t="str">
        <f t="shared" si="2"/>
        <v>C</v>
      </c>
    </row>
    <row r="3250">
      <c r="A3250" s="2">
        <v>3249.0</v>
      </c>
      <c r="B3250" s="2">
        <v>72132.0</v>
      </c>
      <c r="C3250" s="2" t="s">
        <v>3847</v>
      </c>
      <c r="D3250" s="2">
        <v>1.95</v>
      </c>
      <c r="E3250" s="2">
        <v>275.0</v>
      </c>
      <c r="F3250" s="2">
        <v>232.05</v>
      </c>
      <c r="G3250" s="4">
        <f t="shared" si="3"/>
        <v>9422833.31</v>
      </c>
      <c r="H3250" s="4">
        <f t="shared" si="1"/>
        <v>0.9872611719</v>
      </c>
      <c r="I3250" s="4" t="str">
        <f t="shared" si="2"/>
        <v>C</v>
      </c>
    </row>
    <row r="3251">
      <c r="A3251" s="2">
        <v>3250.0</v>
      </c>
      <c r="B3251" s="2">
        <v>85211.0</v>
      </c>
      <c r="C3251" s="2" t="s">
        <v>3848</v>
      </c>
      <c r="D3251" s="2">
        <v>1.65</v>
      </c>
      <c r="E3251" s="2">
        <v>152.0</v>
      </c>
      <c r="F3251" s="2">
        <v>232.05</v>
      </c>
      <c r="G3251" s="4">
        <f t="shared" si="3"/>
        <v>9423065.36</v>
      </c>
      <c r="H3251" s="4">
        <f t="shared" si="1"/>
        <v>0.9872854846</v>
      </c>
      <c r="I3251" s="4" t="str">
        <f t="shared" si="2"/>
        <v>C</v>
      </c>
    </row>
    <row r="3252">
      <c r="A3252" s="2">
        <v>3251.0</v>
      </c>
      <c r="B3252" s="2" t="s">
        <v>3849</v>
      </c>
      <c r="C3252" s="2" t="s">
        <v>3850</v>
      </c>
      <c r="D3252" s="2">
        <v>4.24</v>
      </c>
      <c r="E3252" s="2">
        <v>54.0</v>
      </c>
      <c r="F3252" s="2">
        <v>231.16</v>
      </c>
      <c r="G3252" s="4">
        <f t="shared" si="3"/>
        <v>9423296.52</v>
      </c>
      <c r="H3252" s="4">
        <f t="shared" si="1"/>
        <v>0.987309704</v>
      </c>
      <c r="I3252" s="4" t="str">
        <f t="shared" si="2"/>
        <v>C</v>
      </c>
    </row>
    <row r="3253">
      <c r="A3253" s="2">
        <v>3252.0</v>
      </c>
      <c r="B3253" s="2" t="s">
        <v>3851</v>
      </c>
      <c r="C3253" s="2" t="s">
        <v>3852</v>
      </c>
      <c r="D3253" s="2">
        <v>3.95</v>
      </c>
      <c r="E3253" s="2">
        <v>58.0</v>
      </c>
      <c r="F3253" s="2">
        <v>231.08</v>
      </c>
      <c r="G3253" s="4">
        <f t="shared" si="3"/>
        <v>9423527.6</v>
      </c>
      <c r="H3253" s="4">
        <f t="shared" si="1"/>
        <v>0.987333915</v>
      </c>
      <c r="I3253" s="4" t="str">
        <f t="shared" si="2"/>
        <v>C</v>
      </c>
    </row>
    <row r="3254">
      <c r="A3254" s="2">
        <v>3253.0</v>
      </c>
      <c r="B3254" s="2">
        <v>85204.0</v>
      </c>
      <c r="C3254" s="2" t="s">
        <v>3853</v>
      </c>
      <c r="D3254" s="2">
        <v>0.42</v>
      </c>
      <c r="E3254" s="2">
        <v>1180.0</v>
      </c>
      <c r="F3254" s="2">
        <v>230.96</v>
      </c>
      <c r="G3254" s="4">
        <f t="shared" si="3"/>
        <v>9423758.56</v>
      </c>
      <c r="H3254" s="4">
        <f t="shared" si="1"/>
        <v>0.9873581134</v>
      </c>
      <c r="I3254" s="4" t="str">
        <f t="shared" si="2"/>
        <v>C</v>
      </c>
    </row>
    <row r="3255">
      <c r="A3255" s="2">
        <v>3254.0</v>
      </c>
      <c r="B3255" s="2">
        <v>72789.0</v>
      </c>
      <c r="C3255" s="2" t="s">
        <v>3854</v>
      </c>
      <c r="D3255" s="2">
        <v>3.75</v>
      </c>
      <c r="E3255" s="2">
        <v>61.0</v>
      </c>
      <c r="F3255" s="2">
        <v>230.76</v>
      </c>
      <c r="G3255" s="4">
        <f t="shared" si="3"/>
        <v>9423989.32</v>
      </c>
      <c r="H3255" s="4">
        <f t="shared" si="1"/>
        <v>0.9873822909</v>
      </c>
      <c r="I3255" s="4" t="str">
        <f t="shared" si="2"/>
        <v>C</v>
      </c>
    </row>
    <row r="3256">
      <c r="A3256" s="2">
        <v>3255.0</v>
      </c>
      <c r="B3256" s="2">
        <v>84915.0</v>
      </c>
      <c r="C3256" s="2" t="s">
        <v>3855</v>
      </c>
      <c r="D3256" s="2">
        <v>4.21</v>
      </c>
      <c r="E3256" s="2">
        <v>117.0</v>
      </c>
      <c r="F3256" s="2">
        <v>229.78</v>
      </c>
      <c r="G3256" s="4">
        <f t="shared" si="3"/>
        <v>9424219.1</v>
      </c>
      <c r="H3256" s="4">
        <f t="shared" si="1"/>
        <v>0.9874063657</v>
      </c>
      <c r="I3256" s="4" t="str">
        <f t="shared" si="2"/>
        <v>C</v>
      </c>
    </row>
    <row r="3257">
      <c r="A3257" s="2">
        <v>3256.0</v>
      </c>
      <c r="B3257" s="2" t="s">
        <v>3856</v>
      </c>
      <c r="C3257" s="2" t="s">
        <v>3857</v>
      </c>
      <c r="D3257" s="2">
        <v>2.51</v>
      </c>
      <c r="E3257" s="2">
        <v>132.0</v>
      </c>
      <c r="F3257" s="2">
        <v>228.82</v>
      </c>
      <c r="G3257" s="4">
        <f t="shared" si="3"/>
        <v>9424447.92</v>
      </c>
      <c r="H3257" s="4">
        <f t="shared" si="1"/>
        <v>0.9874303399</v>
      </c>
      <c r="I3257" s="4" t="str">
        <f t="shared" si="2"/>
        <v>C</v>
      </c>
    </row>
    <row r="3258">
      <c r="A3258" s="2">
        <v>3257.0</v>
      </c>
      <c r="B3258" s="2">
        <v>23023.0</v>
      </c>
      <c r="C3258" s="2" t="s">
        <v>3858</v>
      </c>
      <c r="D3258" s="2">
        <v>1.65</v>
      </c>
      <c r="E3258" s="2">
        <v>143.0</v>
      </c>
      <c r="F3258" s="2">
        <v>228.81</v>
      </c>
      <c r="G3258" s="4">
        <f t="shared" si="3"/>
        <v>9424676.73</v>
      </c>
      <c r="H3258" s="4">
        <f t="shared" si="1"/>
        <v>0.9874543131</v>
      </c>
      <c r="I3258" s="4" t="str">
        <f t="shared" si="2"/>
        <v>C</v>
      </c>
    </row>
    <row r="3259">
      <c r="A3259" s="2">
        <v>3258.0</v>
      </c>
      <c r="B3259" s="2">
        <v>90145.0</v>
      </c>
      <c r="C3259" s="2" t="s">
        <v>3859</v>
      </c>
      <c r="D3259" s="2">
        <v>5.95</v>
      </c>
      <c r="E3259" s="2">
        <v>38.0</v>
      </c>
      <c r="F3259" s="2">
        <v>227.93</v>
      </c>
      <c r="G3259" s="4">
        <f t="shared" si="3"/>
        <v>9424904.66</v>
      </c>
      <c r="H3259" s="4">
        <f t="shared" si="1"/>
        <v>0.9874781941</v>
      </c>
      <c r="I3259" s="4" t="str">
        <f t="shared" si="2"/>
        <v>C</v>
      </c>
    </row>
    <row r="3260">
      <c r="A3260" s="2">
        <v>3259.0</v>
      </c>
      <c r="B3260" s="2">
        <v>47422.0</v>
      </c>
      <c r="C3260" s="2" t="s">
        <v>3860</v>
      </c>
      <c r="D3260" s="2">
        <v>0.42</v>
      </c>
      <c r="E3260" s="2">
        <v>584.0</v>
      </c>
      <c r="F3260" s="2">
        <v>227.28</v>
      </c>
      <c r="G3260" s="4">
        <f t="shared" si="3"/>
        <v>9425131.94</v>
      </c>
      <c r="H3260" s="4">
        <f t="shared" si="1"/>
        <v>0.9875020069</v>
      </c>
      <c r="I3260" s="4" t="str">
        <f t="shared" si="2"/>
        <v>C</v>
      </c>
    </row>
    <row r="3261">
      <c r="A3261" s="2">
        <v>3260.0</v>
      </c>
      <c r="B3261" s="2">
        <v>21757.0</v>
      </c>
      <c r="C3261" s="2" t="s">
        <v>3861</v>
      </c>
      <c r="D3261" s="2">
        <v>4.95</v>
      </c>
      <c r="E3261" s="2">
        <v>40.0</v>
      </c>
      <c r="F3261" s="2">
        <v>227.15</v>
      </c>
      <c r="G3261" s="4">
        <f t="shared" si="3"/>
        <v>9425359.09</v>
      </c>
      <c r="H3261" s="4">
        <f t="shared" si="1"/>
        <v>0.9875258062</v>
      </c>
      <c r="I3261" s="4" t="str">
        <f t="shared" si="2"/>
        <v>C</v>
      </c>
    </row>
    <row r="3262">
      <c r="A3262" s="2">
        <v>3261.0</v>
      </c>
      <c r="B3262" s="2">
        <v>20621.0</v>
      </c>
      <c r="C3262" s="2" t="s">
        <v>3862</v>
      </c>
      <c r="D3262" s="2">
        <v>2.1</v>
      </c>
      <c r="E3262" s="2">
        <v>104.0</v>
      </c>
      <c r="F3262" s="2">
        <v>226.89</v>
      </c>
      <c r="G3262" s="4">
        <f t="shared" si="3"/>
        <v>9425585.98</v>
      </c>
      <c r="H3262" s="4">
        <f t="shared" si="1"/>
        <v>0.9875495782</v>
      </c>
      <c r="I3262" s="4" t="str">
        <f t="shared" si="2"/>
        <v>C</v>
      </c>
    </row>
    <row r="3263">
      <c r="A3263" s="2">
        <v>3262.0</v>
      </c>
      <c r="B3263" s="2" t="s">
        <v>3863</v>
      </c>
      <c r="C3263" s="2" t="s">
        <v>3864</v>
      </c>
      <c r="D3263" s="2">
        <v>4.65</v>
      </c>
      <c r="E3263" s="2">
        <v>132.0</v>
      </c>
      <c r="F3263" s="2">
        <v>226.41</v>
      </c>
      <c r="G3263" s="4">
        <f t="shared" si="3"/>
        <v>9425812.39</v>
      </c>
      <c r="H3263" s="4">
        <f t="shared" si="1"/>
        <v>0.9875732999</v>
      </c>
      <c r="I3263" s="4" t="str">
        <f t="shared" si="2"/>
        <v>C</v>
      </c>
    </row>
    <row r="3264">
      <c r="A3264" s="2">
        <v>3263.0</v>
      </c>
      <c r="B3264" s="2">
        <v>23509.0</v>
      </c>
      <c r="C3264" s="2" t="s">
        <v>3865</v>
      </c>
      <c r="D3264" s="2">
        <v>0.42</v>
      </c>
      <c r="E3264" s="2">
        <v>532.0</v>
      </c>
      <c r="F3264" s="2">
        <v>226.36</v>
      </c>
      <c r="G3264" s="4">
        <f t="shared" si="3"/>
        <v>9426038.75</v>
      </c>
      <c r="H3264" s="4">
        <f t="shared" si="1"/>
        <v>0.9875970164</v>
      </c>
      <c r="I3264" s="4" t="str">
        <f t="shared" si="2"/>
        <v>C</v>
      </c>
    </row>
    <row r="3265">
      <c r="A3265" s="2">
        <v>3264.0</v>
      </c>
      <c r="B3265" s="2" t="s">
        <v>3866</v>
      </c>
      <c r="C3265" s="2" t="s">
        <v>3867</v>
      </c>
      <c r="D3265" s="2">
        <v>0.29</v>
      </c>
      <c r="E3265" s="2">
        <v>939.0</v>
      </c>
      <c r="F3265" s="2">
        <v>226.23</v>
      </c>
      <c r="G3265" s="4">
        <f t="shared" si="3"/>
        <v>9426264.98</v>
      </c>
      <c r="H3265" s="4">
        <f t="shared" si="1"/>
        <v>0.9876207193</v>
      </c>
      <c r="I3265" s="4" t="str">
        <f t="shared" si="2"/>
        <v>C</v>
      </c>
    </row>
    <row r="3266">
      <c r="A3266" s="2">
        <v>3265.0</v>
      </c>
      <c r="B3266" s="2">
        <v>23548.0</v>
      </c>
      <c r="C3266" s="2" t="s">
        <v>3868</v>
      </c>
      <c r="D3266" s="2">
        <v>0.42</v>
      </c>
      <c r="E3266" s="2">
        <v>538.0</v>
      </c>
      <c r="F3266" s="2">
        <v>225.75</v>
      </c>
      <c r="G3266" s="4">
        <f t="shared" si="3"/>
        <v>9426490.73</v>
      </c>
      <c r="H3266" s="4">
        <f t="shared" si="1"/>
        <v>0.9876443718</v>
      </c>
      <c r="I3266" s="4" t="str">
        <f t="shared" si="2"/>
        <v>C</v>
      </c>
    </row>
    <row r="3267">
      <c r="A3267" s="2">
        <v>3266.0</v>
      </c>
      <c r="B3267" s="2" t="s">
        <v>3869</v>
      </c>
      <c r="C3267" s="2" t="s">
        <v>3870</v>
      </c>
      <c r="D3267" s="2">
        <v>4.25</v>
      </c>
      <c r="E3267" s="2">
        <v>54.0</v>
      </c>
      <c r="F3267" s="2">
        <v>225.72</v>
      </c>
      <c r="G3267" s="4">
        <f t="shared" si="3"/>
        <v>9426716.45</v>
      </c>
      <c r="H3267" s="4">
        <f t="shared" si="1"/>
        <v>0.9876680213</v>
      </c>
      <c r="I3267" s="4" t="str">
        <f t="shared" si="2"/>
        <v>C</v>
      </c>
    </row>
    <row r="3268">
      <c r="A3268" s="2">
        <v>3267.0</v>
      </c>
      <c r="B3268" s="2">
        <v>82081.0</v>
      </c>
      <c r="C3268" s="2" t="s">
        <v>3871</v>
      </c>
      <c r="D3268" s="2">
        <v>7.62</v>
      </c>
      <c r="E3268" s="2">
        <v>87.0</v>
      </c>
      <c r="F3268" s="2">
        <v>225.68</v>
      </c>
      <c r="G3268" s="4">
        <f t="shared" si="3"/>
        <v>9426942.13</v>
      </c>
      <c r="H3268" s="4">
        <f t="shared" si="1"/>
        <v>0.9876916665</v>
      </c>
      <c r="I3268" s="4" t="str">
        <f t="shared" si="2"/>
        <v>C</v>
      </c>
    </row>
    <row r="3269">
      <c r="A3269" s="2">
        <v>3268.0</v>
      </c>
      <c r="B3269" s="2" t="s">
        <v>3872</v>
      </c>
      <c r="C3269" s="2" t="s">
        <v>3873</v>
      </c>
      <c r="D3269" s="2">
        <v>1.25</v>
      </c>
      <c r="E3269" s="2">
        <v>182.0</v>
      </c>
      <c r="F3269" s="2">
        <v>225.49</v>
      </c>
      <c r="G3269" s="4">
        <f t="shared" si="3"/>
        <v>9427167.62</v>
      </c>
      <c r="H3269" s="4">
        <f t="shared" si="1"/>
        <v>0.9877152918</v>
      </c>
      <c r="I3269" s="4" t="str">
        <f t="shared" si="2"/>
        <v>C</v>
      </c>
    </row>
    <row r="3270">
      <c r="A3270" s="2">
        <v>3269.0</v>
      </c>
      <c r="B3270" s="2" t="s">
        <v>3874</v>
      </c>
      <c r="C3270" s="2" t="s">
        <v>3875</v>
      </c>
      <c r="D3270" s="2">
        <v>0.42</v>
      </c>
      <c r="E3270" s="2">
        <v>580.0</v>
      </c>
      <c r="F3270" s="2">
        <v>225.39</v>
      </c>
      <c r="G3270" s="4">
        <f t="shared" si="3"/>
        <v>9427393.01</v>
      </c>
      <c r="H3270" s="4">
        <f t="shared" si="1"/>
        <v>0.9877389067</v>
      </c>
      <c r="I3270" s="4" t="str">
        <f t="shared" si="2"/>
        <v>C</v>
      </c>
    </row>
    <row r="3271">
      <c r="A3271" s="2">
        <v>3270.0</v>
      </c>
      <c r="B3271" s="2">
        <v>72127.0</v>
      </c>
      <c r="C3271" s="2" t="s">
        <v>3876</v>
      </c>
      <c r="D3271" s="2">
        <v>1.25</v>
      </c>
      <c r="E3271" s="2">
        <v>184.0</v>
      </c>
      <c r="F3271" s="2">
        <v>224.84</v>
      </c>
      <c r="G3271" s="4">
        <f t="shared" si="3"/>
        <v>9427617.85</v>
      </c>
      <c r="H3271" s="4">
        <f t="shared" si="1"/>
        <v>0.9877624639</v>
      </c>
      <c r="I3271" s="4" t="str">
        <f t="shared" si="2"/>
        <v>C</v>
      </c>
    </row>
    <row r="3272">
      <c r="A3272" s="2">
        <v>3271.0</v>
      </c>
      <c r="B3272" s="2">
        <v>20616.0</v>
      </c>
      <c r="C3272" s="2" t="s">
        <v>3877</v>
      </c>
      <c r="D3272" s="2">
        <v>1.66</v>
      </c>
      <c r="E3272" s="2">
        <v>142.0</v>
      </c>
      <c r="F3272" s="2">
        <v>224.63</v>
      </c>
      <c r="G3272" s="4">
        <f t="shared" si="3"/>
        <v>9427842.48</v>
      </c>
      <c r="H3272" s="4">
        <f t="shared" si="1"/>
        <v>0.9877859991</v>
      </c>
      <c r="I3272" s="4" t="str">
        <f t="shared" si="2"/>
        <v>C</v>
      </c>
    </row>
    <row r="3273">
      <c r="A3273" s="2">
        <v>3272.0</v>
      </c>
      <c r="B3273" s="2">
        <v>16218.0</v>
      </c>
      <c r="C3273" s="2" t="s">
        <v>3878</v>
      </c>
      <c r="D3273" s="2">
        <v>0.16</v>
      </c>
      <c r="E3273" s="2">
        <v>2314.0</v>
      </c>
      <c r="F3273" s="2">
        <v>224.06</v>
      </c>
      <c r="G3273" s="4">
        <f t="shared" si="3"/>
        <v>9428066.54</v>
      </c>
      <c r="H3273" s="4">
        <f t="shared" si="1"/>
        <v>0.9878094746</v>
      </c>
      <c r="I3273" s="4" t="str">
        <f t="shared" si="2"/>
        <v>C</v>
      </c>
    </row>
    <row r="3274">
      <c r="A3274" s="2">
        <v>3273.0</v>
      </c>
      <c r="B3274" s="2" t="s">
        <v>3879</v>
      </c>
      <c r="C3274" s="2" t="s">
        <v>3880</v>
      </c>
      <c r="D3274" s="2">
        <v>1.25</v>
      </c>
      <c r="E3274" s="2">
        <v>277.0</v>
      </c>
      <c r="F3274" s="2">
        <v>223.71</v>
      </c>
      <c r="G3274" s="4">
        <f t="shared" si="3"/>
        <v>9428290.25</v>
      </c>
      <c r="H3274" s="4">
        <f t="shared" si="1"/>
        <v>0.9878329134</v>
      </c>
      <c r="I3274" s="4" t="str">
        <f t="shared" si="2"/>
        <v>C</v>
      </c>
    </row>
    <row r="3275">
      <c r="A3275" s="2">
        <v>3274.0</v>
      </c>
      <c r="B3275" s="2">
        <v>72128.0</v>
      </c>
      <c r="C3275" s="2" t="s">
        <v>3876</v>
      </c>
      <c r="D3275" s="2">
        <v>0.85</v>
      </c>
      <c r="E3275" s="2">
        <v>360.0</v>
      </c>
      <c r="F3275" s="2">
        <v>223.67</v>
      </c>
      <c r="G3275" s="4">
        <f t="shared" si="3"/>
        <v>9428513.92</v>
      </c>
      <c r="H3275" s="4">
        <f t="shared" si="1"/>
        <v>0.9878563481</v>
      </c>
      <c r="I3275" s="4" t="str">
        <f t="shared" si="2"/>
        <v>C</v>
      </c>
    </row>
    <row r="3276">
      <c r="A3276" s="2">
        <v>3275.0</v>
      </c>
      <c r="B3276" s="2" t="s">
        <v>3881</v>
      </c>
      <c r="C3276" s="2" t="s">
        <v>3882</v>
      </c>
      <c r="D3276" s="2">
        <v>4.25</v>
      </c>
      <c r="E3276" s="2">
        <v>52.0</v>
      </c>
      <c r="F3276" s="2">
        <v>223.08</v>
      </c>
      <c r="G3276" s="4">
        <f t="shared" si="3"/>
        <v>9428737</v>
      </c>
      <c r="H3276" s="4">
        <f t="shared" si="1"/>
        <v>0.9878797209</v>
      </c>
      <c r="I3276" s="4" t="str">
        <f t="shared" si="2"/>
        <v>C</v>
      </c>
    </row>
    <row r="3277">
      <c r="A3277" s="2">
        <v>3276.0</v>
      </c>
      <c r="B3277" s="2" t="s">
        <v>3883</v>
      </c>
      <c r="C3277" s="2" t="s">
        <v>3884</v>
      </c>
      <c r="D3277" s="2">
        <v>1.95</v>
      </c>
      <c r="E3277" s="2">
        <v>98.0</v>
      </c>
      <c r="F3277" s="2">
        <v>222.52</v>
      </c>
      <c r="G3277" s="4">
        <f t="shared" si="3"/>
        <v>9428959.52</v>
      </c>
      <c r="H3277" s="4">
        <f t="shared" si="1"/>
        <v>0.9879030351</v>
      </c>
      <c r="I3277" s="4" t="str">
        <f t="shared" si="2"/>
        <v>C</v>
      </c>
    </row>
    <row r="3278">
      <c r="A3278" s="2">
        <v>3277.0</v>
      </c>
      <c r="B3278" s="2" t="s">
        <v>3885</v>
      </c>
      <c r="C3278" s="2" t="s">
        <v>3886</v>
      </c>
      <c r="D3278" s="2">
        <v>1.95</v>
      </c>
      <c r="E3278" s="2">
        <v>128.0</v>
      </c>
      <c r="F3278" s="2">
        <v>221.0</v>
      </c>
      <c r="G3278" s="4">
        <f t="shared" si="3"/>
        <v>9429180.52</v>
      </c>
      <c r="H3278" s="4">
        <f t="shared" si="1"/>
        <v>0.98792619</v>
      </c>
      <c r="I3278" s="4" t="str">
        <f t="shared" si="2"/>
        <v>C</v>
      </c>
    </row>
    <row r="3279">
      <c r="A3279" s="2">
        <v>3278.0</v>
      </c>
      <c r="B3279" s="2" t="s">
        <v>3887</v>
      </c>
      <c r="C3279" s="2" t="s">
        <v>3888</v>
      </c>
      <c r="D3279" s="2">
        <v>6.04</v>
      </c>
      <c r="E3279" s="2">
        <v>106.0</v>
      </c>
      <c r="F3279" s="2">
        <v>220.88</v>
      </c>
      <c r="G3279" s="4">
        <f t="shared" si="3"/>
        <v>9429401.4</v>
      </c>
      <c r="H3279" s="4">
        <f t="shared" si="1"/>
        <v>0.9879493323</v>
      </c>
      <c r="I3279" s="4" t="str">
        <f t="shared" si="2"/>
        <v>C</v>
      </c>
    </row>
    <row r="3280">
      <c r="A3280" s="2">
        <v>3279.0</v>
      </c>
      <c r="B3280" s="2">
        <v>21027.0</v>
      </c>
      <c r="C3280" s="2" t="s">
        <v>3889</v>
      </c>
      <c r="D3280" s="2">
        <v>1.25</v>
      </c>
      <c r="E3280" s="2">
        <v>180.0</v>
      </c>
      <c r="F3280" s="2">
        <v>220.56</v>
      </c>
      <c r="G3280" s="4">
        <f t="shared" si="3"/>
        <v>9429621.96</v>
      </c>
      <c r="H3280" s="4">
        <f t="shared" si="1"/>
        <v>0.9879724411</v>
      </c>
      <c r="I3280" s="4" t="str">
        <f t="shared" si="2"/>
        <v>C</v>
      </c>
    </row>
    <row r="3281">
      <c r="A3281" s="2">
        <v>3280.0</v>
      </c>
      <c r="B3281" s="2" t="s">
        <v>3890</v>
      </c>
      <c r="C3281" s="2" t="s">
        <v>3891</v>
      </c>
      <c r="D3281" s="2">
        <v>2.55</v>
      </c>
      <c r="E3281" s="2">
        <v>82.0</v>
      </c>
      <c r="F3281" s="2">
        <v>220.5</v>
      </c>
      <c r="G3281" s="4">
        <f t="shared" si="3"/>
        <v>9429842.46</v>
      </c>
      <c r="H3281" s="4">
        <f t="shared" si="1"/>
        <v>0.9879955436</v>
      </c>
      <c r="I3281" s="4" t="str">
        <f t="shared" si="2"/>
        <v>C</v>
      </c>
    </row>
    <row r="3282">
      <c r="A3282" s="2">
        <v>3281.0</v>
      </c>
      <c r="B3282" s="2">
        <v>90154.0</v>
      </c>
      <c r="C3282" s="2" t="s">
        <v>3892</v>
      </c>
      <c r="D3282" s="2">
        <v>8.95</v>
      </c>
      <c r="E3282" s="2">
        <v>30.0</v>
      </c>
      <c r="F3282" s="2">
        <v>219.82</v>
      </c>
      <c r="G3282" s="4">
        <f t="shared" si="3"/>
        <v>9430062.28</v>
      </c>
      <c r="H3282" s="4">
        <f t="shared" si="1"/>
        <v>0.9880185748</v>
      </c>
      <c r="I3282" s="4" t="str">
        <f t="shared" si="2"/>
        <v>C</v>
      </c>
    </row>
    <row r="3283">
      <c r="A3283" s="2">
        <v>3282.0</v>
      </c>
      <c r="B3283" s="2" t="s">
        <v>3893</v>
      </c>
      <c r="C3283" s="2" t="s">
        <v>3894</v>
      </c>
      <c r="D3283" s="2">
        <v>1.65</v>
      </c>
      <c r="E3283" s="2">
        <v>86.0</v>
      </c>
      <c r="F3283" s="2">
        <v>219.12</v>
      </c>
      <c r="G3283" s="4">
        <f t="shared" si="3"/>
        <v>9430281.4</v>
      </c>
      <c r="H3283" s="4">
        <f t="shared" si="1"/>
        <v>0.9880415328</v>
      </c>
      <c r="I3283" s="4" t="str">
        <f t="shared" si="2"/>
        <v>C</v>
      </c>
    </row>
    <row r="3284">
      <c r="A3284" s="2">
        <v>3283.0</v>
      </c>
      <c r="B3284" s="2">
        <v>23044.0</v>
      </c>
      <c r="C3284" s="2" t="s">
        <v>3895</v>
      </c>
      <c r="D3284" s="2">
        <v>4.15</v>
      </c>
      <c r="E3284" s="2">
        <v>52.0</v>
      </c>
      <c r="F3284" s="2">
        <v>217.87</v>
      </c>
      <c r="G3284" s="4">
        <f t="shared" si="3"/>
        <v>9430499.27</v>
      </c>
      <c r="H3284" s="4">
        <f t="shared" si="1"/>
        <v>0.9880643597</v>
      </c>
      <c r="I3284" s="4" t="str">
        <f t="shared" si="2"/>
        <v>C</v>
      </c>
    </row>
    <row r="3285">
      <c r="A3285" s="2">
        <v>3284.0</v>
      </c>
      <c r="B3285" s="2" t="s">
        <v>3896</v>
      </c>
      <c r="C3285" s="2" t="s">
        <v>3897</v>
      </c>
      <c r="D3285" s="2">
        <v>1.95</v>
      </c>
      <c r="E3285" s="2">
        <v>142.0</v>
      </c>
      <c r="F3285" s="2">
        <v>217.7</v>
      </c>
      <c r="G3285" s="4">
        <f t="shared" si="3"/>
        <v>9430716.97</v>
      </c>
      <c r="H3285" s="4">
        <f t="shared" si="1"/>
        <v>0.9880871689</v>
      </c>
      <c r="I3285" s="4" t="str">
        <f t="shared" si="2"/>
        <v>C</v>
      </c>
    </row>
    <row r="3286">
      <c r="A3286" s="2">
        <v>3285.0</v>
      </c>
      <c r="B3286" s="2" t="s">
        <v>3898</v>
      </c>
      <c r="C3286" s="2" t="s">
        <v>3899</v>
      </c>
      <c r="D3286" s="2">
        <v>1.25</v>
      </c>
      <c r="E3286" s="2">
        <v>550.0</v>
      </c>
      <c r="F3286" s="2">
        <v>217.62</v>
      </c>
      <c r="G3286" s="4">
        <f t="shared" si="3"/>
        <v>9430934.59</v>
      </c>
      <c r="H3286" s="4">
        <f t="shared" si="1"/>
        <v>0.9881099696</v>
      </c>
      <c r="I3286" s="4" t="str">
        <f t="shared" si="2"/>
        <v>C</v>
      </c>
    </row>
    <row r="3287">
      <c r="A3287" s="2">
        <v>3286.0</v>
      </c>
      <c r="B3287" s="2">
        <v>37464.0</v>
      </c>
      <c r="C3287" s="2" t="s">
        <v>3900</v>
      </c>
      <c r="D3287" s="2">
        <v>1.25</v>
      </c>
      <c r="E3287" s="2">
        <v>158.0</v>
      </c>
      <c r="F3287" s="2">
        <v>215.59</v>
      </c>
      <c r="G3287" s="4">
        <f t="shared" si="3"/>
        <v>9431150.18</v>
      </c>
      <c r="H3287" s="4">
        <f t="shared" si="1"/>
        <v>0.9881325577</v>
      </c>
      <c r="I3287" s="4" t="str">
        <f t="shared" si="2"/>
        <v>C</v>
      </c>
    </row>
    <row r="3288">
      <c r="A3288" s="2">
        <v>3287.0</v>
      </c>
      <c r="B3288" s="2" t="s">
        <v>3901</v>
      </c>
      <c r="C3288" s="2" t="s">
        <v>3902</v>
      </c>
      <c r="D3288" s="2">
        <v>1.25</v>
      </c>
      <c r="E3288" s="2">
        <v>163.0</v>
      </c>
      <c r="F3288" s="2">
        <v>215.5</v>
      </c>
      <c r="G3288" s="4">
        <f t="shared" si="3"/>
        <v>9431365.68</v>
      </c>
      <c r="H3288" s="4">
        <f t="shared" si="1"/>
        <v>0.9881551363</v>
      </c>
      <c r="I3288" s="4" t="str">
        <f t="shared" si="2"/>
        <v>C</v>
      </c>
    </row>
    <row r="3289">
      <c r="A3289" s="2">
        <v>3288.0</v>
      </c>
      <c r="B3289" s="2">
        <v>23058.0</v>
      </c>
      <c r="C3289" s="2" t="s">
        <v>3903</v>
      </c>
      <c r="D3289" s="2">
        <v>0.79</v>
      </c>
      <c r="E3289" s="2">
        <v>245.0</v>
      </c>
      <c r="F3289" s="2">
        <v>215.43</v>
      </c>
      <c r="G3289" s="4">
        <f t="shared" si="3"/>
        <v>9431581.11</v>
      </c>
      <c r="H3289" s="4">
        <f t="shared" si="1"/>
        <v>0.9881777077</v>
      </c>
      <c r="I3289" s="4" t="str">
        <f t="shared" si="2"/>
        <v>C</v>
      </c>
    </row>
    <row r="3290">
      <c r="A3290" s="2">
        <v>3289.0</v>
      </c>
      <c r="B3290" s="2" t="s">
        <v>3904</v>
      </c>
      <c r="C3290" s="2" t="s">
        <v>3905</v>
      </c>
      <c r="D3290" s="2">
        <v>1.69</v>
      </c>
      <c r="E3290" s="2">
        <v>218.0</v>
      </c>
      <c r="F3290" s="2">
        <v>215.18</v>
      </c>
      <c r="G3290" s="4">
        <f t="shared" si="3"/>
        <v>9431796.29</v>
      </c>
      <c r="H3290" s="4">
        <f t="shared" si="1"/>
        <v>0.9882002528</v>
      </c>
      <c r="I3290" s="4" t="str">
        <f t="shared" si="2"/>
        <v>C</v>
      </c>
    </row>
    <row r="3291">
      <c r="A3291" s="2">
        <v>3290.0</v>
      </c>
      <c r="B3291" s="2">
        <v>20851.0</v>
      </c>
      <c r="C3291" s="2" t="s">
        <v>3906</v>
      </c>
      <c r="D3291" s="2">
        <v>5.95</v>
      </c>
      <c r="E3291" s="2">
        <v>168.0</v>
      </c>
      <c r="F3291" s="2">
        <v>214.78</v>
      </c>
      <c r="G3291" s="4">
        <f t="shared" si="3"/>
        <v>9432011.07</v>
      </c>
      <c r="H3291" s="4">
        <f t="shared" si="1"/>
        <v>0.988222756</v>
      </c>
      <c r="I3291" s="4" t="str">
        <f t="shared" si="2"/>
        <v>C</v>
      </c>
    </row>
    <row r="3292">
      <c r="A3292" s="2">
        <v>3291.0</v>
      </c>
      <c r="B3292" s="2">
        <v>16045.0</v>
      </c>
      <c r="C3292" s="2" t="s">
        <v>3907</v>
      </c>
      <c r="D3292" s="2">
        <v>0.04</v>
      </c>
      <c r="E3292" s="2">
        <v>4656.0</v>
      </c>
      <c r="F3292" s="2">
        <v>214.72</v>
      </c>
      <c r="G3292" s="4">
        <f t="shared" si="3"/>
        <v>9432225.79</v>
      </c>
      <c r="H3292" s="4">
        <f t="shared" si="1"/>
        <v>0.9882452529</v>
      </c>
      <c r="I3292" s="4" t="str">
        <f t="shared" si="2"/>
        <v>C</v>
      </c>
    </row>
    <row r="3293">
      <c r="A3293" s="2">
        <v>3292.0</v>
      </c>
      <c r="B3293" s="2" t="s">
        <v>3908</v>
      </c>
      <c r="C3293" s="2" t="s">
        <v>3909</v>
      </c>
      <c r="D3293" s="2">
        <v>4.24</v>
      </c>
      <c r="E3293" s="2">
        <v>52.0</v>
      </c>
      <c r="F3293" s="2">
        <v>214.46</v>
      </c>
      <c r="G3293" s="4">
        <f t="shared" si="3"/>
        <v>9432440.25</v>
      </c>
      <c r="H3293" s="4">
        <f t="shared" si="1"/>
        <v>0.9882677226</v>
      </c>
      <c r="I3293" s="4" t="str">
        <f t="shared" si="2"/>
        <v>C</v>
      </c>
    </row>
    <row r="3294">
      <c r="A3294" s="2">
        <v>3293.0</v>
      </c>
      <c r="B3294" s="2" t="s">
        <v>3910</v>
      </c>
      <c r="C3294" s="2" t="s">
        <v>3911</v>
      </c>
      <c r="D3294" s="2">
        <v>0.42</v>
      </c>
      <c r="E3294" s="2">
        <v>512.0</v>
      </c>
      <c r="F3294" s="2">
        <v>214.25</v>
      </c>
      <c r="G3294" s="4">
        <f t="shared" si="3"/>
        <v>9432654.5</v>
      </c>
      <c r="H3294" s="4">
        <f t="shared" si="1"/>
        <v>0.9882901702</v>
      </c>
      <c r="I3294" s="4" t="str">
        <f t="shared" si="2"/>
        <v>C</v>
      </c>
    </row>
    <row r="3295">
      <c r="A3295" s="2">
        <v>3294.0</v>
      </c>
      <c r="B3295" s="2" t="s">
        <v>3912</v>
      </c>
      <c r="C3295" s="2" t="s">
        <v>3913</v>
      </c>
      <c r="D3295" s="2">
        <v>16.0</v>
      </c>
      <c r="E3295" s="2">
        <v>16.0</v>
      </c>
      <c r="F3295" s="2">
        <v>214.0</v>
      </c>
      <c r="G3295" s="4">
        <f t="shared" si="3"/>
        <v>9432868.5</v>
      </c>
      <c r="H3295" s="4">
        <f t="shared" si="1"/>
        <v>0.9883125917</v>
      </c>
      <c r="I3295" s="4" t="str">
        <f t="shared" si="2"/>
        <v>C</v>
      </c>
    </row>
    <row r="3296">
      <c r="A3296" s="2">
        <v>3295.0</v>
      </c>
      <c r="B3296" s="2">
        <v>84422.0</v>
      </c>
      <c r="C3296" s="2" t="s">
        <v>3914</v>
      </c>
      <c r="D3296" s="2">
        <v>0.85</v>
      </c>
      <c r="E3296" s="2">
        <v>391.0</v>
      </c>
      <c r="F3296" s="2">
        <v>213.98</v>
      </c>
      <c r="G3296" s="4">
        <f t="shared" si="3"/>
        <v>9433082.48</v>
      </c>
      <c r="H3296" s="4">
        <f t="shared" si="1"/>
        <v>0.9883350111</v>
      </c>
      <c r="I3296" s="4" t="str">
        <f t="shared" si="2"/>
        <v>C</v>
      </c>
    </row>
    <row r="3297">
      <c r="A3297" s="2">
        <v>3296.0</v>
      </c>
      <c r="B3297" s="2" t="s">
        <v>3915</v>
      </c>
      <c r="C3297" s="2" t="s">
        <v>3916</v>
      </c>
      <c r="D3297" s="2">
        <v>2.1</v>
      </c>
      <c r="E3297" s="2">
        <v>136.0</v>
      </c>
      <c r="F3297" s="2">
        <v>213.72</v>
      </c>
      <c r="G3297" s="4">
        <f t="shared" si="3"/>
        <v>9433296.2</v>
      </c>
      <c r="H3297" s="4">
        <f t="shared" si="1"/>
        <v>0.9883574033</v>
      </c>
      <c r="I3297" s="4" t="str">
        <f t="shared" si="2"/>
        <v>C</v>
      </c>
    </row>
    <row r="3298">
      <c r="A3298" s="2">
        <v>3297.0</v>
      </c>
      <c r="B3298" s="2">
        <v>21678.0</v>
      </c>
      <c r="C3298" s="2" t="s">
        <v>3917</v>
      </c>
      <c r="D3298" s="2">
        <v>0.85</v>
      </c>
      <c r="E3298" s="2">
        <v>287.0</v>
      </c>
      <c r="F3298" s="2">
        <v>212.35</v>
      </c>
      <c r="G3298" s="4">
        <f t="shared" si="3"/>
        <v>9433508.55</v>
      </c>
      <c r="H3298" s="4">
        <f t="shared" si="1"/>
        <v>0.9883796519</v>
      </c>
      <c r="I3298" s="4" t="str">
        <f t="shared" si="2"/>
        <v>C</v>
      </c>
    </row>
    <row r="3299">
      <c r="A3299" s="2">
        <v>3298.0</v>
      </c>
      <c r="B3299" s="2">
        <v>21028.0</v>
      </c>
      <c r="C3299" s="2" t="s">
        <v>3918</v>
      </c>
      <c r="D3299" s="2">
        <v>1.25</v>
      </c>
      <c r="E3299" s="2">
        <v>162.0</v>
      </c>
      <c r="F3299" s="2">
        <v>211.95</v>
      </c>
      <c r="G3299" s="4">
        <f t="shared" si="3"/>
        <v>9433720.5</v>
      </c>
      <c r="H3299" s="4">
        <f t="shared" si="1"/>
        <v>0.9884018586</v>
      </c>
      <c r="I3299" s="4" t="str">
        <f t="shared" si="2"/>
        <v>C</v>
      </c>
    </row>
    <row r="3300">
      <c r="A3300" s="2">
        <v>3299.0</v>
      </c>
      <c r="B3300" s="2">
        <v>45016.0</v>
      </c>
      <c r="C3300" s="2" t="s">
        <v>3919</v>
      </c>
      <c r="D3300" s="2">
        <v>7.62</v>
      </c>
      <c r="E3300" s="2">
        <v>50.0</v>
      </c>
      <c r="F3300" s="2">
        <v>211.86</v>
      </c>
      <c r="G3300" s="4">
        <f t="shared" si="3"/>
        <v>9433932.36</v>
      </c>
      <c r="H3300" s="4">
        <f t="shared" si="1"/>
        <v>0.9884240558</v>
      </c>
      <c r="I3300" s="4" t="str">
        <f t="shared" si="2"/>
        <v>C</v>
      </c>
    </row>
    <row r="3301">
      <c r="A3301" s="2">
        <v>3300.0</v>
      </c>
      <c r="B3301" s="2" t="s">
        <v>3920</v>
      </c>
      <c r="C3301" s="2" t="s">
        <v>3921</v>
      </c>
      <c r="D3301" s="2">
        <v>2.95</v>
      </c>
      <c r="E3301" s="2">
        <v>72.0</v>
      </c>
      <c r="F3301" s="2">
        <v>211.76</v>
      </c>
      <c r="G3301" s="4">
        <f t="shared" si="3"/>
        <v>9434144.12</v>
      </c>
      <c r="H3301" s="4">
        <f t="shared" si="1"/>
        <v>0.9884462426</v>
      </c>
      <c r="I3301" s="4" t="str">
        <f t="shared" si="2"/>
        <v>C</v>
      </c>
    </row>
    <row r="3302">
      <c r="A3302" s="2">
        <v>3301.0</v>
      </c>
      <c r="B3302" s="2">
        <v>16008.0</v>
      </c>
      <c r="C3302" s="2" t="s">
        <v>3922</v>
      </c>
      <c r="D3302" s="2">
        <v>0.12</v>
      </c>
      <c r="E3302" s="2">
        <v>1570.0</v>
      </c>
      <c r="F3302" s="2">
        <v>211.48</v>
      </c>
      <c r="G3302" s="4">
        <f t="shared" si="3"/>
        <v>9434355.6</v>
      </c>
      <c r="H3302" s="4">
        <f t="shared" si="1"/>
        <v>0.9884684001</v>
      </c>
      <c r="I3302" s="4" t="str">
        <f t="shared" si="2"/>
        <v>C</v>
      </c>
    </row>
    <row r="3303">
      <c r="A3303" s="2">
        <v>3302.0</v>
      </c>
      <c r="B3303" s="2">
        <v>21729.0</v>
      </c>
      <c r="C3303" s="2" t="s">
        <v>3923</v>
      </c>
      <c r="D3303" s="2">
        <v>3.25</v>
      </c>
      <c r="E3303" s="2">
        <v>62.0</v>
      </c>
      <c r="F3303" s="2">
        <v>211.45</v>
      </c>
      <c r="G3303" s="4">
        <f t="shared" si="3"/>
        <v>9434567.05</v>
      </c>
      <c r="H3303" s="4">
        <f t="shared" si="1"/>
        <v>0.9884905544</v>
      </c>
      <c r="I3303" s="4" t="str">
        <f t="shared" si="2"/>
        <v>C</v>
      </c>
    </row>
    <row r="3304">
      <c r="A3304" s="2">
        <v>3303.0</v>
      </c>
      <c r="B3304" s="2">
        <v>47579.0</v>
      </c>
      <c r="C3304" s="2" t="s">
        <v>3924</v>
      </c>
      <c r="D3304" s="2">
        <v>2.1</v>
      </c>
      <c r="E3304" s="2">
        <v>92.0</v>
      </c>
      <c r="F3304" s="2">
        <v>210.44</v>
      </c>
      <c r="G3304" s="4">
        <f t="shared" si="3"/>
        <v>9434777.49</v>
      </c>
      <c r="H3304" s="4">
        <f t="shared" si="1"/>
        <v>0.9885126029</v>
      </c>
      <c r="I3304" s="4" t="str">
        <f t="shared" si="2"/>
        <v>C</v>
      </c>
    </row>
    <row r="3305">
      <c r="A3305" s="2">
        <v>3304.0</v>
      </c>
      <c r="B3305" s="2">
        <v>20662.0</v>
      </c>
      <c r="C3305" s="2" t="s">
        <v>3925</v>
      </c>
      <c r="D3305" s="2">
        <v>2.51</v>
      </c>
      <c r="E3305" s="2">
        <v>214.0</v>
      </c>
      <c r="F3305" s="2">
        <v>210.17</v>
      </c>
      <c r="G3305" s="4">
        <f t="shared" si="3"/>
        <v>9434987.66</v>
      </c>
      <c r="H3305" s="4">
        <f t="shared" si="1"/>
        <v>0.9885346231</v>
      </c>
      <c r="I3305" s="4" t="str">
        <f t="shared" si="2"/>
        <v>C</v>
      </c>
    </row>
    <row r="3306">
      <c r="A3306" s="2">
        <v>3305.0</v>
      </c>
      <c r="B3306" s="2" t="s">
        <v>3926</v>
      </c>
      <c r="C3306" s="2" t="s">
        <v>3927</v>
      </c>
      <c r="D3306" s="2">
        <v>1.25</v>
      </c>
      <c r="E3306" s="2">
        <v>158.0</v>
      </c>
      <c r="F3306" s="2">
        <v>210.0</v>
      </c>
      <c r="G3306" s="4">
        <f t="shared" si="3"/>
        <v>9435197.66</v>
      </c>
      <c r="H3306" s="4">
        <f t="shared" si="1"/>
        <v>0.9885566255</v>
      </c>
      <c r="I3306" s="4" t="str">
        <f t="shared" si="2"/>
        <v>C</v>
      </c>
    </row>
    <row r="3307">
      <c r="A3307" s="2">
        <v>3306.0</v>
      </c>
      <c r="B3307" s="2" t="s">
        <v>3928</v>
      </c>
      <c r="C3307" s="2" t="s">
        <v>3929</v>
      </c>
      <c r="D3307" s="2">
        <v>79.95</v>
      </c>
      <c r="E3307" s="2">
        <v>4.0</v>
      </c>
      <c r="F3307" s="2">
        <v>209.92</v>
      </c>
      <c r="G3307" s="4">
        <f t="shared" si="3"/>
        <v>9435407.58</v>
      </c>
      <c r="H3307" s="4">
        <f t="shared" si="1"/>
        <v>0.9885786195</v>
      </c>
      <c r="I3307" s="4" t="str">
        <f t="shared" si="2"/>
        <v>C</v>
      </c>
    </row>
    <row r="3308">
      <c r="A3308" s="2">
        <v>3307.0</v>
      </c>
      <c r="B3308" s="2" t="s">
        <v>3930</v>
      </c>
      <c r="C3308" s="2" t="s">
        <v>3931</v>
      </c>
      <c r="D3308" s="2">
        <v>2.96</v>
      </c>
      <c r="E3308" s="2">
        <v>71.0</v>
      </c>
      <c r="F3308" s="2">
        <v>209.46</v>
      </c>
      <c r="G3308" s="4">
        <f t="shared" si="3"/>
        <v>9435617.04</v>
      </c>
      <c r="H3308" s="4">
        <f t="shared" si="1"/>
        <v>0.9886005653</v>
      </c>
      <c r="I3308" s="4" t="str">
        <f t="shared" si="2"/>
        <v>C</v>
      </c>
    </row>
    <row r="3309">
      <c r="A3309" s="2">
        <v>3308.0</v>
      </c>
      <c r="B3309" s="2">
        <v>21736.0</v>
      </c>
      <c r="C3309" s="2" t="s">
        <v>3932</v>
      </c>
      <c r="D3309" s="2">
        <v>2.1</v>
      </c>
      <c r="E3309" s="2">
        <v>102.0</v>
      </c>
      <c r="F3309" s="2">
        <v>209.45</v>
      </c>
      <c r="G3309" s="4">
        <f t="shared" si="3"/>
        <v>9435826.49</v>
      </c>
      <c r="H3309" s="4">
        <f t="shared" si="1"/>
        <v>0.98862251</v>
      </c>
      <c r="I3309" s="4" t="str">
        <f t="shared" si="2"/>
        <v>C</v>
      </c>
    </row>
    <row r="3310">
      <c r="A3310" s="2">
        <v>3309.0</v>
      </c>
      <c r="B3310" s="2">
        <v>84007.0</v>
      </c>
      <c r="C3310" s="2" t="s">
        <v>3933</v>
      </c>
      <c r="D3310" s="2">
        <v>2.55</v>
      </c>
      <c r="E3310" s="2">
        <v>80.0</v>
      </c>
      <c r="F3310" s="2">
        <v>209.11</v>
      </c>
      <c r="G3310" s="4">
        <f t="shared" si="3"/>
        <v>9436035.6</v>
      </c>
      <c r="H3310" s="4">
        <f t="shared" si="1"/>
        <v>0.9886444192</v>
      </c>
      <c r="I3310" s="4" t="str">
        <f t="shared" si="2"/>
        <v>C</v>
      </c>
    </row>
    <row r="3311">
      <c r="A3311" s="2">
        <v>3310.0</v>
      </c>
      <c r="B3311" s="2">
        <v>22032.0</v>
      </c>
      <c r="C3311" s="2" t="s">
        <v>3934</v>
      </c>
      <c r="D3311" s="2">
        <v>0.42</v>
      </c>
      <c r="E3311" s="2">
        <v>490.0</v>
      </c>
      <c r="F3311" s="2">
        <v>209.06</v>
      </c>
      <c r="G3311" s="4">
        <f t="shared" si="3"/>
        <v>9436244.66</v>
      </c>
      <c r="H3311" s="4">
        <f t="shared" si="1"/>
        <v>0.9886663231</v>
      </c>
      <c r="I3311" s="4" t="str">
        <f t="shared" si="2"/>
        <v>C</v>
      </c>
    </row>
    <row r="3312">
      <c r="A3312" s="2">
        <v>3311.0</v>
      </c>
      <c r="B3312" s="2" t="s">
        <v>3935</v>
      </c>
      <c r="C3312" s="2" t="s">
        <v>3936</v>
      </c>
      <c r="D3312" s="2">
        <v>5.95</v>
      </c>
      <c r="E3312" s="2">
        <v>27.0</v>
      </c>
      <c r="F3312" s="2">
        <v>208.79</v>
      </c>
      <c r="G3312" s="4">
        <f t="shared" si="3"/>
        <v>9436453.45</v>
      </c>
      <c r="H3312" s="4">
        <f t="shared" si="1"/>
        <v>0.9886881987</v>
      </c>
      <c r="I3312" s="4" t="str">
        <f t="shared" si="2"/>
        <v>C</v>
      </c>
    </row>
    <row r="3313">
      <c r="A3313" s="2">
        <v>3312.0</v>
      </c>
      <c r="B3313" s="2" t="s">
        <v>3937</v>
      </c>
      <c r="C3313" s="2" t="s">
        <v>256</v>
      </c>
      <c r="D3313" s="2">
        <v>12.72</v>
      </c>
      <c r="E3313" s="2">
        <v>16.0</v>
      </c>
      <c r="F3313" s="2">
        <v>208.06</v>
      </c>
      <c r="G3313" s="4">
        <f t="shared" si="3"/>
        <v>9436661.51</v>
      </c>
      <c r="H3313" s="4">
        <f t="shared" si="1"/>
        <v>0.9887099978</v>
      </c>
      <c r="I3313" s="4" t="str">
        <f t="shared" si="2"/>
        <v>C</v>
      </c>
    </row>
    <row r="3314">
      <c r="A3314" s="2">
        <v>3313.0</v>
      </c>
      <c r="B3314" s="2">
        <v>35240.0</v>
      </c>
      <c r="C3314" s="2" t="s">
        <v>3938</v>
      </c>
      <c r="D3314" s="2">
        <v>8.49</v>
      </c>
      <c r="E3314" s="2">
        <v>24.0</v>
      </c>
      <c r="F3314" s="2">
        <v>208.0</v>
      </c>
      <c r="G3314" s="4">
        <f t="shared" si="3"/>
        <v>9436869.51</v>
      </c>
      <c r="H3314" s="4">
        <f t="shared" si="1"/>
        <v>0.9887317907</v>
      </c>
      <c r="I3314" s="4" t="str">
        <f t="shared" si="2"/>
        <v>C</v>
      </c>
    </row>
    <row r="3315">
      <c r="A3315" s="2">
        <v>3314.0</v>
      </c>
      <c r="B3315" s="2">
        <v>21336.0</v>
      </c>
      <c r="C3315" s="2" t="s">
        <v>3939</v>
      </c>
      <c r="D3315" s="2">
        <v>2.95</v>
      </c>
      <c r="E3315" s="2">
        <v>480.0</v>
      </c>
      <c r="F3315" s="2">
        <v>207.62</v>
      </c>
      <c r="G3315" s="4">
        <f t="shared" si="3"/>
        <v>9437077.13</v>
      </c>
      <c r="H3315" s="4">
        <f t="shared" si="1"/>
        <v>0.9887535437</v>
      </c>
      <c r="I3315" s="4" t="str">
        <f t="shared" si="2"/>
        <v>C</v>
      </c>
    </row>
    <row r="3316">
      <c r="A3316" s="2">
        <v>3315.0</v>
      </c>
      <c r="B3316" s="2" t="s">
        <v>3940</v>
      </c>
      <c r="C3316" s="2" t="s">
        <v>3941</v>
      </c>
      <c r="D3316" s="2">
        <v>4.21</v>
      </c>
      <c r="E3316" s="2">
        <v>39.0</v>
      </c>
      <c r="F3316" s="2">
        <v>207.37</v>
      </c>
      <c r="G3316" s="4">
        <f t="shared" si="3"/>
        <v>9437284.5</v>
      </c>
      <c r="H3316" s="4">
        <f t="shared" si="1"/>
        <v>0.9887752705</v>
      </c>
      <c r="I3316" s="4" t="str">
        <f t="shared" si="2"/>
        <v>C</v>
      </c>
    </row>
    <row r="3317">
      <c r="A3317" s="2">
        <v>3316.0</v>
      </c>
      <c r="B3317" s="2" t="s">
        <v>3942</v>
      </c>
      <c r="C3317" s="2" t="s">
        <v>3943</v>
      </c>
      <c r="D3317" s="2">
        <v>2.95</v>
      </c>
      <c r="E3317" s="2">
        <v>112.0</v>
      </c>
      <c r="F3317" s="2">
        <v>207.04</v>
      </c>
      <c r="G3317" s="4">
        <f t="shared" si="3"/>
        <v>9437491.54</v>
      </c>
      <c r="H3317" s="4">
        <f t="shared" si="1"/>
        <v>0.9887969628</v>
      </c>
      <c r="I3317" s="4" t="str">
        <f t="shared" si="2"/>
        <v>C</v>
      </c>
    </row>
    <row r="3318">
      <c r="A3318" s="2">
        <v>3317.0</v>
      </c>
      <c r="B3318" s="2">
        <v>85112.0</v>
      </c>
      <c r="C3318" s="2" t="s">
        <v>3944</v>
      </c>
      <c r="D3318" s="2">
        <v>1.25</v>
      </c>
      <c r="E3318" s="2">
        <v>233.0</v>
      </c>
      <c r="F3318" s="2">
        <v>207.01</v>
      </c>
      <c r="G3318" s="4">
        <f t="shared" si="3"/>
        <v>9437698.55</v>
      </c>
      <c r="H3318" s="4">
        <f t="shared" si="1"/>
        <v>0.9888186519</v>
      </c>
      <c r="I3318" s="4" t="str">
        <f t="shared" si="2"/>
        <v>C</v>
      </c>
    </row>
    <row r="3319">
      <c r="A3319" s="2">
        <v>3318.0</v>
      </c>
      <c r="B3319" s="2">
        <v>22395.0</v>
      </c>
      <c r="C3319" s="2" t="s">
        <v>3945</v>
      </c>
      <c r="D3319" s="2">
        <v>2.55</v>
      </c>
      <c r="E3319" s="2">
        <v>117.0</v>
      </c>
      <c r="F3319" s="2">
        <v>206.88</v>
      </c>
      <c r="G3319" s="4">
        <f t="shared" si="3"/>
        <v>9437905.43</v>
      </c>
      <c r="H3319" s="4">
        <f t="shared" si="1"/>
        <v>0.9888403274</v>
      </c>
      <c r="I3319" s="4" t="str">
        <f t="shared" si="2"/>
        <v>C</v>
      </c>
    </row>
    <row r="3320">
      <c r="A3320" s="2">
        <v>3319.0</v>
      </c>
      <c r="B3320" s="2" t="s">
        <v>3946</v>
      </c>
      <c r="C3320" s="2" t="s">
        <v>3947</v>
      </c>
      <c r="D3320" s="2">
        <v>3.75</v>
      </c>
      <c r="E3320" s="2">
        <v>52.0</v>
      </c>
      <c r="F3320" s="2">
        <v>206.71</v>
      </c>
      <c r="G3320" s="4">
        <f t="shared" si="3"/>
        <v>9438112.14</v>
      </c>
      <c r="H3320" s="4">
        <f t="shared" si="1"/>
        <v>0.9888619851</v>
      </c>
      <c r="I3320" s="4" t="str">
        <f t="shared" si="2"/>
        <v>C</v>
      </c>
    </row>
    <row r="3321">
      <c r="A3321" s="2">
        <v>3320.0</v>
      </c>
      <c r="B3321" s="2">
        <v>23415.0</v>
      </c>
      <c r="C3321" s="2" t="s">
        <v>3948</v>
      </c>
      <c r="D3321" s="2">
        <v>1.65</v>
      </c>
      <c r="E3321" s="2">
        <v>164.0</v>
      </c>
      <c r="F3321" s="2">
        <v>206.09</v>
      </c>
      <c r="G3321" s="4">
        <f t="shared" si="3"/>
        <v>9438318.23</v>
      </c>
      <c r="H3321" s="4">
        <f t="shared" si="1"/>
        <v>0.9888835778</v>
      </c>
      <c r="I3321" s="4" t="str">
        <f t="shared" si="2"/>
        <v>C</v>
      </c>
    </row>
    <row r="3322">
      <c r="A3322" s="2">
        <v>3321.0</v>
      </c>
      <c r="B3322" s="2" t="s">
        <v>3949</v>
      </c>
      <c r="C3322" s="2" t="s">
        <v>3950</v>
      </c>
      <c r="D3322" s="2">
        <v>4.25</v>
      </c>
      <c r="E3322" s="2">
        <v>46.0</v>
      </c>
      <c r="F3322" s="2">
        <v>206.06</v>
      </c>
      <c r="G3322" s="4">
        <f t="shared" si="3"/>
        <v>9438524.29</v>
      </c>
      <c r="H3322" s="4">
        <f t="shared" si="1"/>
        <v>0.9889051674</v>
      </c>
      <c r="I3322" s="4" t="str">
        <f t="shared" si="2"/>
        <v>C</v>
      </c>
    </row>
    <row r="3323">
      <c r="A3323" s="2">
        <v>3322.0</v>
      </c>
      <c r="B3323" s="2" t="s">
        <v>3951</v>
      </c>
      <c r="C3323" s="2" t="s">
        <v>3952</v>
      </c>
      <c r="D3323" s="2">
        <v>0.29</v>
      </c>
      <c r="E3323" s="2">
        <v>816.0</v>
      </c>
      <c r="F3323" s="2">
        <v>205.92</v>
      </c>
      <c r="G3323" s="4">
        <f t="shared" si="3"/>
        <v>9438730.21</v>
      </c>
      <c r="H3323" s="4">
        <f t="shared" si="1"/>
        <v>0.9889267423</v>
      </c>
      <c r="I3323" s="4" t="str">
        <f t="shared" si="2"/>
        <v>C</v>
      </c>
    </row>
    <row r="3324">
      <c r="A3324" s="2">
        <v>3323.0</v>
      </c>
      <c r="B3324" s="2">
        <v>21520.0</v>
      </c>
      <c r="C3324" s="2" t="s">
        <v>3953</v>
      </c>
      <c r="D3324" s="2">
        <v>0.42</v>
      </c>
      <c r="E3324" s="2">
        <v>478.0</v>
      </c>
      <c r="F3324" s="2">
        <v>205.82</v>
      </c>
      <c r="G3324" s="4">
        <f t="shared" si="3"/>
        <v>9438936.03</v>
      </c>
      <c r="H3324" s="4">
        <f t="shared" si="1"/>
        <v>0.9889483068</v>
      </c>
      <c r="I3324" s="4" t="str">
        <f t="shared" si="2"/>
        <v>C</v>
      </c>
    </row>
    <row r="3325">
      <c r="A3325" s="2">
        <v>3324.0</v>
      </c>
      <c r="B3325" s="2" t="s">
        <v>3954</v>
      </c>
      <c r="C3325" s="2" t="s">
        <v>2881</v>
      </c>
      <c r="D3325" s="2">
        <v>11.02</v>
      </c>
      <c r="E3325" s="2">
        <v>16.0</v>
      </c>
      <c r="F3325" s="2">
        <v>205.55</v>
      </c>
      <c r="G3325" s="4">
        <f t="shared" si="3"/>
        <v>9439141.58</v>
      </c>
      <c r="H3325" s="4">
        <f t="shared" si="1"/>
        <v>0.9889698429</v>
      </c>
      <c r="I3325" s="4" t="str">
        <f t="shared" si="2"/>
        <v>C</v>
      </c>
    </row>
    <row r="3326">
      <c r="A3326" s="2">
        <v>3325.0</v>
      </c>
      <c r="B3326" s="2" t="s">
        <v>3955</v>
      </c>
      <c r="C3326" s="2" t="s">
        <v>865</v>
      </c>
      <c r="D3326" s="2">
        <v>8.29</v>
      </c>
      <c r="E3326" s="2">
        <v>24.0</v>
      </c>
      <c r="F3326" s="2">
        <v>205.44</v>
      </c>
      <c r="G3326" s="4">
        <f t="shared" si="3"/>
        <v>9439347.02</v>
      </c>
      <c r="H3326" s="4">
        <f t="shared" si="1"/>
        <v>0.9889913675</v>
      </c>
      <c r="I3326" s="4" t="str">
        <f t="shared" si="2"/>
        <v>C</v>
      </c>
    </row>
    <row r="3327">
      <c r="A3327" s="2">
        <v>3326.0</v>
      </c>
      <c r="B3327" s="2">
        <v>21341.0</v>
      </c>
      <c r="C3327" s="2" t="s">
        <v>3956</v>
      </c>
      <c r="D3327" s="2">
        <v>4.65</v>
      </c>
      <c r="E3327" s="2">
        <v>36.0</v>
      </c>
      <c r="F3327" s="2">
        <v>205.32</v>
      </c>
      <c r="G3327" s="4">
        <f t="shared" si="3"/>
        <v>9439552.34</v>
      </c>
      <c r="H3327" s="4">
        <f t="shared" si="1"/>
        <v>0.9890128796</v>
      </c>
      <c r="I3327" s="4" t="str">
        <f t="shared" si="2"/>
        <v>C</v>
      </c>
    </row>
    <row r="3328">
      <c r="A3328" s="2">
        <v>3327.0</v>
      </c>
      <c r="B3328" s="2">
        <v>90149.0</v>
      </c>
      <c r="C3328" s="2" t="s">
        <v>3957</v>
      </c>
      <c r="D3328" s="2">
        <v>7.5</v>
      </c>
      <c r="E3328" s="2">
        <v>31.0</v>
      </c>
      <c r="F3328" s="2">
        <v>205.13</v>
      </c>
      <c r="G3328" s="4">
        <f t="shared" si="3"/>
        <v>9439757.47</v>
      </c>
      <c r="H3328" s="4">
        <f t="shared" si="1"/>
        <v>0.9890343717</v>
      </c>
      <c r="I3328" s="4" t="str">
        <f t="shared" si="2"/>
        <v>C</v>
      </c>
    </row>
    <row r="3329">
      <c r="A3329" s="2">
        <v>3328.0</v>
      </c>
      <c r="B3329" s="2" t="s">
        <v>3958</v>
      </c>
      <c r="C3329" s="2" t="s">
        <v>3959</v>
      </c>
      <c r="D3329" s="2">
        <v>0.42</v>
      </c>
      <c r="E3329" s="2">
        <v>488.0</v>
      </c>
      <c r="F3329" s="2">
        <v>204.75</v>
      </c>
      <c r="G3329" s="4">
        <f t="shared" si="3"/>
        <v>9439962.22</v>
      </c>
      <c r="H3329" s="4">
        <f t="shared" si="1"/>
        <v>0.9890558241</v>
      </c>
      <c r="I3329" s="4" t="str">
        <f t="shared" si="2"/>
        <v>C</v>
      </c>
    </row>
    <row r="3330">
      <c r="A3330" s="2">
        <v>3329.0</v>
      </c>
      <c r="B3330" s="2" t="s">
        <v>3960</v>
      </c>
      <c r="C3330" s="2" t="s">
        <v>3961</v>
      </c>
      <c r="D3330" s="2">
        <v>3.75</v>
      </c>
      <c r="E3330" s="2">
        <v>115.0</v>
      </c>
      <c r="F3330" s="2">
        <v>204.45</v>
      </c>
      <c r="G3330" s="4">
        <f t="shared" si="3"/>
        <v>9440166.67</v>
      </c>
      <c r="H3330" s="4">
        <f t="shared" si="1"/>
        <v>0.989077245</v>
      </c>
      <c r="I3330" s="4" t="str">
        <f t="shared" si="2"/>
        <v>C</v>
      </c>
    </row>
    <row r="3331">
      <c r="A3331" s="2">
        <v>3330.0</v>
      </c>
      <c r="B3331" s="2">
        <v>21252.0</v>
      </c>
      <c r="C3331" s="2" t="s">
        <v>3962</v>
      </c>
      <c r="D3331" s="2">
        <v>2.95</v>
      </c>
      <c r="E3331" s="2">
        <v>84.0</v>
      </c>
      <c r="F3331" s="2">
        <v>204.33</v>
      </c>
      <c r="G3331" s="4">
        <f t="shared" si="3"/>
        <v>9440371</v>
      </c>
      <c r="H3331" s="4">
        <f t="shared" si="1"/>
        <v>0.9890986533</v>
      </c>
      <c r="I3331" s="4" t="str">
        <f t="shared" si="2"/>
        <v>C</v>
      </c>
    </row>
    <row r="3332">
      <c r="A3332" s="2">
        <v>3331.0</v>
      </c>
      <c r="B3332" s="2">
        <v>72780.0</v>
      </c>
      <c r="C3332" s="2" t="s">
        <v>3963</v>
      </c>
      <c r="D3332" s="2">
        <v>0.85</v>
      </c>
      <c r="E3332" s="2">
        <v>251.0</v>
      </c>
      <c r="F3332" s="2">
        <v>203.99</v>
      </c>
      <c r="G3332" s="4">
        <f t="shared" si="3"/>
        <v>9440574.99</v>
      </c>
      <c r="H3332" s="4">
        <f t="shared" si="1"/>
        <v>0.989120026</v>
      </c>
      <c r="I3332" s="4" t="str">
        <f t="shared" si="2"/>
        <v>C</v>
      </c>
    </row>
    <row r="3333">
      <c r="A3333" s="2">
        <v>3332.0</v>
      </c>
      <c r="B3333" s="2" t="s">
        <v>3964</v>
      </c>
      <c r="C3333" s="2" t="s">
        <v>3965</v>
      </c>
      <c r="D3333" s="2">
        <v>4.98</v>
      </c>
      <c r="E3333" s="2">
        <v>40.0</v>
      </c>
      <c r="F3333" s="2">
        <v>203.78</v>
      </c>
      <c r="G3333" s="4">
        <f t="shared" si="3"/>
        <v>9440778.77</v>
      </c>
      <c r="H3333" s="4">
        <f t="shared" si="1"/>
        <v>0.9891413767</v>
      </c>
      <c r="I3333" s="4" t="str">
        <f t="shared" si="2"/>
        <v>C</v>
      </c>
    </row>
    <row r="3334">
      <c r="A3334" s="2">
        <v>3333.0</v>
      </c>
      <c r="B3334" s="2">
        <v>23339.0</v>
      </c>
      <c r="C3334" s="2" t="s">
        <v>3966</v>
      </c>
      <c r="D3334" s="2">
        <v>2.08</v>
      </c>
      <c r="E3334" s="2">
        <v>88.0</v>
      </c>
      <c r="F3334" s="2">
        <v>202.5</v>
      </c>
      <c r="G3334" s="4">
        <f t="shared" si="3"/>
        <v>9440981.27</v>
      </c>
      <c r="H3334" s="4">
        <f t="shared" si="1"/>
        <v>0.9891625933</v>
      </c>
      <c r="I3334" s="4" t="str">
        <f t="shared" si="2"/>
        <v>C</v>
      </c>
    </row>
    <row r="3335">
      <c r="A3335" s="2">
        <v>3334.0</v>
      </c>
      <c r="B3335" s="2" t="s">
        <v>3967</v>
      </c>
      <c r="C3335" s="2" t="s">
        <v>3968</v>
      </c>
      <c r="D3335" s="2">
        <v>4.65</v>
      </c>
      <c r="E3335" s="2">
        <v>80.0</v>
      </c>
      <c r="F3335" s="2">
        <v>202.46</v>
      </c>
      <c r="G3335" s="4">
        <f t="shared" si="3"/>
        <v>9441183.73</v>
      </c>
      <c r="H3335" s="4">
        <f t="shared" si="1"/>
        <v>0.9891838057</v>
      </c>
      <c r="I3335" s="4" t="str">
        <f t="shared" si="2"/>
        <v>C</v>
      </c>
    </row>
    <row r="3336">
      <c r="A3336" s="2">
        <v>3335.0</v>
      </c>
      <c r="B3336" s="2" t="s">
        <v>3969</v>
      </c>
      <c r="C3336" s="2" t="s">
        <v>3970</v>
      </c>
      <c r="D3336" s="2">
        <v>1.25</v>
      </c>
      <c r="E3336" s="2">
        <v>384.0</v>
      </c>
      <c r="F3336" s="2">
        <v>202.38</v>
      </c>
      <c r="G3336" s="4">
        <f t="shared" si="3"/>
        <v>9441386.11</v>
      </c>
      <c r="H3336" s="4">
        <f t="shared" si="1"/>
        <v>0.9892050097</v>
      </c>
      <c r="I3336" s="4" t="str">
        <f t="shared" si="2"/>
        <v>C</v>
      </c>
    </row>
    <row r="3337">
      <c r="A3337" s="2">
        <v>3336.0</v>
      </c>
      <c r="B3337" s="2" t="s">
        <v>3971</v>
      </c>
      <c r="C3337" s="2" t="s">
        <v>3972</v>
      </c>
      <c r="D3337" s="2">
        <v>3.81</v>
      </c>
      <c r="E3337" s="2">
        <v>54.0</v>
      </c>
      <c r="F3337" s="2">
        <v>202.14</v>
      </c>
      <c r="G3337" s="4">
        <f t="shared" si="3"/>
        <v>9441588.25</v>
      </c>
      <c r="H3337" s="4">
        <f t="shared" si="1"/>
        <v>0.9892261886</v>
      </c>
      <c r="I3337" s="4" t="str">
        <f t="shared" si="2"/>
        <v>C</v>
      </c>
    </row>
    <row r="3338">
      <c r="A3338" s="2">
        <v>3337.0</v>
      </c>
      <c r="B3338" s="2" t="s">
        <v>3973</v>
      </c>
      <c r="C3338" s="2" t="s">
        <v>1124</v>
      </c>
      <c r="D3338" s="2">
        <v>25.49</v>
      </c>
      <c r="E3338" s="2">
        <v>8.0</v>
      </c>
      <c r="F3338" s="2">
        <v>202.06</v>
      </c>
      <c r="G3338" s="4">
        <f t="shared" si="3"/>
        <v>9441790.31</v>
      </c>
      <c r="H3338" s="4">
        <f t="shared" si="1"/>
        <v>0.989247359</v>
      </c>
      <c r="I3338" s="4" t="str">
        <f t="shared" si="2"/>
        <v>C</v>
      </c>
    </row>
    <row r="3339">
      <c r="A3339" s="2">
        <v>3338.0</v>
      </c>
      <c r="B3339" s="2" t="s">
        <v>3974</v>
      </c>
      <c r="C3339" s="2" t="s">
        <v>3975</v>
      </c>
      <c r="D3339" s="2">
        <v>1.25</v>
      </c>
      <c r="E3339" s="2">
        <v>138.0</v>
      </c>
      <c r="F3339" s="2">
        <v>202.04</v>
      </c>
      <c r="G3339" s="4">
        <f t="shared" si="3"/>
        <v>9441992.35</v>
      </c>
      <c r="H3339" s="4">
        <f t="shared" si="1"/>
        <v>0.9892685274</v>
      </c>
      <c r="I3339" s="4" t="str">
        <f t="shared" si="2"/>
        <v>C</v>
      </c>
    </row>
    <row r="3340">
      <c r="A3340" s="2">
        <v>3339.0</v>
      </c>
      <c r="B3340" s="2">
        <v>82076.0</v>
      </c>
      <c r="C3340" s="2" t="s">
        <v>3976</v>
      </c>
      <c r="D3340" s="2">
        <v>3.36</v>
      </c>
      <c r="E3340" s="2">
        <v>145.0</v>
      </c>
      <c r="F3340" s="2">
        <v>201.82</v>
      </c>
      <c r="G3340" s="4">
        <f t="shared" si="3"/>
        <v>9442194.17</v>
      </c>
      <c r="H3340" s="4">
        <f t="shared" si="1"/>
        <v>0.9892896728</v>
      </c>
      <c r="I3340" s="4" t="str">
        <f t="shared" si="2"/>
        <v>C</v>
      </c>
    </row>
    <row r="3341">
      <c r="A3341" s="2">
        <v>3340.0</v>
      </c>
      <c r="B3341" s="2" t="s">
        <v>3977</v>
      </c>
      <c r="C3341" s="2" t="s">
        <v>3978</v>
      </c>
      <c r="D3341" s="2">
        <v>2.55</v>
      </c>
      <c r="E3341" s="2">
        <v>92.0</v>
      </c>
      <c r="F3341" s="2">
        <v>200.92</v>
      </c>
      <c r="G3341" s="4">
        <f t="shared" si="3"/>
        <v>9442395.09</v>
      </c>
      <c r="H3341" s="4">
        <f t="shared" si="1"/>
        <v>0.9893107238</v>
      </c>
      <c r="I3341" s="4" t="str">
        <f t="shared" si="2"/>
        <v>C</v>
      </c>
    </row>
    <row r="3342">
      <c r="A3342" s="2">
        <v>3341.0</v>
      </c>
      <c r="B3342" s="2">
        <v>21698.0</v>
      </c>
      <c r="C3342" s="2" t="s">
        <v>3979</v>
      </c>
      <c r="D3342" s="2">
        <v>1.63</v>
      </c>
      <c r="E3342" s="2">
        <v>266.0</v>
      </c>
      <c r="F3342" s="2">
        <v>200.78</v>
      </c>
      <c r="G3342" s="4">
        <f t="shared" si="3"/>
        <v>9442595.87</v>
      </c>
      <c r="H3342" s="4">
        <f t="shared" si="1"/>
        <v>0.9893317602</v>
      </c>
      <c r="I3342" s="4" t="str">
        <f t="shared" si="2"/>
        <v>C</v>
      </c>
    </row>
    <row r="3343">
      <c r="A3343" s="2">
        <v>3342.0</v>
      </c>
      <c r="B3343" s="2" t="s">
        <v>3980</v>
      </c>
      <c r="C3343" s="2" t="s">
        <v>3981</v>
      </c>
      <c r="D3343" s="2">
        <v>1.95</v>
      </c>
      <c r="E3343" s="2">
        <v>94.0</v>
      </c>
      <c r="F3343" s="2">
        <v>200.65</v>
      </c>
      <c r="G3343" s="4">
        <f t="shared" si="3"/>
        <v>9442796.52</v>
      </c>
      <c r="H3343" s="4">
        <f t="shared" si="1"/>
        <v>0.989352783</v>
      </c>
      <c r="I3343" s="4" t="str">
        <f t="shared" si="2"/>
        <v>C</v>
      </c>
    </row>
    <row r="3344">
      <c r="A3344" s="2">
        <v>3343.0</v>
      </c>
      <c r="B3344" s="2" t="s">
        <v>3982</v>
      </c>
      <c r="C3344" s="2" t="s">
        <v>3983</v>
      </c>
      <c r="D3344" s="2">
        <v>4.65</v>
      </c>
      <c r="E3344" s="2">
        <v>116.0</v>
      </c>
      <c r="F3344" s="2">
        <v>200.58</v>
      </c>
      <c r="G3344" s="4">
        <f t="shared" si="3"/>
        <v>9442997.1</v>
      </c>
      <c r="H3344" s="4">
        <f t="shared" si="1"/>
        <v>0.9893737984</v>
      </c>
      <c r="I3344" s="4" t="str">
        <f t="shared" si="2"/>
        <v>C</v>
      </c>
    </row>
    <row r="3345">
      <c r="A3345" s="2">
        <v>3344.0</v>
      </c>
      <c r="B3345" s="2">
        <v>23576.0</v>
      </c>
      <c r="C3345" s="2" t="s">
        <v>3984</v>
      </c>
      <c r="D3345" s="2">
        <v>1.95</v>
      </c>
      <c r="E3345" s="2">
        <v>99.0</v>
      </c>
      <c r="F3345" s="2">
        <v>200.02</v>
      </c>
      <c r="G3345" s="4">
        <f t="shared" si="3"/>
        <v>9443197.12</v>
      </c>
      <c r="H3345" s="4">
        <f t="shared" si="1"/>
        <v>0.9893947551</v>
      </c>
      <c r="I3345" s="4" t="str">
        <f t="shared" si="2"/>
        <v>C</v>
      </c>
    </row>
    <row r="3346">
      <c r="A3346" s="2">
        <v>3345.0</v>
      </c>
      <c r="B3346" s="2">
        <v>23429.0</v>
      </c>
      <c r="C3346" s="2" t="s">
        <v>3985</v>
      </c>
      <c r="D3346" s="2">
        <v>8.15</v>
      </c>
      <c r="E3346" s="2">
        <v>24.0</v>
      </c>
      <c r="F3346" s="2">
        <v>200.0</v>
      </c>
      <c r="G3346" s="4">
        <f t="shared" si="3"/>
        <v>9443397.12</v>
      </c>
      <c r="H3346" s="4">
        <f t="shared" si="1"/>
        <v>0.9894157098</v>
      </c>
      <c r="I3346" s="4" t="str">
        <f t="shared" si="2"/>
        <v>C</v>
      </c>
    </row>
    <row r="3347">
      <c r="A3347" s="2">
        <v>3346.0</v>
      </c>
      <c r="B3347" s="2" t="s">
        <v>3986</v>
      </c>
      <c r="C3347" s="2" t="s">
        <v>3987</v>
      </c>
      <c r="D3347" s="2">
        <v>10.75</v>
      </c>
      <c r="E3347" s="2">
        <v>24.0</v>
      </c>
      <c r="F3347" s="2">
        <v>199.59</v>
      </c>
      <c r="G3347" s="4">
        <f t="shared" si="3"/>
        <v>9443596.71</v>
      </c>
      <c r="H3347" s="4">
        <f t="shared" si="1"/>
        <v>0.9894366215</v>
      </c>
      <c r="I3347" s="4" t="str">
        <f t="shared" si="2"/>
        <v>C</v>
      </c>
    </row>
    <row r="3348">
      <c r="A3348" s="2">
        <v>3347.0</v>
      </c>
      <c r="B3348" s="2" t="s">
        <v>3988</v>
      </c>
      <c r="C3348" s="2" t="s">
        <v>3989</v>
      </c>
      <c r="D3348" s="2">
        <v>0.42</v>
      </c>
      <c r="E3348" s="2">
        <v>475.0</v>
      </c>
      <c r="F3348" s="2">
        <v>199.5</v>
      </c>
      <c r="G3348" s="4">
        <f t="shared" si="3"/>
        <v>9443796.21</v>
      </c>
      <c r="H3348" s="4">
        <f t="shared" si="1"/>
        <v>0.9894575238</v>
      </c>
      <c r="I3348" s="4" t="str">
        <f t="shared" si="2"/>
        <v>C</v>
      </c>
    </row>
    <row r="3349">
      <c r="A3349" s="2">
        <v>3348.0</v>
      </c>
      <c r="B3349" s="2">
        <v>20889.0</v>
      </c>
      <c r="C3349" s="2" t="s">
        <v>3990</v>
      </c>
      <c r="D3349" s="2">
        <v>2.95</v>
      </c>
      <c r="E3349" s="2">
        <v>328.0</v>
      </c>
      <c r="F3349" s="2">
        <v>199.02</v>
      </c>
      <c r="G3349" s="4">
        <f t="shared" si="3"/>
        <v>9443995.23</v>
      </c>
      <c r="H3349" s="4">
        <f t="shared" si="1"/>
        <v>0.9894783757</v>
      </c>
      <c r="I3349" s="4" t="str">
        <f t="shared" si="2"/>
        <v>C</v>
      </c>
    </row>
    <row r="3350">
      <c r="A3350" s="2">
        <v>3349.0</v>
      </c>
      <c r="B3350" s="2">
        <v>21025.0</v>
      </c>
      <c r="C3350" s="2" t="s">
        <v>3991</v>
      </c>
      <c r="D3350" s="2">
        <v>1.25</v>
      </c>
      <c r="E3350" s="2">
        <v>150.0</v>
      </c>
      <c r="F3350" s="2">
        <v>198.68</v>
      </c>
      <c r="G3350" s="4">
        <f t="shared" si="3"/>
        <v>9444193.91</v>
      </c>
      <c r="H3350" s="4">
        <f t="shared" si="1"/>
        <v>0.9894991921</v>
      </c>
      <c r="I3350" s="4" t="str">
        <f t="shared" si="2"/>
        <v>C</v>
      </c>
    </row>
    <row r="3351">
      <c r="A3351" s="2">
        <v>3350.0</v>
      </c>
      <c r="B3351" s="2" t="s">
        <v>3992</v>
      </c>
      <c r="C3351" s="2" t="s">
        <v>3993</v>
      </c>
      <c r="D3351" s="2">
        <v>9.95</v>
      </c>
      <c r="E3351" s="2">
        <v>22.0</v>
      </c>
      <c r="F3351" s="2">
        <v>198.32</v>
      </c>
      <c r="G3351" s="4">
        <f t="shared" si="3"/>
        <v>9444392.23</v>
      </c>
      <c r="H3351" s="4">
        <f t="shared" si="1"/>
        <v>0.9895199707</v>
      </c>
      <c r="I3351" s="4" t="str">
        <f t="shared" si="2"/>
        <v>C</v>
      </c>
    </row>
    <row r="3352">
      <c r="A3352" s="2">
        <v>3351.0</v>
      </c>
      <c r="B3352" s="2" t="s">
        <v>3994</v>
      </c>
      <c r="C3352" s="2" t="s">
        <v>3995</v>
      </c>
      <c r="D3352" s="2">
        <v>4.25</v>
      </c>
      <c r="E3352" s="2">
        <v>46.0</v>
      </c>
      <c r="F3352" s="2">
        <v>197.84</v>
      </c>
      <c r="G3352" s="4">
        <f t="shared" si="3"/>
        <v>9444590.07</v>
      </c>
      <c r="H3352" s="4">
        <f t="shared" si="1"/>
        <v>0.9895406991</v>
      </c>
      <c r="I3352" s="4" t="str">
        <f t="shared" si="2"/>
        <v>C</v>
      </c>
    </row>
    <row r="3353">
      <c r="A3353" s="2">
        <v>3352.0</v>
      </c>
      <c r="B3353" s="2">
        <v>84726.0</v>
      </c>
      <c r="C3353" s="2" t="s">
        <v>3996</v>
      </c>
      <c r="D3353" s="2">
        <v>1.65</v>
      </c>
      <c r="E3353" s="2">
        <v>116.0</v>
      </c>
      <c r="F3353" s="2">
        <v>197.42</v>
      </c>
      <c r="G3353" s="4">
        <f t="shared" si="3"/>
        <v>9444787.49</v>
      </c>
      <c r="H3353" s="4">
        <f t="shared" si="1"/>
        <v>0.9895613834</v>
      </c>
      <c r="I3353" s="4" t="str">
        <f t="shared" si="2"/>
        <v>C</v>
      </c>
    </row>
    <row r="3354">
      <c r="A3354" s="2">
        <v>3353.0</v>
      </c>
      <c r="B3354" s="2" t="s">
        <v>3997</v>
      </c>
      <c r="C3354" s="2" t="s">
        <v>3998</v>
      </c>
      <c r="D3354" s="2">
        <v>2.95</v>
      </c>
      <c r="E3354" s="2">
        <v>702.0</v>
      </c>
      <c r="F3354" s="2">
        <v>197.08</v>
      </c>
      <c r="G3354" s="4">
        <f t="shared" si="3"/>
        <v>9444984.57</v>
      </c>
      <c r="H3354" s="4">
        <f t="shared" si="1"/>
        <v>0.9895820321</v>
      </c>
      <c r="I3354" s="4" t="str">
        <f t="shared" si="2"/>
        <v>C</v>
      </c>
    </row>
    <row r="3355">
      <c r="A3355" s="2">
        <v>3354.0</v>
      </c>
      <c r="B3355" s="2" t="s">
        <v>3999</v>
      </c>
      <c r="C3355" s="2" t="s">
        <v>4000</v>
      </c>
      <c r="D3355" s="2">
        <v>0.65</v>
      </c>
      <c r="E3355" s="2">
        <v>252.0</v>
      </c>
      <c r="F3355" s="2">
        <v>196.3</v>
      </c>
      <c r="G3355" s="4">
        <f t="shared" si="3"/>
        <v>9445180.87</v>
      </c>
      <c r="H3355" s="4">
        <f t="shared" si="1"/>
        <v>0.9896025991</v>
      </c>
      <c r="I3355" s="4" t="str">
        <f t="shared" si="2"/>
        <v>C</v>
      </c>
    </row>
    <row r="3356">
      <c r="A3356" s="2">
        <v>3355.0</v>
      </c>
      <c r="B3356" s="2" t="s">
        <v>4001</v>
      </c>
      <c r="C3356" s="2" t="s">
        <v>4002</v>
      </c>
      <c r="D3356" s="2">
        <v>2.51</v>
      </c>
      <c r="E3356" s="2">
        <v>74.0</v>
      </c>
      <c r="F3356" s="2">
        <v>196.26</v>
      </c>
      <c r="G3356" s="4">
        <f t="shared" si="3"/>
        <v>9445377.13</v>
      </c>
      <c r="H3356" s="4">
        <f t="shared" si="1"/>
        <v>0.9896231619</v>
      </c>
      <c r="I3356" s="4" t="str">
        <f t="shared" si="2"/>
        <v>C</v>
      </c>
    </row>
    <row r="3357">
      <c r="A3357" s="2">
        <v>3356.0</v>
      </c>
      <c r="B3357" s="2">
        <v>23116.0</v>
      </c>
      <c r="C3357" s="2" t="s">
        <v>4003</v>
      </c>
      <c r="D3357" s="2">
        <v>4.95</v>
      </c>
      <c r="E3357" s="2">
        <v>39.0</v>
      </c>
      <c r="F3357" s="2">
        <v>196.17</v>
      </c>
      <c r="G3357" s="4">
        <f t="shared" si="3"/>
        <v>9445573.3</v>
      </c>
      <c r="H3357" s="4">
        <f t="shared" si="1"/>
        <v>0.9896437153</v>
      </c>
      <c r="I3357" s="4" t="str">
        <f t="shared" si="2"/>
        <v>C</v>
      </c>
    </row>
    <row r="3358">
      <c r="A3358" s="2">
        <v>3357.0</v>
      </c>
      <c r="B3358" s="2">
        <v>22869.0</v>
      </c>
      <c r="C3358" s="2" t="s">
        <v>4004</v>
      </c>
      <c r="D3358" s="2">
        <v>4.13</v>
      </c>
      <c r="E3358" s="2">
        <v>83.0</v>
      </c>
      <c r="F3358" s="2">
        <v>195.84</v>
      </c>
      <c r="G3358" s="4">
        <f t="shared" si="3"/>
        <v>9445769.14</v>
      </c>
      <c r="H3358" s="4">
        <f t="shared" si="1"/>
        <v>0.9896642341</v>
      </c>
      <c r="I3358" s="4" t="str">
        <f t="shared" si="2"/>
        <v>C</v>
      </c>
    </row>
    <row r="3359">
      <c r="A3359" s="2">
        <v>3358.0</v>
      </c>
      <c r="B3359" s="2" t="s">
        <v>4005</v>
      </c>
      <c r="C3359" s="2" t="s">
        <v>4006</v>
      </c>
      <c r="D3359" s="2">
        <v>2.95</v>
      </c>
      <c r="E3359" s="2">
        <v>66.0</v>
      </c>
      <c r="F3359" s="2">
        <v>195.68</v>
      </c>
      <c r="G3359" s="4">
        <f t="shared" si="3"/>
        <v>9445964.82</v>
      </c>
      <c r="H3359" s="4">
        <f t="shared" si="1"/>
        <v>0.9896847362</v>
      </c>
      <c r="I3359" s="4" t="str">
        <f t="shared" si="2"/>
        <v>C</v>
      </c>
    </row>
    <row r="3360">
      <c r="A3360" s="2">
        <v>3359.0</v>
      </c>
      <c r="B3360" s="2" t="s">
        <v>4007</v>
      </c>
      <c r="C3360" s="2" t="s">
        <v>4008</v>
      </c>
      <c r="D3360" s="2">
        <v>9.96</v>
      </c>
      <c r="E3360" s="2">
        <v>20.0</v>
      </c>
      <c r="F3360" s="2">
        <v>195.59</v>
      </c>
      <c r="G3360" s="4">
        <f t="shared" si="3"/>
        <v>9446160.41</v>
      </c>
      <c r="H3360" s="4">
        <f t="shared" si="1"/>
        <v>0.9897052288</v>
      </c>
      <c r="I3360" s="4" t="str">
        <f t="shared" si="2"/>
        <v>C</v>
      </c>
    </row>
    <row r="3361">
      <c r="A3361" s="2">
        <v>3360.0</v>
      </c>
      <c r="B3361" s="2" t="s">
        <v>4009</v>
      </c>
      <c r="C3361" s="2" t="s">
        <v>4010</v>
      </c>
      <c r="D3361" s="2">
        <v>9.95</v>
      </c>
      <c r="E3361" s="2">
        <v>21.0</v>
      </c>
      <c r="F3361" s="2">
        <v>195.48</v>
      </c>
      <c r="G3361" s="4">
        <f t="shared" si="3"/>
        <v>9446355.89</v>
      </c>
      <c r="H3361" s="4">
        <f t="shared" si="1"/>
        <v>0.9897257098</v>
      </c>
      <c r="I3361" s="4" t="str">
        <f t="shared" si="2"/>
        <v>C</v>
      </c>
    </row>
    <row r="3362">
      <c r="A3362" s="2">
        <v>3361.0</v>
      </c>
      <c r="B3362" s="2">
        <v>23150.0</v>
      </c>
      <c r="C3362" s="2" t="s">
        <v>4011</v>
      </c>
      <c r="D3362" s="2">
        <v>2.49</v>
      </c>
      <c r="E3362" s="2">
        <v>74.0</v>
      </c>
      <c r="F3362" s="2">
        <v>195.38</v>
      </c>
      <c r="G3362" s="4">
        <f t="shared" si="3"/>
        <v>9446551.27</v>
      </c>
      <c r="H3362" s="4">
        <f t="shared" si="1"/>
        <v>0.9897461804</v>
      </c>
      <c r="I3362" s="4" t="str">
        <f t="shared" si="2"/>
        <v>C</v>
      </c>
    </row>
    <row r="3363">
      <c r="A3363" s="2">
        <v>3362.0</v>
      </c>
      <c r="B3363" s="2" t="s">
        <v>4012</v>
      </c>
      <c r="C3363" s="2" t="s">
        <v>4013</v>
      </c>
      <c r="D3363" s="2">
        <v>8.95</v>
      </c>
      <c r="E3363" s="2">
        <v>22.0</v>
      </c>
      <c r="F3363" s="2">
        <v>195.08</v>
      </c>
      <c r="G3363" s="4">
        <f t="shared" si="3"/>
        <v>9446746.35</v>
      </c>
      <c r="H3363" s="4">
        <f t="shared" si="1"/>
        <v>0.9897666196</v>
      </c>
      <c r="I3363" s="4" t="str">
        <f t="shared" si="2"/>
        <v>C</v>
      </c>
    </row>
    <row r="3364">
      <c r="A3364" s="2">
        <v>3363.0</v>
      </c>
      <c r="B3364" s="2">
        <v>20857.0</v>
      </c>
      <c r="C3364" s="2" t="s">
        <v>4014</v>
      </c>
      <c r="D3364" s="2">
        <v>1.65</v>
      </c>
      <c r="E3364" s="2">
        <v>118.0</v>
      </c>
      <c r="F3364" s="2">
        <v>194.7</v>
      </c>
      <c r="G3364" s="4">
        <f t="shared" si="3"/>
        <v>9446941.05</v>
      </c>
      <c r="H3364" s="4">
        <f t="shared" si="1"/>
        <v>0.989787019</v>
      </c>
      <c r="I3364" s="4" t="str">
        <f t="shared" si="2"/>
        <v>C</v>
      </c>
    </row>
    <row r="3365">
      <c r="A3365" s="2">
        <v>3364.0</v>
      </c>
      <c r="B3365" s="2">
        <v>84081.0</v>
      </c>
      <c r="C3365" s="2" t="s">
        <v>4015</v>
      </c>
      <c r="D3365" s="2">
        <v>4.25</v>
      </c>
      <c r="E3365" s="2">
        <v>50.0</v>
      </c>
      <c r="F3365" s="2">
        <v>194.65</v>
      </c>
      <c r="G3365" s="4">
        <f t="shared" si="3"/>
        <v>9447135.7</v>
      </c>
      <c r="H3365" s="4">
        <f t="shared" si="1"/>
        <v>0.9898074131</v>
      </c>
      <c r="I3365" s="4" t="str">
        <f t="shared" si="2"/>
        <v>C</v>
      </c>
    </row>
    <row r="3366">
      <c r="A3366" s="2">
        <v>3365.0</v>
      </c>
      <c r="B3366" s="2">
        <v>16044.0</v>
      </c>
      <c r="C3366" s="2" t="s">
        <v>4016</v>
      </c>
      <c r="D3366" s="2">
        <v>0.42</v>
      </c>
      <c r="E3366" s="2">
        <v>3096.0</v>
      </c>
      <c r="F3366" s="2">
        <v>194.61</v>
      </c>
      <c r="G3366" s="4">
        <f t="shared" si="3"/>
        <v>9447330.31</v>
      </c>
      <c r="H3366" s="4">
        <f t="shared" si="1"/>
        <v>0.989827803</v>
      </c>
      <c r="I3366" s="4" t="str">
        <f t="shared" si="2"/>
        <v>C</v>
      </c>
    </row>
    <row r="3367">
      <c r="A3367" s="2">
        <v>3366.0</v>
      </c>
      <c r="B3367" s="2">
        <v>23337.0</v>
      </c>
      <c r="C3367" s="2" t="s">
        <v>4017</v>
      </c>
      <c r="D3367" s="2">
        <v>2.08</v>
      </c>
      <c r="E3367" s="2">
        <v>90.0</v>
      </c>
      <c r="F3367" s="2">
        <v>194.38</v>
      </c>
      <c r="G3367" s="4">
        <f t="shared" si="3"/>
        <v>9447524.69</v>
      </c>
      <c r="H3367" s="4">
        <f t="shared" si="1"/>
        <v>0.9898481689</v>
      </c>
      <c r="I3367" s="4" t="str">
        <f t="shared" si="2"/>
        <v>C</v>
      </c>
    </row>
    <row r="3368">
      <c r="A3368" s="2">
        <v>3367.0</v>
      </c>
      <c r="B3368" s="2">
        <v>23039.0</v>
      </c>
      <c r="C3368" s="2" t="s">
        <v>4018</v>
      </c>
      <c r="D3368" s="2">
        <v>1.95</v>
      </c>
      <c r="E3368" s="2">
        <v>96.0</v>
      </c>
      <c r="F3368" s="2">
        <v>194.0</v>
      </c>
      <c r="G3368" s="4">
        <f t="shared" si="3"/>
        <v>9447718.69</v>
      </c>
      <c r="H3368" s="4">
        <f t="shared" si="1"/>
        <v>0.9898684949</v>
      </c>
      <c r="I3368" s="4" t="str">
        <f t="shared" si="2"/>
        <v>C</v>
      </c>
    </row>
    <row r="3369">
      <c r="A3369" s="2">
        <v>3368.0</v>
      </c>
      <c r="B3369" s="2">
        <v>23459.0</v>
      </c>
      <c r="C3369" s="2" t="s">
        <v>4019</v>
      </c>
      <c r="D3369" s="2">
        <v>12.5</v>
      </c>
      <c r="E3369" s="2">
        <v>16.0</v>
      </c>
      <c r="F3369" s="2">
        <v>193.75</v>
      </c>
      <c r="G3369" s="4">
        <f t="shared" si="3"/>
        <v>9447912.44</v>
      </c>
      <c r="H3369" s="4">
        <f t="shared" si="1"/>
        <v>0.9898887947</v>
      </c>
      <c r="I3369" s="4" t="str">
        <f t="shared" si="2"/>
        <v>C</v>
      </c>
    </row>
    <row r="3370">
      <c r="A3370" s="2">
        <v>3369.0</v>
      </c>
      <c r="B3370" s="2">
        <v>84497.0</v>
      </c>
      <c r="C3370" s="2" t="s">
        <v>4020</v>
      </c>
      <c r="D3370" s="2">
        <v>3.75</v>
      </c>
      <c r="E3370" s="2">
        <v>48.0</v>
      </c>
      <c r="F3370" s="2">
        <v>193.56</v>
      </c>
      <c r="G3370" s="4">
        <f t="shared" si="3"/>
        <v>9448106</v>
      </c>
      <c r="H3370" s="4">
        <f t="shared" si="1"/>
        <v>0.9899090746</v>
      </c>
      <c r="I3370" s="4" t="str">
        <f t="shared" si="2"/>
        <v>C</v>
      </c>
    </row>
    <row r="3371">
      <c r="A3371" s="2">
        <v>3370.0</v>
      </c>
      <c r="B3371" s="2" t="s">
        <v>4021</v>
      </c>
      <c r="C3371" s="2" t="s">
        <v>3549</v>
      </c>
      <c r="D3371" s="2">
        <v>0.85</v>
      </c>
      <c r="E3371" s="2">
        <v>233.0</v>
      </c>
      <c r="F3371" s="2">
        <v>193.16</v>
      </c>
      <c r="G3371" s="4">
        <f t="shared" si="3"/>
        <v>9448299.16</v>
      </c>
      <c r="H3371" s="4">
        <f t="shared" si="1"/>
        <v>0.9899293126</v>
      </c>
      <c r="I3371" s="4" t="str">
        <f t="shared" si="2"/>
        <v>C</v>
      </c>
    </row>
    <row r="3372">
      <c r="A3372" s="2">
        <v>3371.0</v>
      </c>
      <c r="B3372" s="2">
        <v>90158.0</v>
      </c>
      <c r="C3372" s="2" t="s">
        <v>4022</v>
      </c>
      <c r="D3372" s="2">
        <v>4.98</v>
      </c>
      <c r="E3372" s="2">
        <v>38.0</v>
      </c>
      <c r="F3372" s="2">
        <v>193.16</v>
      </c>
      <c r="G3372" s="4">
        <f t="shared" si="3"/>
        <v>9448492.32</v>
      </c>
      <c r="H3372" s="4">
        <f t="shared" si="1"/>
        <v>0.9899495506</v>
      </c>
      <c r="I3372" s="4" t="str">
        <f t="shared" si="2"/>
        <v>C</v>
      </c>
    </row>
    <row r="3373">
      <c r="A3373" s="2">
        <v>3372.0</v>
      </c>
      <c r="B3373" s="2">
        <v>84292.0</v>
      </c>
      <c r="C3373" s="2" t="s">
        <v>4023</v>
      </c>
      <c r="D3373" s="2">
        <v>7.95</v>
      </c>
      <c r="E3373" s="2">
        <v>22.0</v>
      </c>
      <c r="F3373" s="2">
        <v>192.99</v>
      </c>
      <c r="G3373" s="4">
        <f t="shared" si="3"/>
        <v>9448685.31</v>
      </c>
      <c r="H3373" s="4">
        <f t="shared" si="1"/>
        <v>0.9899697708</v>
      </c>
      <c r="I3373" s="4" t="str">
        <f t="shared" si="2"/>
        <v>C</v>
      </c>
    </row>
    <row r="3374">
      <c r="A3374" s="2">
        <v>3373.0</v>
      </c>
      <c r="B3374" s="2">
        <v>85007.0</v>
      </c>
      <c r="C3374" s="2" t="s">
        <v>4024</v>
      </c>
      <c r="D3374" s="2">
        <v>4.65</v>
      </c>
      <c r="E3374" s="2">
        <v>70.0</v>
      </c>
      <c r="F3374" s="2">
        <v>192.84</v>
      </c>
      <c r="G3374" s="4">
        <f t="shared" si="3"/>
        <v>9448878.15</v>
      </c>
      <c r="H3374" s="4">
        <f t="shared" si="1"/>
        <v>0.9899899753</v>
      </c>
      <c r="I3374" s="4" t="str">
        <f t="shared" si="2"/>
        <v>C</v>
      </c>
    </row>
    <row r="3375">
      <c r="A3375" s="2">
        <v>3374.0</v>
      </c>
      <c r="B3375" s="2" t="s">
        <v>4025</v>
      </c>
      <c r="C3375" s="2" t="s">
        <v>4026</v>
      </c>
      <c r="D3375" s="2">
        <v>0.29</v>
      </c>
      <c r="E3375" s="2">
        <v>473.0</v>
      </c>
      <c r="F3375" s="2">
        <v>192.05</v>
      </c>
      <c r="G3375" s="4">
        <f t="shared" si="3"/>
        <v>9449070.2</v>
      </c>
      <c r="H3375" s="4">
        <f t="shared" si="1"/>
        <v>0.990010097</v>
      </c>
      <c r="I3375" s="4" t="str">
        <f t="shared" si="2"/>
        <v>C</v>
      </c>
    </row>
    <row r="3376">
      <c r="A3376" s="2">
        <v>3375.0</v>
      </c>
      <c r="B3376" s="2" t="s">
        <v>4027</v>
      </c>
      <c r="C3376" s="2" t="s">
        <v>4028</v>
      </c>
      <c r="D3376" s="2">
        <v>5.55</v>
      </c>
      <c r="E3376" s="2">
        <v>284.0</v>
      </c>
      <c r="F3376" s="2">
        <v>192.04</v>
      </c>
      <c r="G3376" s="4">
        <f t="shared" si="3"/>
        <v>9449262.24</v>
      </c>
      <c r="H3376" s="4">
        <f t="shared" si="1"/>
        <v>0.9900302177</v>
      </c>
      <c r="I3376" s="4" t="str">
        <f t="shared" si="2"/>
        <v>C</v>
      </c>
    </row>
    <row r="3377">
      <c r="A3377" s="2">
        <v>3376.0</v>
      </c>
      <c r="B3377" s="2" t="s">
        <v>4029</v>
      </c>
      <c r="C3377" s="2" t="s">
        <v>4030</v>
      </c>
      <c r="D3377" s="2">
        <v>0.65</v>
      </c>
      <c r="E3377" s="2">
        <v>2178.0</v>
      </c>
      <c r="F3377" s="2">
        <v>191.62</v>
      </c>
      <c r="G3377" s="4">
        <f t="shared" si="3"/>
        <v>9449453.86</v>
      </c>
      <c r="H3377" s="4">
        <f t="shared" si="1"/>
        <v>0.9900502943</v>
      </c>
      <c r="I3377" s="4" t="str">
        <f t="shared" si="2"/>
        <v>C</v>
      </c>
    </row>
    <row r="3378">
      <c r="A3378" s="2">
        <v>3377.0</v>
      </c>
      <c r="B3378" s="2" t="s">
        <v>4031</v>
      </c>
      <c r="C3378" s="2" t="s">
        <v>4032</v>
      </c>
      <c r="D3378" s="2">
        <v>2.95</v>
      </c>
      <c r="E3378" s="2">
        <v>65.0</v>
      </c>
      <c r="F3378" s="2">
        <v>191.42</v>
      </c>
      <c r="G3378" s="4">
        <f t="shared" si="3"/>
        <v>9449645.28</v>
      </c>
      <c r="H3378" s="4">
        <f t="shared" si="1"/>
        <v>0.99007035</v>
      </c>
      <c r="I3378" s="4" t="str">
        <f t="shared" si="2"/>
        <v>C</v>
      </c>
    </row>
    <row r="3379">
      <c r="A3379" s="2">
        <v>3378.0</v>
      </c>
      <c r="B3379" s="2" t="s">
        <v>4033</v>
      </c>
      <c r="C3379" s="2" t="s">
        <v>4034</v>
      </c>
      <c r="D3379" s="2">
        <v>6.35</v>
      </c>
      <c r="E3379" s="2">
        <v>30.0</v>
      </c>
      <c r="F3379" s="2">
        <v>190.5</v>
      </c>
      <c r="G3379" s="4">
        <f t="shared" si="3"/>
        <v>9449835.78</v>
      </c>
      <c r="H3379" s="4">
        <f t="shared" si="1"/>
        <v>0.9900903093</v>
      </c>
      <c r="I3379" s="4" t="str">
        <f t="shared" si="2"/>
        <v>C</v>
      </c>
    </row>
    <row r="3380">
      <c r="A3380" s="2">
        <v>3379.0</v>
      </c>
      <c r="B3380" s="2" t="s">
        <v>4035</v>
      </c>
      <c r="C3380" s="2" t="s">
        <v>4036</v>
      </c>
      <c r="D3380" s="2">
        <v>10.75</v>
      </c>
      <c r="E3380" s="2">
        <v>22.0</v>
      </c>
      <c r="F3380" s="2">
        <v>190.44</v>
      </c>
      <c r="G3380" s="4">
        <f t="shared" si="3"/>
        <v>9450026.22</v>
      </c>
      <c r="H3380" s="4">
        <f t="shared" si="1"/>
        <v>0.9901102624</v>
      </c>
      <c r="I3380" s="4" t="str">
        <f t="shared" si="2"/>
        <v>C</v>
      </c>
    </row>
    <row r="3381">
      <c r="A3381" s="2">
        <v>3380.0</v>
      </c>
      <c r="B3381" s="2" t="s">
        <v>4037</v>
      </c>
      <c r="C3381" s="2" t="s">
        <v>4038</v>
      </c>
      <c r="D3381" s="2">
        <v>9.15</v>
      </c>
      <c r="E3381" s="2">
        <v>21.0</v>
      </c>
      <c r="F3381" s="2">
        <v>190.41</v>
      </c>
      <c r="G3381" s="4">
        <f t="shared" si="3"/>
        <v>9450216.63</v>
      </c>
      <c r="H3381" s="4">
        <f t="shared" si="1"/>
        <v>0.9901302122</v>
      </c>
      <c r="I3381" s="4" t="str">
        <f t="shared" si="2"/>
        <v>C</v>
      </c>
    </row>
    <row r="3382">
      <c r="A3382" s="2">
        <v>3381.0</v>
      </c>
      <c r="B3382" s="2" t="s">
        <v>4039</v>
      </c>
      <c r="C3382" s="2" t="s">
        <v>4040</v>
      </c>
      <c r="D3382" s="2">
        <v>0.42</v>
      </c>
      <c r="E3382" s="2">
        <v>537.0</v>
      </c>
      <c r="F3382" s="2">
        <v>190.28</v>
      </c>
      <c r="G3382" s="4">
        <f t="shared" si="3"/>
        <v>9450406.91</v>
      </c>
      <c r="H3382" s="4">
        <f t="shared" si="1"/>
        <v>0.9901501485</v>
      </c>
      <c r="I3382" s="4" t="str">
        <f t="shared" si="2"/>
        <v>C</v>
      </c>
    </row>
    <row r="3383">
      <c r="A3383" s="2">
        <v>3382.0</v>
      </c>
      <c r="B3383" s="2">
        <v>47562.0</v>
      </c>
      <c r="C3383" s="2" t="s">
        <v>4041</v>
      </c>
      <c r="D3383" s="2">
        <v>3.75</v>
      </c>
      <c r="E3383" s="2">
        <v>50.0</v>
      </c>
      <c r="F3383" s="2">
        <v>189.38</v>
      </c>
      <c r="G3383" s="4">
        <f t="shared" si="3"/>
        <v>9450596.29</v>
      </c>
      <c r="H3383" s="4">
        <f t="shared" si="1"/>
        <v>0.9901699905</v>
      </c>
      <c r="I3383" s="4" t="str">
        <f t="shared" si="2"/>
        <v>C</v>
      </c>
    </row>
    <row r="3384">
      <c r="A3384" s="2">
        <v>3383.0</v>
      </c>
      <c r="B3384" s="2" t="s">
        <v>4042</v>
      </c>
      <c r="C3384" s="2" t="s">
        <v>4043</v>
      </c>
      <c r="D3384" s="2">
        <v>5.95</v>
      </c>
      <c r="E3384" s="2">
        <v>30.0</v>
      </c>
      <c r="F3384" s="2">
        <v>188.96</v>
      </c>
      <c r="G3384" s="4">
        <f t="shared" si="3"/>
        <v>9450785.25</v>
      </c>
      <c r="H3384" s="4">
        <f t="shared" si="1"/>
        <v>0.9901897884</v>
      </c>
      <c r="I3384" s="4" t="str">
        <f t="shared" si="2"/>
        <v>C</v>
      </c>
    </row>
    <row r="3385">
      <c r="A3385" s="2">
        <v>3384.0</v>
      </c>
      <c r="B3385" s="2">
        <v>20976.0</v>
      </c>
      <c r="C3385" s="2" t="s">
        <v>4044</v>
      </c>
      <c r="D3385" s="2">
        <v>0.65</v>
      </c>
      <c r="E3385" s="2">
        <v>275.0</v>
      </c>
      <c r="F3385" s="2">
        <v>188.5</v>
      </c>
      <c r="G3385" s="4">
        <f t="shared" si="3"/>
        <v>9450973.75</v>
      </c>
      <c r="H3385" s="4">
        <f t="shared" si="1"/>
        <v>0.9902095382</v>
      </c>
      <c r="I3385" s="4" t="str">
        <f t="shared" si="2"/>
        <v>C</v>
      </c>
    </row>
    <row r="3386">
      <c r="A3386" s="2">
        <v>3385.0</v>
      </c>
      <c r="B3386" s="2" t="s">
        <v>4045</v>
      </c>
      <c r="C3386" s="2" t="s">
        <v>4046</v>
      </c>
      <c r="D3386" s="2">
        <v>1.95</v>
      </c>
      <c r="E3386" s="2">
        <v>118.0</v>
      </c>
      <c r="F3386" s="2">
        <v>188.02</v>
      </c>
      <c r="G3386" s="4">
        <f t="shared" si="3"/>
        <v>9451161.77</v>
      </c>
      <c r="H3386" s="4">
        <f t="shared" si="1"/>
        <v>0.9902292377</v>
      </c>
      <c r="I3386" s="4" t="str">
        <f t="shared" si="2"/>
        <v>C</v>
      </c>
    </row>
    <row r="3387">
      <c r="A3387" s="2">
        <v>3386.0</v>
      </c>
      <c r="B3387" s="2" t="s">
        <v>4047</v>
      </c>
      <c r="C3387" s="2" t="s">
        <v>4048</v>
      </c>
      <c r="D3387" s="2">
        <v>2.95</v>
      </c>
      <c r="E3387" s="2">
        <v>55.0</v>
      </c>
      <c r="F3387" s="2">
        <v>187.36</v>
      </c>
      <c r="G3387" s="4">
        <f t="shared" si="3"/>
        <v>9451349.13</v>
      </c>
      <c r="H3387" s="4">
        <f t="shared" si="1"/>
        <v>0.990248868</v>
      </c>
      <c r="I3387" s="4" t="str">
        <f t="shared" si="2"/>
        <v>C</v>
      </c>
    </row>
    <row r="3388">
      <c r="A3388" s="2">
        <v>3387.0</v>
      </c>
      <c r="B3388" s="2" t="s">
        <v>4049</v>
      </c>
      <c r="C3388" s="2" t="s">
        <v>4050</v>
      </c>
      <c r="D3388" s="2">
        <v>1.95</v>
      </c>
      <c r="E3388" s="2">
        <v>93.0</v>
      </c>
      <c r="F3388" s="2">
        <v>187.04</v>
      </c>
      <c r="G3388" s="4">
        <f t="shared" si="3"/>
        <v>9451536.17</v>
      </c>
      <c r="H3388" s="4">
        <f t="shared" si="1"/>
        <v>0.9902684648</v>
      </c>
      <c r="I3388" s="4" t="str">
        <f t="shared" si="2"/>
        <v>C</v>
      </c>
    </row>
    <row r="3389">
      <c r="A3389" s="2">
        <v>3388.0</v>
      </c>
      <c r="B3389" s="2">
        <v>23661.0</v>
      </c>
      <c r="C3389" s="2" t="s">
        <v>4051</v>
      </c>
      <c r="D3389" s="2">
        <v>1.65</v>
      </c>
      <c r="E3389" s="2">
        <v>104.0</v>
      </c>
      <c r="F3389" s="2">
        <v>186.9</v>
      </c>
      <c r="G3389" s="4">
        <f t="shared" si="3"/>
        <v>9451723.07</v>
      </c>
      <c r="H3389" s="4">
        <f t="shared" si="1"/>
        <v>0.9902880469</v>
      </c>
      <c r="I3389" s="4" t="str">
        <f t="shared" si="2"/>
        <v>C</v>
      </c>
    </row>
    <row r="3390">
      <c r="A3390" s="2">
        <v>3389.0</v>
      </c>
      <c r="B3390" s="2" t="s">
        <v>4052</v>
      </c>
      <c r="C3390" s="2" t="s">
        <v>4053</v>
      </c>
      <c r="D3390" s="2">
        <v>3.36</v>
      </c>
      <c r="E3390" s="2">
        <v>80.0</v>
      </c>
      <c r="F3390" s="2">
        <v>186.55</v>
      </c>
      <c r="G3390" s="4">
        <f t="shared" si="3"/>
        <v>9451909.62</v>
      </c>
      <c r="H3390" s="4">
        <f t="shared" si="1"/>
        <v>0.9903075924</v>
      </c>
      <c r="I3390" s="4" t="str">
        <f t="shared" si="2"/>
        <v>C</v>
      </c>
    </row>
    <row r="3391">
      <c r="A3391" s="2">
        <v>3390.0</v>
      </c>
      <c r="B3391" s="2">
        <v>90208.0</v>
      </c>
      <c r="C3391" s="2" t="s">
        <v>4054</v>
      </c>
      <c r="D3391" s="2">
        <v>2.54</v>
      </c>
      <c r="E3391" s="2">
        <v>76.0</v>
      </c>
      <c r="F3391" s="2">
        <v>185.76</v>
      </c>
      <c r="G3391" s="4">
        <f t="shared" si="3"/>
        <v>9452095.38</v>
      </c>
      <c r="H3391" s="4">
        <f t="shared" si="1"/>
        <v>0.990327055</v>
      </c>
      <c r="I3391" s="4" t="str">
        <f t="shared" si="2"/>
        <v>C</v>
      </c>
    </row>
    <row r="3392">
      <c r="A3392" s="2">
        <v>3391.0</v>
      </c>
      <c r="B3392" s="2">
        <v>20906.0</v>
      </c>
      <c r="C3392" s="2" t="s">
        <v>4055</v>
      </c>
      <c r="D3392" s="2">
        <v>2.95</v>
      </c>
      <c r="E3392" s="2">
        <v>51.0</v>
      </c>
      <c r="F3392" s="2">
        <v>185.6</v>
      </c>
      <c r="G3392" s="4">
        <f t="shared" si="3"/>
        <v>9452280.98</v>
      </c>
      <c r="H3392" s="4">
        <f t="shared" si="1"/>
        <v>0.990346501</v>
      </c>
      <c r="I3392" s="4" t="str">
        <f t="shared" si="2"/>
        <v>C</v>
      </c>
    </row>
    <row r="3393">
      <c r="A3393" s="2">
        <v>3392.0</v>
      </c>
      <c r="B3393" s="2">
        <v>90134.0</v>
      </c>
      <c r="C3393" s="2" t="s">
        <v>4056</v>
      </c>
      <c r="D3393" s="2">
        <v>2.96</v>
      </c>
      <c r="E3393" s="2">
        <v>63.0</v>
      </c>
      <c r="F3393" s="2">
        <v>185.46</v>
      </c>
      <c r="G3393" s="4">
        <f t="shared" si="3"/>
        <v>9452466.44</v>
      </c>
      <c r="H3393" s="4">
        <f t="shared" si="1"/>
        <v>0.9903659322</v>
      </c>
      <c r="I3393" s="4" t="str">
        <f t="shared" si="2"/>
        <v>C</v>
      </c>
    </row>
    <row r="3394">
      <c r="A3394" s="2">
        <v>3393.0</v>
      </c>
      <c r="B3394" s="2">
        <v>22870.0</v>
      </c>
      <c r="C3394" s="2" t="s">
        <v>4057</v>
      </c>
      <c r="D3394" s="2">
        <v>4.13</v>
      </c>
      <c r="E3394" s="2">
        <v>78.0</v>
      </c>
      <c r="F3394" s="2">
        <v>184.96</v>
      </c>
      <c r="G3394" s="4">
        <f t="shared" si="3"/>
        <v>9452651.4</v>
      </c>
      <c r="H3394" s="4">
        <f t="shared" si="1"/>
        <v>0.9903853111</v>
      </c>
      <c r="I3394" s="4" t="str">
        <f t="shared" si="2"/>
        <v>C</v>
      </c>
    </row>
    <row r="3395">
      <c r="A3395" s="2">
        <v>3394.0</v>
      </c>
      <c r="B3395" s="2">
        <v>79336.0</v>
      </c>
      <c r="C3395" s="2" t="s">
        <v>4058</v>
      </c>
      <c r="D3395" s="2">
        <v>1.65</v>
      </c>
      <c r="E3395" s="2">
        <v>420.0</v>
      </c>
      <c r="F3395" s="2">
        <v>184.89</v>
      </c>
      <c r="G3395" s="4">
        <f t="shared" si="3"/>
        <v>9452836.29</v>
      </c>
      <c r="H3395" s="4">
        <f t="shared" si="1"/>
        <v>0.9904046826</v>
      </c>
      <c r="I3395" s="4" t="str">
        <f t="shared" si="2"/>
        <v>C</v>
      </c>
    </row>
    <row r="3396">
      <c r="A3396" s="2">
        <v>3395.0</v>
      </c>
      <c r="B3396" s="2" t="s">
        <v>4059</v>
      </c>
      <c r="C3396" s="2" t="s">
        <v>4060</v>
      </c>
      <c r="D3396" s="2">
        <v>1.45</v>
      </c>
      <c r="E3396" s="2">
        <v>114.0</v>
      </c>
      <c r="F3396" s="2">
        <v>184.46</v>
      </c>
      <c r="G3396" s="4">
        <f t="shared" si="3"/>
        <v>9453020.75</v>
      </c>
      <c r="H3396" s="4">
        <f t="shared" si="1"/>
        <v>0.9904240091</v>
      </c>
      <c r="I3396" s="4" t="str">
        <f t="shared" si="2"/>
        <v>C</v>
      </c>
    </row>
    <row r="3397">
      <c r="A3397" s="2">
        <v>3396.0</v>
      </c>
      <c r="B3397" s="2" t="s">
        <v>4061</v>
      </c>
      <c r="C3397" s="2" t="s">
        <v>4062</v>
      </c>
      <c r="D3397" s="2">
        <v>1.25</v>
      </c>
      <c r="E3397" s="2">
        <v>142.0</v>
      </c>
      <c r="F3397" s="2">
        <v>183.68</v>
      </c>
      <c r="G3397" s="4">
        <f t="shared" si="3"/>
        <v>9453204.43</v>
      </c>
      <c r="H3397" s="4">
        <f t="shared" si="1"/>
        <v>0.9904432539</v>
      </c>
      <c r="I3397" s="4" t="str">
        <f t="shared" si="2"/>
        <v>C</v>
      </c>
    </row>
    <row r="3398">
      <c r="A3398" s="2">
        <v>3397.0</v>
      </c>
      <c r="B3398" s="2">
        <v>23575.0</v>
      </c>
      <c r="C3398" s="2" t="s">
        <v>4063</v>
      </c>
      <c r="D3398" s="2">
        <v>1.95</v>
      </c>
      <c r="E3398" s="2">
        <v>90.0</v>
      </c>
      <c r="F3398" s="2">
        <v>183.68</v>
      </c>
      <c r="G3398" s="4">
        <f t="shared" si="3"/>
        <v>9453388.11</v>
      </c>
      <c r="H3398" s="4">
        <f t="shared" si="1"/>
        <v>0.9904624986</v>
      </c>
      <c r="I3398" s="4" t="str">
        <f t="shared" si="2"/>
        <v>C</v>
      </c>
    </row>
    <row r="3399">
      <c r="A3399" s="2">
        <v>3398.0</v>
      </c>
      <c r="B3399" s="2" t="s">
        <v>4064</v>
      </c>
      <c r="C3399" s="2" t="s">
        <v>4065</v>
      </c>
      <c r="D3399" s="2">
        <v>1.25</v>
      </c>
      <c r="E3399" s="2">
        <v>133.0</v>
      </c>
      <c r="F3399" s="2">
        <v>183.4</v>
      </c>
      <c r="G3399" s="4">
        <f t="shared" si="3"/>
        <v>9453571.51</v>
      </c>
      <c r="H3399" s="4">
        <f t="shared" si="1"/>
        <v>0.990481714</v>
      </c>
      <c r="I3399" s="4" t="str">
        <f t="shared" si="2"/>
        <v>C</v>
      </c>
    </row>
    <row r="3400">
      <c r="A3400" s="2">
        <v>3399.0</v>
      </c>
      <c r="B3400" s="2" t="s">
        <v>4066</v>
      </c>
      <c r="C3400" s="2" t="s">
        <v>4067</v>
      </c>
      <c r="D3400" s="2">
        <v>1.27</v>
      </c>
      <c r="E3400" s="2">
        <v>144.0</v>
      </c>
      <c r="F3400" s="2">
        <v>182.88</v>
      </c>
      <c r="G3400" s="4">
        <f t="shared" si="3"/>
        <v>9453754.39</v>
      </c>
      <c r="H3400" s="4">
        <f t="shared" si="1"/>
        <v>0.990500875</v>
      </c>
      <c r="I3400" s="4" t="str">
        <f t="shared" si="2"/>
        <v>C</v>
      </c>
    </row>
    <row r="3401">
      <c r="A3401" s="2">
        <v>3400.0</v>
      </c>
      <c r="B3401" s="2" t="s">
        <v>4068</v>
      </c>
      <c r="C3401" s="2" t="s">
        <v>4069</v>
      </c>
      <c r="D3401" s="2">
        <v>0.84</v>
      </c>
      <c r="E3401" s="2">
        <v>386.0</v>
      </c>
      <c r="F3401" s="2">
        <v>182.68</v>
      </c>
      <c r="G3401" s="4">
        <f t="shared" si="3"/>
        <v>9453937.07</v>
      </c>
      <c r="H3401" s="4">
        <f t="shared" si="1"/>
        <v>0.990520015</v>
      </c>
      <c r="I3401" s="4" t="str">
        <f t="shared" si="2"/>
        <v>C</v>
      </c>
    </row>
    <row r="3402">
      <c r="A3402" s="2">
        <v>3401.0</v>
      </c>
      <c r="B3402" s="2">
        <v>35968.0</v>
      </c>
      <c r="C3402" s="2" t="s">
        <v>4070</v>
      </c>
      <c r="D3402" s="2">
        <v>0.38</v>
      </c>
      <c r="E3402" s="2">
        <v>380.0</v>
      </c>
      <c r="F3402" s="2">
        <v>181.67</v>
      </c>
      <c r="G3402" s="4">
        <f t="shared" si="3"/>
        <v>9454118.74</v>
      </c>
      <c r="H3402" s="4">
        <f t="shared" si="1"/>
        <v>0.9905390491</v>
      </c>
      <c r="I3402" s="4" t="str">
        <f t="shared" si="2"/>
        <v>C</v>
      </c>
    </row>
    <row r="3403">
      <c r="A3403" s="2">
        <v>3402.0</v>
      </c>
      <c r="B3403" s="2" t="s">
        <v>4071</v>
      </c>
      <c r="C3403" s="2" t="s">
        <v>4072</v>
      </c>
      <c r="D3403" s="2">
        <v>7.64</v>
      </c>
      <c r="E3403" s="2">
        <v>34.0</v>
      </c>
      <c r="F3403" s="2">
        <v>181.47</v>
      </c>
      <c r="G3403" s="4">
        <f t="shared" si="3"/>
        <v>9454300.21</v>
      </c>
      <c r="H3403" s="4">
        <f t="shared" si="1"/>
        <v>0.9905580623</v>
      </c>
      <c r="I3403" s="4" t="str">
        <f t="shared" si="2"/>
        <v>C</v>
      </c>
    </row>
    <row r="3404">
      <c r="A3404" s="2">
        <v>3403.0</v>
      </c>
      <c r="B3404" s="2">
        <v>23579.0</v>
      </c>
      <c r="C3404" s="2" t="s">
        <v>4073</v>
      </c>
      <c r="D3404" s="2">
        <v>1.95</v>
      </c>
      <c r="E3404" s="2">
        <v>86.0</v>
      </c>
      <c r="F3404" s="2">
        <v>181.32</v>
      </c>
      <c r="G3404" s="4">
        <f t="shared" si="3"/>
        <v>9454481.53</v>
      </c>
      <c r="H3404" s="4">
        <f t="shared" si="1"/>
        <v>0.9905770598</v>
      </c>
      <c r="I3404" s="4" t="str">
        <f t="shared" si="2"/>
        <v>C</v>
      </c>
    </row>
    <row r="3405">
      <c r="A3405" s="2">
        <v>3404.0</v>
      </c>
      <c r="B3405" s="2" t="s">
        <v>4074</v>
      </c>
      <c r="C3405" s="2" t="s">
        <v>4075</v>
      </c>
      <c r="D3405" s="2">
        <v>6.95</v>
      </c>
      <c r="E3405" s="2">
        <v>26.0</v>
      </c>
      <c r="F3405" s="2">
        <v>181.26</v>
      </c>
      <c r="G3405" s="4">
        <f t="shared" si="3"/>
        <v>9454662.79</v>
      </c>
      <c r="H3405" s="4">
        <f t="shared" si="1"/>
        <v>0.990596051</v>
      </c>
      <c r="I3405" s="4" t="str">
        <f t="shared" si="2"/>
        <v>C</v>
      </c>
    </row>
    <row r="3406">
      <c r="A3406" s="2">
        <v>3405.0</v>
      </c>
      <c r="B3406" s="2" t="s">
        <v>4076</v>
      </c>
      <c r="C3406" s="2" t="s">
        <v>4077</v>
      </c>
      <c r="D3406" s="2">
        <v>0.85</v>
      </c>
      <c r="E3406" s="2">
        <v>146.0</v>
      </c>
      <c r="F3406" s="2">
        <v>180.8</v>
      </c>
      <c r="G3406" s="4">
        <f t="shared" si="3"/>
        <v>9454843.59</v>
      </c>
      <c r="H3406" s="4">
        <f t="shared" si="1"/>
        <v>0.990614994</v>
      </c>
      <c r="I3406" s="4" t="str">
        <f t="shared" si="2"/>
        <v>C</v>
      </c>
    </row>
    <row r="3407">
      <c r="A3407" s="2">
        <v>3406.0</v>
      </c>
      <c r="B3407" s="2">
        <v>85094.0</v>
      </c>
      <c r="C3407" s="2" t="s">
        <v>4078</v>
      </c>
      <c r="D3407" s="2">
        <v>0.83</v>
      </c>
      <c r="E3407" s="2">
        <v>380.0</v>
      </c>
      <c r="F3407" s="2">
        <v>180.59</v>
      </c>
      <c r="G3407" s="4">
        <f t="shared" si="3"/>
        <v>9455024.18</v>
      </c>
      <c r="H3407" s="4">
        <f t="shared" si="1"/>
        <v>0.990633915</v>
      </c>
      <c r="I3407" s="4" t="str">
        <f t="shared" si="2"/>
        <v>C</v>
      </c>
    </row>
    <row r="3408">
      <c r="A3408" s="2">
        <v>3407.0</v>
      </c>
      <c r="B3408" s="2">
        <v>21946.0</v>
      </c>
      <c r="C3408" s="2" t="s">
        <v>4079</v>
      </c>
      <c r="D3408" s="2">
        <v>0.85</v>
      </c>
      <c r="E3408" s="2">
        <v>312.0</v>
      </c>
      <c r="F3408" s="2">
        <v>179.48</v>
      </c>
      <c r="G3408" s="4">
        <f t="shared" si="3"/>
        <v>9455203.66</v>
      </c>
      <c r="H3408" s="4">
        <f t="shared" si="1"/>
        <v>0.9906527197</v>
      </c>
      <c r="I3408" s="4" t="str">
        <f t="shared" si="2"/>
        <v>C</v>
      </c>
    </row>
    <row r="3409">
      <c r="A3409" s="2">
        <v>3408.0</v>
      </c>
      <c r="B3409" s="2" t="s">
        <v>4080</v>
      </c>
      <c r="C3409" s="2" t="s">
        <v>4081</v>
      </c>
      <c r="D3409" s="2">
        <v>0.85</v>
      </c>
      <c r="E3409" s="2">
        <v>186.0</v>
      </c>
      <c r="F3409" s="2">
        <v>179.46</v>
      </c>
      <c r="G3409" s="4">
        <f t="shared" si="3"/>
        <v>9455383.12</v>
      </c>
      <c r="H3409" s="4">
        <f t="shared" si="1"/>
        <v>0.9906715224</v>
      </c>
      <c r="I3409" s="4" t="str">
        <f t="shared" si="2"/>
        <v>C</v>
      </c>
    </row>
    <row r="3410">
      <c r="A3410" s="2">
        <v>3409.0</v>
      </c>
      <c r="B3410" s="2" t="s">
        <v>4082</v>
      </c>
      <c r="C3410" s="2" t="s">
        <v>4083</v>
      </c>
      <c r="D3410" s="2">
        <v>7.95</v>
      </c>
      <c r="E3410" s="2">
        <v>22.0</v>
      </c>
      <c r="F3410" s="2">
        <v>179.44</v>
      </c>
      <c r="G3410" s="4">
        <f t="shared" si="3"/>
        <v>9455562.56</v>
      </c>
      <c r="H3410" s="4">
        <f t="shared" si="1"/>
        <v>0.9906903229</v>
      </c>
      <c r="I3410" s="4" t="str">
        <f t="shared" si="2"/>
        <v>C</v>
      </c>
    </row>
    <row r="3411">
      <c r="A3411" s="2">
        <v>3410.0</v>
      </c>
      <c r="B3411" s="2">
        <v>78033.0</v>
      </c>
      <c r="C3411" s="2" t="s">
        <v>4084</v>
      </c>
      <c r="D3411" s="2">
        <v>5.95</v>
      </c>
      <c r="E3411" s="2">
        <v>37.0</v>
      </c>
      <c r="F3411" s="2">
        <v>179.35</v>
      </c>
      <c r="G3411" s="4">
        <f t="shared" si="3"/>
        <v>9455741.91</v>
      </c>
      <c r="H3411" s="4">
        <f t="shared" si="1"/>
        <v>0.990709114</v>
      </c>
      <c r="I3411" s="4" t="str">
        <f t="shared" si="2"/>
        <v>C</v>
      </c>
    </row>
    <row r="3412">
      <c r="A3412" s="2">
        <v>3411.0</v>
      </c>
      <c r="B3412" s="2" t="s">
        <v>4085</v>
      </c>
      <c r="C3412" s="2" t="s">
        <v>4086</v>
      </c>
      <c r="D3412" s="2">
        <v>3.75</v>
      </c>
      <c r="E3412" s="2">
        <v>51.0</v>
      </c>
      <c r="F3412" s="2">
        <v>179.12</v>
      </c>
      <c r="G3412" s="4">
        <f t="shared" si="3"/>
        <v>9455921.03</v>
      </c>
      <c r="H3412" s="4">
        <f t="shared" si="1"/>
        <v>0.990727881</v>
      </c>
      <c r="I3412" s="4" t="str">
        <f t="shared" si="2"/>
        <v>C</v>
      </c>
    </row>
    <row r="3413">
      <c r="A3413" s="2">
        <v>3412.0</v>
      </c>
      <c r="B3413" s="2" t="s">
        <v>4087</v>
      </c>
      <c r="C3413" s="2" t="s">
        <v>4088</v>
      </c>
      <c r="D3413" s="2">
        <v>1.25</v>
      </c>
      <c r="E3413" s="2">
        <v>145.0</v>
      </c>
      <c r="F3413" s="2">
        <v>179.04</v>
      </c>
      <c r="G3413" s="4">
        <f t="shared" si="3"/>
        <v>9456100.07</v>
      </c>
      <c r="H3413" s="4">
        <f t="shared" si="1"/>
        <v>0.9907466396</v>
      </c>
      <c r="I3413" s="4" t="str">
        <f t="shared" si="2"/>
        <v>C</v>
      </c>
    </row>
    <row r="3414">
      <c r="A3414" s="2">
        <v>3413.0</v>
      </c>
      <c r="B3414" s="2" t="s">
        <v>4089</v>
      </c>
      <c r="C3414" s="2" t="s">
        <v>4090</v>
      </c>
      <c r="D3414" s="2">
        <v>9.3</v>
      </c>
      <c r="E3414" s="2">
        <v>20.0</v>
      </c>
      <c r="F3414" s="2">
        <v>178.86</v>
      </c>
      <c r="G3414" s="4">
        <f t="shared" si="3"/>
        <v>9456278.93</v>
      </c>
      <c r="H3414" s="4">
        <f t="shared" si="1"/>
        <v>0.9907653793</v>
      </c>
      <c r="I3414" s="4" t="str">
        <f t="shared" si="2"/>
        <v>C</v>
      </c>
    </row>
    <row r="3415">
      <c r="A3415" s="2">
        <v>3414.0</v>
      </c>
      <c r="B3415" s="2" t="s">
        <v>4091</v>
      </c>
      <c r="C3415" s="2" t="s">
        <v>4092</v>
      </c>
      <c r="D3415" s="2">
        <v>1.69</v>
      </c>
      <c r="E3415" s="2">
        <v>125.0</v>
      </c>
      <c r="F3415" s="2">
        <v>178.61</v>
      </c>
      <c r="G3415" s="4">
        <f t="shared" si="3"/>
        <v>9456457.54</v>
      </c>
      <c r="H3415" s="4">
        <f t="shared" si="1"/>
        <v>0.9907840929</v>
      </c>
      <c r="I3415" s="4" t="str">
        <f t="shared" si="2"/>
        <v>C</v>
      </c>
    </row>
    <row r="3416">
      <c r="A3416" s="2">
        <v>3415.0</v>
      </c>
      <c r="B3416" s="2">
        <v>84680.0</v>
      </c>
      <c r="C3416" s="2" t="s">
        <v>4093</v>
      </c>
      <c r="D3416" s="2">
        <v>7.95</v>
      </c>
      <c r="E3416" s="2">
        <v>46.0</v>
      </c>
      <c r="F3416" s="2">
        <v>178.2</v>
      </c>
      <c r="G3416" s="4">
        <f t="shared" si="3"/>
        <v>9456635.74</v>
      </c>
      <c r="H3416" s="4">
        <f t="shared" si="1"/>
        <v>0.9908027635</v>
      </c>
      <c r="I3416" s="4" t="str">
        <f t="shared" si="2"/>
        <v>C</v>
      </c>
    </row>
    <row r="3417">
      <c r="A3417" s="2">
        <v>3416.0</v>
      </c>
      <c r="B3417" s="2">
        <v>20799.0</v>
      </c>
      <c r="C3417" s="2" t="s">
        <v>4094</v>
      </c>
      <c r="D3417" s="2">
        <v>3.16</v>
      </c>
      <c r="E3417" s="2">
        <v>100.0</v>
      </c>
      <c r="F3417" s="2">
        <v>177.66</v>
      </c>
      <c r="G3417" s="4">
        <f t="shared" si="3"/>
        <v>9456813.4</v>
      </c>
      <c r="H3417" s="4">
        <f t="shared" si="1"/>
        <v>0.9908213775</v>
      </c>
      <c r="I3417" s="4" t="str">
        <f t="shared" si="2"/>
        <v>C</v>
      </c>
    </row>
    <row r="3418">
      <c r="A3418" s="2">
        <v>3417.0</v>
      </c>
      <c r="B3418" s="2">
        <v>72487.0</v>
      </c>
      <c r="C3418" s="2" t="s">
        <v>4095</v>
      </c>
      <c r="D3418" s="2">
        <v>1.49</v>
      </c>
      <c r="E3418" s="2">
        <v>414.0</v>
      </c>
      <c r="F3418" s="2">
        <v>177.52</v>
      </c>
      <c r="G3418" s="4">
        <f t="shared" si="3"/>
        <v>9456990.92</v>
      </c>
      <c r="H3418" s="4">
        <f t="shared" si="1"/>
        <v>0.9908399768</v>
      </c>
      <c r="I3418" s="4" t="str">
        <f t="shared" si="2"/>
        <v>C</v>
      </c>
    </row>
    <row r="3419">
      <c r="A3419" s="2">
        <v>3418.0</v>
      </c>
      <c r="B3419" s="2" t="s">
        <v>4096</v>
      </c>
      <c r="C3419" s="2" t="s">
        <v>4097</v>
      </c>
      <c r="D3419" s="2">
        <v>5.4</v>
      </c>
      <c r="E3419" s="2">
        <v>34.0</v>
      </c>
      <c r="F3419" s="2">
        <v>177.3</v>
      </c>
      <c r="G3419" s="4">
        <f t="shared" si="3"/>
        <v>9457168.22</v>
      </c>
      <c r="H3419" s="4">
        <f t="shared" si="1"/>
        <v>0.9908585531</v>
      </c>
      <c r="I3419" s="4" t="str">
        <f t="shared" si="2"/>
        <v>C</v>
      </c>
    </row>
    <row r="3420">
      <c r="A3420" s="2">
        <v>3419.0</v>
      </c>
      <c r="B3420" s="2">
        <v>16216.0</v>
      </c>
      <c r="C3420" s="2" t="s">
        <v>4098</v>
      </c>
      <c r="D3420" s="2">
        <v>0.16</v>
      </c>
      <c r="E3420" s="2">
        <v>2024.0</v>
      </c>
      <c r="F3420" s="2">
        <v>177.02</v>
      </c>
      <c r="G3420" s="4">
        <f t="shared" si="3"/>
        <v>9457345.24</v>
      </c>
      <c r="H3420" s="4">
        <f t="shared" si="1"/>
        <v>0.9908771001</v>
      </c>
      <c r="I3420" s="4" t="str">
        <f t="shared" si="2"/>
        <v>C</v>
      </c>
    </row>
    <row r="3421">
      <c r="A3421" s="2">
        <v>3420.0</v>
      </c>
      <c r="B3421" s="2" t="s">
        <v>4099</v>
      </c>
      <c r="C3421" s="2" t="s">
        <v>4100</v>
      </c>
      <c r="D3421" s="2">
        <v>6.35</v>
      </c>
      <c r="E3421" s="2">
        <v>28.0</v>
      </c>
      <c r="F3421" s="2">
        <v>176.86</v>
      </c>
      <c r="G3421" s="4">
        <f t="shared" si="3"/>
        <v>9457522.1</v>
      </c>
      <c r="H3421" s="4">
        <f t="shared" si="1"/>
        <v>0.9908956303</v>
      </c>
      <c r="I3421" s="4" t="str">
        <f t="shared" si="2"/>
        <v>C</v>
      </c>
    </row>
    <row r="3422">
      <c r="A3422" s="2">
        <v>3421.0</v>
      </c>
      <c r="B3422" s="2" t="s">
        <v>4101</v>
      </c>
      <c r="C3422" s="2" t="s">
        <v>4102</v>
      </c>
      <c r="D3422" s="2">
        <v>4.15</v>
      </c>
      <c r="E3422" s="2">
        <v>44.0</v>
      </c>
      <c r="F3422" s="2">
        <v>176.78</v>
      </c>
      <c r="G3422" s="4">
        <f t="shared" si="3"/>
        <v>9457698.88</v>
      </c>
      <c r="H3422" s="4">
        <f t="shared" si="1"/>
        <v>0.9909141521</v>
      </c>
      <c r="I3422" s="4" t="str">
        <f t="shared" si="2"/>
        <v>C</v>
      </c>
    </row>
    <row r="3423">
      <c r="A3423" s="2">
        <v>3422.0</v>
      </c>
      <c r="B3423" s="2">
        <v>23420.0</v>
      </c>
      <c r="C3423" s="2" t="s">
        <v>4103</v>
      </c>
      <c r="D3423" s="2">
        <v>2.08</v>
      </c>
      <c r="E3423" s="2">
        <v>82.0</v>
      </c>
      <c r="F3423" s="2">
        <v>176.72</v>
      </c>
      <c r="G3423" s="4">
        <f t="shared" si="3"/>
        <v>9457875.6</v>
      </c>
      <c r="H3423" s="4">
        <f t="shared" si="1"/>
        <v>0.9909326677</v>
      </c>
      <c r="I3423" s="4" t="str">
        <f t="shared" si="2"/>
        <v>C</v>
      </c>
    </row>
    <row r="3424">
      <c r="A3424" s="2">
        <v>3423.0</v>
      </c>
      <c r="B3424" s="2">
        <v>20950.0</v>
      </c>
      <c r="C3424" s="2" t="s">
        <v>4104</v>
      </c>
      <c r="D3424" s="2">
        <v>0.42</v>
      </c>
      <c r="E3424" s="2">
        <v>344.0</v>
      </c>
      <c r="F3424" s="2">
        <v>176.7</v>
      </c>
      <c r="G3424" s="4">
        <f t="shared" si="3"/>
        <v>9458052.3</v>
      </c>
      <c r="H3424" s="4">
        <f t="shared" si="1"/>
        <v>0.9909511811</v>
      </c>
      <c r="I3424" s="4" t="str">
        <f t="shared" si="2"/>
        <v>C</v>
      </c>
    </row>
    <row r="3425">
      <c r="A3425" s="2">
        <v>3424.0</v>
      </c>
      <c r="B3425" s="2">
        <v>23421.0</v>
      </c>
      <c r="C3425" s="2" t="s">
        <v>4105</v>
      </c>
      <c r="D3425" s="2">
        <v>2.08</v>
      </c>
      <c r="E3425" s="2">
        <v>81.0</v>
      </c>
      <c r="F3425" s="2">
        <v>176.68</v>
      </c>
      <c r="G3425" s="4">
        <f t="shared" si="3"/>
        <v>9458228.98</v>
      </c>
      <c r="H3425" s="4">
        <f t="shared" si="1"/>
        <v>0.9909696925</v>
      </c>
      <c r="I3425" s="4" t="str">
        <f t="shared" si="2"/>
        <v>C</v>
      </c>
    </row>
    <row r="3426">
      <c r="A3426" s="2">
        <v>3425.0</v>
      </c>
      <c r="B3426" s="2" t="s">
        <v>4106</v>
      </c>
      <c r="C3426" s="2" t="s">
        <v>4107</v>
      </c>
      <c r="D3426" s="2">
        <v>1.69</v>
      </c>
      <c r="E3426" s="2">
        <v>104.0</v>
      </c>
      <c r="F3426" s="2">
        <v>176.6</v>
      </c>
      <c r="G3426" s="4">
        <f t="shared" si="3"/>
        <v>9458405.58</v>
      </c>
      <c r="H3426" s="4">
        <f t="shared" si="1"/>
        <v>0.9909881954</v>
      </c>
      <c r="I3426" s="4" t="str">
        <f t="shared" si="2"/>
        <v>C</v>
      </c>
    </row>
    <row r="3427">
      <c r="A3427" s="2">
        <v>3426.0</v>
      </c>
      <c r="B3427" s="2" t="s">
        <v>4108</v>
      </c>
      <c r="C3427" s="2" t="s">
        <v>4109</v>
      </c>
      <c r="D3427" s="2">
        <v>2.1</v>
      </c>
      <c r="E3427" s="2">
        <v>82.0</v>
      </c>
      <c r="F3427" s="2">
        <v>176.38</v>
      </c>
      <c r="G3427" s="4">
        <f t="shared" si="3"/>
        <v>9458581.96</v>
      </c>
      <c r="H3427" s="4">
        <f t="shared" si="1"/>
        <v>0.9910066753</v>
      </c>
      <c r="I3427" s="4" t="str">
        <f t="shared" si="2"/>
        <v>C</v>
      </c>
    </row>
    <row r="3428">
      <c r="A3428" s="2">
        <v>3427.0</v>
      </c>
      <c r="B3428" s="2" t="s">
        <v>4110</v>
      </c>
      <c r="C3428" s="2" t="s">
        <v>4111</v>
      </c>
      <c r="D3428" s="2">
        <v>1.45</v>
      </c>
      <c r="E3428" s="2">
        <v>122.0</v>
      </c>
      <c r="F3428" s="2">
        <v>176.18</v>
      </c>
      <c r="G3428" s="4">
        <f t="shared" si="3"/>
        <v>9458758.14</v>
      </c>
      <c r="H3428" s="4">
        <f t="shared" si="1"/>
        <v>0.9910251343</v>
      </c>
      <c r="I3428" s="4" t="str">
        <f t="shared" si="2"/>
        <v>C</v>
      </c>
    </row>
    <row r="3429">
      <c r="A3429" s="2">
        <v>3428.0</v>
      </c>
      <c r="B3429" s="2" t="s">
        <v>4112</v>
      </c>
      <c r="C3429" s="2" t="s">
        <v>4113</v>
      </c>
      <c r="D3429" s="2">
        <v>0.42</v>
      </c>
      <c r="E3429" s="2">
        <v>380.0</v>
      </c>
      <c r="F3429" s="2">
        <v>175.82</v>
      </c>
      <c r="G3429" s="4">
        <f t="shared" si="3"/>
        <v>9458933.96</v>
      </c>
      <c r="H3429" s="4">
        <f t="shared" si="1"/>
        <v>0.9910435555</v>
      </c>
      <c r="I3429" s="4" t="str">
        <f t="shared" si="2"/>
        <v>C</v>
      </c>
    </row>
    <row r="3430">
      <c r="A3430" s="2">
        <v>3429.0</v>
      </c>
      <c r="B3430" s="2" t="s">
        <v>4114</v>
      </c>
      <c r="C3430" s="2" t="s">
        <v>4115</v>
      </c>
      <c r="D3430" s="2">
        <v>2.1</v>
      </c>
      <c r="E3430" s="2">
        <v>148.0</v>
      </c>
      <c r="F3430" s="2">
        <v>175.8</v>
      </c>
      <c r="G3430" s="4">
        <f t="shared" si="3"/>
        <v>9459109.76</v>
      </c>
      <c r="H3430" s="4">
        <f t="shared" si="1"/>
        <v>0.9910619747</v>
      </c>
      <c r="I3430" s="4" t="str">
        <f t="shared" si="2"/>
        <v>C</v>
      </c>
    </row>
    <row r="3431">
      <c r="A3431" s="2">
        <v>3430.0</v>
      </c>
      <c r="B3431" s="2" t="s">
        <v>4116</v>
      </c>
      <c r="C3431" s="2" t="s">
        <v>4117</v>
      </c>
      <c r="D3431" s="2">
        <v>4.98</v>
      </c>
      <c r="E3431" s="2">
        <v>35.0</v>
      </c>
      <c r="F3431" s="2">
        <v>174.98</v>
      </c>
      <c r="G3431" s="4">
        <f t="shared" si="3"/>
        <v>9459284.74</v>
      </c>
      <c r="H3431" s="4">
        <f t="shared" si="1"/>
        <v>0.9910803079</v>
      </c>
      <c r="I3431" s="4" t="str">
        <f t="shared" si="2"/>
        <v>C</v>
      </c>
    </row>
    <row r="3432">
      <c r="A3432" s="2">
        <v>3431.0</v>
      </c>
      <c r="B3432" s="2">
        <v>21038.0</v>
      </c>
      <c r="C3432" s="2" t="s">
        <v>4118</v>
      </c>
      <c r="D3432" s="2">
        <v>2.95</v>
      </c>
      <c r="E3432" s="2">
        <v>82.0</v>
      </c>
      <c r="F3432" s="2">
        <v>174.79</v>
      </c>
      <c r="G3432" s="4">
        <f t="shared" si="3"/>
        <v>9459459.53</v>
      </c>
      <c r="H3432" s="4">
        <f t="shared" si="1"/>
        <v>0.9910986212</v>
      </c>
      <c r="I3432" s="4" t="str">
        <f t="shared" si="2"/>
        <v>C</v>
      </c>
    </row>
    <row r="3433">
      <c r="A3433" s="2">
        <v>3432.0</v>
      </c>
      <c r="B3433" s="2" t="s">
        <v>4119</v>
      </c>
      <c r="C3433" s="2" t="s">
        <v>4120</v>
      </c>
      <c r="D3433" s="2">
        <v>3.75</v>
      </c>
      <c r="E3433" s="2">
        <v>46.0</v>
      </c>
      <c r="F3433" s="2">
        <v>174.4</v>
      </c>
      <c r="G3433" s="4">
        <f t="shared" si="3"/>
        <v>9459633.93</v>
      </c>
      <c r="H3433" s="4">
        <f t="shared" si="1"/>
        <v>0.9911168937</v>
      </c>
      <c r="I3433" s="4" t="str">
        <f t="shared" si="2"/>
        <v>C</v>
      </c>
    </row>
    <row r="3434">
      <c r="A3434" s="2">
        <v>3433.0</v>
      </c>
      <c r="B3434" s="2">
        <v>84770.0</v>
      </c>
      <c r="C3434" s="2" t="s">
        <v>4121</v>
      </c>
      <c r="D3434" s="2">
        <v>2.95</v>
      </c>
      <c r="E3434" s="2">
        <v>56.0</v>
      </c>
      <c r="F3434" s="2">
        <v>174.23</v>
      </c>
      <c r="G3434" s="4">
        <f t="shared" si="3"/>
        <v>9459808.16</v>
      </c>
      <c r="H3434" s="4">
        <f t="shared" si="1"/>
        <v>0.9911351483</v>
      </c>
      <c r="I3434" s="4" t="str">
        <f t="shared" si="2"/>
        <v>C</v>
      </c>
    </row>
    <row r="3435">
      <c r="A3435" s="2">
        <v>3434.0</v>
      </c>
      <c r="B3435" s="2" t="s">
        <v>4122</v>
      </c>
      <c r="C3435" s="2" t="s">
        <v>4123</v>
      </c>
      <c r="D3435" s="2">
        <v>0.42</v>
      </c>
      <c r="E3435" s="2">
        <v>412.0</v>
      </c>
      <c r="F3435" s="2">
        <v>173.65</v>
      </c>
      <c r="G3435" s="4">
        <f t="shared" si="3"/>
        <v>9459981.81</v>
      </c>
      <c r="H3435" s="4">
        <f t="shared" si="1"/>
        <v>0.9911533422</v>
      </c>
      <c r="I3435" s="4" t="str">
        <f t="shared" si="2"/>
        <v>C</v>
      </c>
    </row>
    <row r="3436">
      <c r="A3436" s="2">
        <v>3435.0</v>
      </c>
      <c r="B3436" s="2" t="s">
        <v>4124</v>
      </c>
      <c r="C3436" s="2" t="s">
        <v>4125</v>
      </c>
      <c r="D3436" s="2">
        <v>0.65</v>
      </c>
      <c r="E3436" s="2">
        <v>304.0</v>
      </c>
      <c r="F3436" s="2">
        <v>173.46</v>
      </c>
      <c r="G3436" s="4">
        <f t="shared" si="3"/>
        <v>9460155.27</v>
      </c>
      <c r="H3436" s="4">
        <f t="shared" si="1"/>
        <v>0.9911715162</v>
      </c>
      <c r="I3436" s="4" t="str">
        <f t="shared" si="2"/>
        <v>C</v>
      </c>
    </row>
    <row r="3437">
      <c r="A3437" s="2">
        <v>3436.0</v>
      </c>
      <c r="B3437" s="2" t="s">
        <v>4126</v>
      </c>
      <c r="C3437" s="2" t="s">
        <v>4127</v>
      </c>
      <c r="D3437" s="2">
        <v>2.1</v>
      </c>
      <c r="E3437" s="2">
        <v>107.0</v>
      </c>
      <c r="F3437" s="2">
        <v>172.5</v>
      </c>
      <c r="G3437" s="4">
        <f t="shared" si="3"/>
        <v>9460327.77</v>
      </c>
      <c r="H3437" s="4">
        <f t="shared" si="1"/>
        <v>0.9911895896</v>
      </c>
      <c r="I3437" s="4" t="str">
        <f t="shared" si="2"/>
        <v>C</v>
      </c>
    </row>
    <row r="3438">
      <c r="A3438" s="2">
        <v>3437.0</v>
      </c>
      <c r="B3438" s="2">
        <v>20666.0</v>
      </c>
      <c r="C3438" s="2" t="s">
        <v>4128</v>
      </c>
      <c r="D3438" s="2">
        <v>2.51</v>
      </c>
      <c r="E3438" s="2">
        <v>256.0</v>
      </c>
      <c r="F3438" s="2">
        <v>172.22</v>
      </c>
      <c r="G3438" s="4">
        <f t="shared" si="3"/>
        <v>9460499.99</v>
      </c>
      <c r="H3438" s="4">
        <f t="shared" si="1"/>
        <v>0.9912076336</v>
      </c>
      <c r="I3438" s="4" t="str">
        <f t="shared" si="2"/>
        <v>C</v>
      </c>
    </row>
    <row r="3439">
      <c r="A3439" s="2">
        <v>3438.0</v>
      </c>
      <c r="B3439" s="2">
        <v>85109.0</v>
      </c>
      <c r="C3439" s="2" t="s">
        <v>4129</v>
      </c>
      <c r="D3439" s="2">
        <v>0.85</v>
      </c>
      <c r="E3439" s="2">
        <v>1170.0</v>
      </c>
      <c r="F3439" s="2">
        <v>172.2</v>
      </c>
      <c r="G3439" s="4">
        <f t="shared" si="3"/>
        <v>9460672.19</v>
      </c>
      <c r="H3439" s="4">
        <f t="shared" si="1"/>
        <v>0.9912256756</v>
      </c>
      <c r="I3439" s="4" t="str">
        <f t="shared" si="2"/>
        <v>C</v>
      </c>
    </row>
    <row r="3440">
      <c r="A3440" s="2">
        <v>3439.0</v>
      </c>
      <c r="B3440" s="2" t="s">
        <v>4130</v>
      </c>
      <c r="C3440" s="2" t="s">
        <v>379</v>
      </c>
      <c r="D3440" s="2">
        <v>12.72</v>
      </c>
      <c r="E3440" s="2">
        <v>14.0</v>
      </c>
      <c r="F3440" s="2">
        <v>171.86</v>
      </c>
      <c r="G3440" s="4">
        <f t="shared" si="3"/>
        <v>9460844.05</v>
      </c>
      <c r="H3440" s="4">
        <f t="shared" si="1"/>
        <v>0.9912436819</v>
      </c>
      <c r="I3440" s="4" t="str">
        <f t="shared" si="2"/>
        <v>C</v>
      </c>
    </row>
    <row r="3441">
      <c r="A3441" s="2">
        <v>3440.0</v>
      </c>
      <c r="B3441" s="2" t="s">
        <v>4131</v>
      </c>
      <c r="C3441" s="2" t="s">
        <v>4132</v>
      </c>
      <c r="D3441" s="2">
        <v>9.95</v>
      </c>
      <c r="E3441" s="2">
        <v>18.0</v>
      </c>
      <c r="F3441" s="2">
        <v>171.83</v>
      </c>
      <c r="G3441" s="4">
        <f t="shared" si="3"/>
        <v>9461015.88</v>
      </c>
      <c r="H3441" s="4">
        <f t="shared" si="1"/>
        <v>0.9912616851</v>
      </c>
      <c r="I3441" s="4" t="str">
        <f t="shared" si="2"/>
        <v>C</v>
      </c>
    </row>
    <row r="3442">
      <c r="A3442" s="2">
        <v>3441.0</v>
      </c>
      <c r="B3442" s="2" t="s">
        <v>4133</v>
      </c>
      <c r="C3442" s="2" t="s">
        <v>4134</v>
      </c>
      <c r="D3442" s="2">
        <v>1.25</v>
      </c>
      <c r="E3442" s="2">
        <v>93.0</v>
      </c>
      <c r="F3442" s="2">
        <v>171.71</v>
      </c>
      <c r="G3442" s="4">
        <f t="shared" si="3"/>
        <v>9461187.59</v>
      </c>
      <c r="H3442" s="4">
        <f t="shared" si="1"/>
        <v>0.9912796757</v>
      </c>
      <c r="I3442" s="4" t="str">
        <f t="shared" si="2"/>
        <v>C</v>
      </c>
    </row>
    <row r="3443">
      <c r="A3443" s="2">
        <v>3442.0</v>
      </c>
      <c r="B3443" s="2">
        <v>84881.0</v>
      </c>
      <c r="C3443" s="2" t="s">
        <v>4135</v>
      </c>
      <c r="D3443" s="2">
        <v>6.35</v>
      </c>
      <c r="E3443" s="2">
        <v>26.0</v>
      </c>
      <c r="F3443" s="2">
        <v>171.47</v>
      </c>
      <c r="G3443" s="4">
        <f t="shared" si="3"/>
        <v>9461359.06</v>
      </c>
      <c r="H3443" s="4">
        <f t="shared" si="1"/>
        <v>0.9912976412</v>
      </c>
      <c r="I3443" s="4" t="str">
        <f t="shared" si="2"/>
        <v>C</v>
      </c>
    </row>
    <row r="3444">
      <c r="A3444" s="2">
        <v>3443.0</v>
      </c>
      <c r="B3444" s="2">
        <v>20940.0</v>
      </c>
      <c r="C3444" s="2" t="s">
        <v>4136</v>
      </c>
      <c r="D3444" s="2">
        <v>2.95</v>
      </c>
      <c r="E3444" s="2">
        <v>59.0</v>
      </c>
      <c r="F3444" s="2">
        <v>171.38</v>
      </c>
      <c r="G3444" s="4">
        <f t="shared" si="3"/>
        <v>9461530.44</v>
      </c>
      <c r="H3444" s="4">
        <f t="shared" si="1"/>
        <v>0.9913155973</v>
      </c>
      <c r="I3444" s="4" t="str">
        <f t="shared" si="2"/>
        <v>C</v>
      </c>
    </row>
    <row r="3445">
      <c r="A3445" s="2">
        <v>3444.0</v>
      </c>
      <c r="B3445" s="2">
        <v>90191.0</v>
      </c>
      <c r="C3445" s="2" t="s">
        <v>4137</v>
      </c>
      <c r="D3445" s="2">
        <v>12.75</v>
      </c>
      <c r="E3445" s="2">
        <v>20.0</v>
      </c>
      <c r="F3445" s="2">
        <v>171.3</v>
      </c>
      <c r="G3445" s="4">
        <f t="shared" si="3"/>
        <v>9461701.74</v>
      </c>
      <c r="H3445" s="4">
        <f t="shared" si="1"/>
        <v>0.9913335449</v>
      </c>
      <c r="I3445" s="4" t="str">
        <f t="shared" si="2"/>
        <v>C</v>
      </c>
    </row>
    <row r="3446">
      <c r="A3446" s="2">
        <v>3445.0</v>
      </c>
      <c r="B3446" s="2">
        <v>22039.0</v>
      </c>
      <c r="C3446" s="2" t="s">
        <v>4138</v>
      </c>
      <c r="D3446" s="2">
        <v>0.42</v>
      </c>
      <c r="E3446" s="2">
        <v>412.0</v>
      </c>
      <c r="F3446" s="2">
        <v>171.25</v>
      </c>
      <c r="G3446" s="4">
        <f t="shared" si="3"/>
        <v>9461872.99</v>
      </c>
      <c r="H3446" s="4">
        <f t="shared" si="1"/>
        <v>0.9913514873</v>
      </c>
      <c r="I3446" s="4" t="str">
        <f t="shared" si="2"/>
        <v>C</v>
      </c>
    </row>
    <row r="3447">
      <c r="A3447" s="2">
        <v>3446.0</v>
      </c>
      <c r="B3447" s="2">
        <v>21306.0</v>
      </c>
      <c r="C3447" s="2" t="s">
        <v>4139</v>
      </c>
      <c r="D3447" s="2">
        <v>0.38</v>
      </c>
      <c r="E3447" s="2">
        <v>340.0</v>
      </c>
      <c r="F3447" s="2">
        <v>170.5</v>
      </c>
      <c r="G3447" s="4">
        <f t="shared" si="3"/>
        <v>9462043.49</v>
      </c>
      <c r="H3447" s="4">
        <f t="shared" si="1"/>
        <v>0.9913693512</v>
      </c>
      <c r="I3447" s="4" t="str">
        <f t="shared" si="2"/>
        <v>C</v>
      </c>
    </row>
    <row r="3448">
      <c r="A3448" s="2">
        <v>3447.0</v>
      </c>
      <c r="B3448" s="2">
        <v>72811.0</v>
      </c>
      <c r="C3448" s="2" t="s">
        <v>4140</v>
      </c>
      <c r="D3448" s="2">
        <v>1.49</v>
      </c>
      <c r="E3448" s="2">
        <v>222.0</v>
      </c>
      <c r="F3448" s="2">
        <v>170.22</v>
      </c>
      <c r="G3448" s="4">
        <f t="shared" si="3"/>
        <v>9462213.71</v>
      </c>
      <c r="H3448" s="4">
        <f t="shared" si="1"/>
        <v>0.9913871857</v>
      </c>
      <c r="I3448" s="4" t="str">
        <f t="shared" si="2"/>
        <v>C</v>
      </c>
    </row>
    <row r="3449">
      <c r="A3449" s="2">
        <v>3448.0</v>
      </c>
      <c r="B3449" s="2" t="s">
        <v>4141</v>
      </c>
      <c r="C3449" s="2" t="s">
        <v>4142</v>
      </c>
      <c r="D3449" s="2">
        <v>1.25</v>
      </c>
      <c r="E3449" s="2">
        <v>136.0</v>
      </c>
      <c r="F3449" s="2">
        <v>170.0</v>
      </c>
      <c r="G3449" s="4">
        <f t="shared" si="3"/>
        <v>9462383.71</v>
      </c>
      <c r="H3449" s="4">
        <f t="shared" si="1"/>
        <v>0.9914049971</v>
      </c>
      <c r="I3449" s="4" t="str">
        <f t="shared" si="2"/>
        <v>C</v>
      </c>
    </row>
    <row r="3450">
      <c r="A3450" s="2">
        <v>3449.0</v>
      </c>
      <c r="B3450" s="2" t="s">
        <v>4143</v>
      </c>
      <c r="C3450" s="2" t="s">
        <v>4144</v>
      </c>
      <c r="D3450" s="2">
        <v>5.91</v>
      </c>
      <c r="E3450" s="2">
        <v>54.0</v>
      </c>
      <c r="F3450" s="2">
        <v>169.78</v>
      </c>
      <c r="G3450" s="4">
        <f t="shared" si="3"/>
        <v>9462553.49</v>
      </c>
      <c r="H3450" s="4">
        <f t="shared" si="1"/>
        <v>0.9914227856</v>
      </c>
      <c r="I3450" s="4" t="str">
        <f t="shared" si="2"/>
        <v>C</v>
      </c>
    </row>
    <row r="3451">
      <c r="A3451" s="2">
        <v>3450.0</v>
      </c>
      <c r="B3451" s="2" t="s">
        <v>4145</v>
      </c>
      <c r="C3451" s="2" t="s">
        <v>4146</v>
      </c>
      <c r="D3451" s="2">
        <v>2.55</v>
      </c>
      <c r="E3451" s="2">
        <v>90.0</v>
      </c>
      <c r="F3451" s="2">
        <v>169.64</v>
      </c>
      <c r="G3451" s="4">
        <f t="shared" si="3"/>
        <v>9462723.13</v>
      </c>
      <c r="H3451" s="4">
        <f t="shared" si="1"/>
        <v>0.9914405593</v>
      </c>
      <c r="I3451" s="4" t="str">
        <f t="shared" si="2"/>
        <v>C</v>
      </c>
    </row>
    <row r="3452">
      <c r="A3452" s="2">
        <v>3451.0</v>
      </c>
      <c r="B3452" s="2">
        <v>21420.0</v>
      </c>
      <c r="C3452" s="2" t="s">
        <v>4147</v>
      </c>
      <c r="D3452" s="2">
        <v>3.25</v>
      </c>
      <c r="E3452" s="2">
        <v>61.0</v>
      </c>
      <c r="F3452" s="2">
        <v>169.33</v>
      </c>
      <c r="G3452" s="4">
        <f t="shared" si="3"/>
        <v>9462892.46</v>
      </c>
      <c r="H3452" s="4">
        <f t="shared" si="1"/>
        <v>0.9914583006</v>
      </c>
      <c r="I3452" s="4" t="str">
        <f t="shared" si="2"/>
        <v>C</v>
      </c>
    </row>
    <row r="3453">
      <c r="A3453" s="2">
        <v>3452.0</v>
      </c>
      <c r="B3453" s="2">
        <v>35914.0</v>
      </c>
      <c r="C3453" s="2" t="s">
        <v>4148</v>
      </c>
      <c r="D3453" s="2">
        <v>0.85</v>
      </c>
      <c r="E3453" s="2">
        <v>122.0</v>
      </c>
      <c r="F3453" s="2">
        <v>168.72</v>
      </c>
      <c r="G3453" s="4">
        <f t="shared" si="3"/>
        <v>9463061.18</v>
      </c>
      <c r="H3453" s="4">
        <f t="shared" si="1"/>
        <v>0.9914759779</v>
      </c>
      <c r="I3453" s="4" t="str">
        <f t="shared" si="2"/>
        <v>C</v>
      </c>
    </row>
    <row r="3454">
      <c r="A3454" s="2">
        <v>3453.0</v>
      </c>
      <c r="B3454" s="2">
        <v>84576.0</v>
      </c>
      <c r="C3454" s="2" t="s">
        <v>4149</v>
      </c>
      <c r="D3454" s="2">
        <v>4.13</v>
      </c>
      <c r="E3454" s="2">
        <v>48.0</v>
      </c>
      <c r="F3454" s="2">
        <v>168.52</v>
      </c>
      <c r="G3454" s="4">
        <f t="shared" si="3"/>
        <v>9463229.7</v>
      </c>
      <c r="H3454" s="4">
        <f t="shared" si="1"/>
        <v>0.9914936343</v>
      </c>
      <c r="I3454" s="4" t="str">
        <f t="shared" si="2"/>
        <v>C</v>
      </c>
    </row>
    <row r="3455">
      <c r="A3455" s="2">
        <v>3454.0</v>
      </c>
      <c r="B3455" s="2" t="s">
        <v>4150</v>
      </c>
      <c r="C3455" s="2" t="s">
        <v>4151</v>
      </c>
      <c r="D3455" s="2">
        <v>2.1</v>
      </c>
      <c r="E3455" s="2">
        <v>192.0</v>
      </c>
      <c r="F3455" s="2">
        <v>168.1</v>
      </c>
      <c r="G3455" s="4">
        <f t="shared" si="3"/>
        <v>9463397.8</v>
      </c>
      <c r="H3455" s="4">
        <f t="shared" si="1"/>
        <v>0.9915112467</v>
      </c>
      <c r="I3455" s="4" t="str">
        <f t="shared" si="2"/>
        <v>C</v>
      </c>
    </row>
    <row r="3456">
      <c r="A3456" s="2">
        <v>3455.0</v>
      </c>
      <c r="B3456" s="2">
        <v>22889.0</v>
      </c>
      <c r="C3456" s="2" t="s">
        <v>4152</v>
      </c>
      <c r="D3456" s="2">
        <v>4.13</v>
      </c>
      <c r="E3456" s="2">
        <v>100.0</v>
      </c>
      <c r="F3456" s="2">
        <v>167.76</v>
      </c>
      <c r="G3456" s="4">
        <f t="shared" si="3"/>
        <v>9463565.56</v>
      </c>
      <c r="H3456" s="4">
        <f t="shared" si="1"/>
        <v>0.9915288235</v>
      </c>
      <c r="I3456" s="4" t="str">
        <f t="shared" si="2"/>
        <v>C</v>
      </c>
    </row>
    <row r="3457">
      <c r="A3457" s="2">
        <v>3456.0</v>
      </c>
      <c r="B3457" s="2" t="s">
        <v>4153</v>
      </c>
      <c r="C3457" s="2" t="s">
        <v>4154</v>
      </c>
      <c r="D3457" s="2">
        <v>11.95</v>
      </c>
      <c r="E3457" s="2">
        <v>14.0</v>
      </c>
      <c r="F3457" s="2">
        <v>167.18</v>
      </c>
      <c r="G3457" s="4">
        <f t="shared" si="3"/>
        <v>9463732.74</v>
      </c>
      <c r="H3457" s="4">
        <f t="shared" si="1"/>
        <v>0.9915463395</v>
      </c>
      <c r="I3457" s="4" t="str">
        <f t="shared" si="2"/>
        <v>C</v>
      </c>
    </row>
    <row r="3458">
      <c r="A3458" s="2">
        <v>3457.0</v>
      </c>
      <c r="B3458" s="2">
        <v>20847.0</v>
      </c>
      <c r="C3458" s="2" t="s">
        <v>4155</v>
      </c>
      <c r="D3458" s="2">
        <v>3.75</v>
      </c>
      <c r="E3458" s="2">
        <v>40.0</v>
      </c>
      <c r="F3458" s="2">
        <v>167.18</v>
      </c>
      <c r="G3458" s="4">
        <f t="shared" si="3"/>
        <v>9463899.92</v>
      </c>
      <c r="H3458" s="4">
        <f t="shared" si="1"/>
        <v>0.9915638554</v>
      </c>
      <c r="I3458" s="4" t="str">
        <f t="shared" si="2"/>
        <v>C</v>
      </c>
    </row>
    <row r="3459">
      <c r="A3459" s="2">
        <v>3458.0</v>
      </c>
      <c r="B3459" s="2" t="s">
        <v>4156</v>
      </c>
      <c r="C3459" s="2" t="s">
        <v>4157</v>
      </c>
      <c r="D3459" s="2">
        <v>1.69</v>
      </c>
      <c r="E3459" s="2">
        <v>354.0</v>
      </c>
      <c r="F3459" s="2">
        <v>166.8</v>
      </c>
      <c r="G3459" s="4">
        <f t="shared" si="3"/>
        <v>9464066.72</v>
      </c>
      <c r="H3459" s="4">
        <f t="shared" si="1"/>
        <v>0.9915813316</v>
      </c>
      <c r="I3459" s="4" t="str">
        <f t="shared" si="2"/>
        <v>C</v>
      </c>
    </row>
    <row r="3460">
      <c r="A3460" s="2">
        <v>3459.0</v>
      </c>
      <c r="B3460" s="2">
        <v>23047.0</v>
      </c>
      <c r="C3460" s="2" t="s">
        <v>4158</v>
      </c>
      <c r="D3460" s="2">
        <v>5.75</v>
      </c>
      <c r="E3460" s="2">
        <v>29.0</v>
      </c>
      <c r="F3460" s="2">
        <v>166.75</v>
      </c>
      <c r="G3460" s="4">
        <f t="shared" si="3"/>
        <v>9464233.47</v>
      </c>
      <c r="H3460" s="4">
        <f t="shared" si="1"/>
        <v>0.9915988026</v>
      </c>
      <c r="I3460" s="4" t="str">
        <f t="shared" si="2"/>
        <v>C</v>
      </c>
    </row>
    <row r="3461">
      <c r="A3461" s="2">
        <v>3460.0</v>
      </c>
      <c r="B3461" s="2">
        <v>21402.0</v>
      </c>
      <c r="C3461" s="2" t="s">
        <v>4159</v>
      </c>
      <c r="D3461" s="2">
        <v>0.42</v>
      </c>
      <c r="E3461" s="2">
        <v>849.0</v>
      </c>
      <c r="F3461" s="2">
        <v>166.71</v>
      </c>
      <c r="G3461" s="4">
        <f t="shared" si="3"/>
        <v>9464400.18</v>
      </c>
      <c r="H3461" s="4">
        <f t="shared" si="1"/>
        <v>0.9916162693</v>
      </c>
      <c r="I3461" s="4" t="str">
        <f t="shared" si="2"/>
        <v>C</v>
      </c>
    </row>
    <row r="3462">
      <c r="A3462" s="2">
        <v>3461.0</v>
      </c>
      <c r="B3462" s="2" t="s">
        <v>4160</v>
      </c>
      <c r="C3462" s="2" t="s">
        <v>4161</v>
      </c>
      <c r="D3462" s="2">
        <v>2.95</v>
      </c>
      <c r="E3462" s="2">
        <v>56.0</v>
      </c>
      <c r="F3462" s="2">
        <v>166.62</v>
      </c>
      <c r="G3462" s="4">
        <f t="shared" si="3"/>
        <v>9464566.8</v>
      </c>
      <c r="H3462" s="4">
        <f t="shared" si="1"/>
        <v>0.9916337267</v>
      </c>
      <c r="I3462" s="4" t="str">
        <f t="shared" si="2"/>
        <v>C</v>
      </c>
    </row>
    <row r="3463">
      <c r="A3463" s="2">
        <v>3462.0</v>
      </c>
      <c r="B3463" s="2" t="s">
        <v>4162</v>
      </c>
      <c r="C3463" s="2" t="s">
        <v>4163</v>
      </c>
      <c r="D3463" s="2">
        <v>8.95</v>
      </c>
      <c r="E3463" s="2">
        <v>18.0</v>
      </c>
      <c r="F3463" s="2">
        <v>166.48</v>
      </c>
      <c r="G3463" s="4">
        <f t="shared" si="3"/>
        <v>9464733.28</v>
      </c>
      <c r="H3463" s="4">
        <f t="shared" si="1"/>
        <v>0.9916511693</v>
      </c>
      <c r="I3463" s="4" t="str">
        <f t="shared" si="2"/>
        <v>C</v>
      </c>
    </row>
    <row r="3464">
      <c r="A3464" s="2">
        <v>3463.0</v>
      </c>
      <c r="B3464" s="2">
        <v>20688.0</v>
      </c>
      <c r="C3464" s="2" t="s">
        <v>4164</v>
      </c>
      <c r="D3464" s="2">
        <v>5.95</v>
      </c>
      <c r="E3464" s="2">
        <v>232.0</v>
      </c>
      <c r="F3464" s="2">
        <v>166.45</v>
      </c>
      <c r="G3464" s="4">
        <f t="shared" si="3"/>
        <v>9464899.73</v>
      </c>
      <c r="H3464" s="4">
        <f t="shared" si="1"/>
        <v>0.9916686088</v>
      </c>
      <c r="I3464" s="4" t="str">
        <f t="shared" si="2"/>
        <v>C</v>
      </c>
    </row>
    <row r="3465">
      <c r="A3465" s="2">
        <v>3464.0</v>
      </c>
      <c r="B3465" s="2" t="s">
        <v>4165</v>
      </c>
      <c r="C3465" s="2" t="s">
        <v>4166</v>
      </c>
      <c r="D3465" s="2">
        <v>24.95</v>
      </c>
      <c r="E3465" s="2">
        <v>14.0</v>
      </c>
      <c r="F3465" s="2">
        <v>166.3</v>
      </c>
      <c r="G3465" s="4">
        <f t="shared" si="3"/>
        <v>9465066.03</v>
      </c>
      <c r="H3465" s="4">
        <f t="shared" si="1"/>
        <v>0.9916860326</v>
      </c>
      <c r="I3465" s="4" t="str">
        <f t="shared" si="2"/>
        <v>C</v>
      </c>
    </row>
    <row r="3466">
      <c r="A3466" s="2">
        <v>3465.0</v>
      </c>
      <c r="B3466" s="2">
        <v>85089.0</v>
      </c>
      <c r="C3466" s="2" t="s">
        <v>4167</v>
      </c>
      <c r="D3466" s="2">
        <v>2.95</v>
      </c>
      <c r="E3466" s="2">
        <v>52.0</v>
      </c>
      <c r="F3466" s="2">
        <v>166.14</v>
      </c>
      <c r="G3466" s="4">
        <f t="shared" si="3"/>
        <v>9465232.17</v>
      </c>
      <c r="H3466" s="4">
        <f t="shared" si="1"/>
        <v>0.9917034397</v>
      </c>
      <c r="I3466" s="4" t="str">
        <f t="shared" si="2"/>
        <v>C</v>
      </c>
    </row>
    <row r="3467">
      <c r="A3467" s="2">
        <v>3466.0</v>
      </c>
      <c r="B3467" s="2">
        <v>22257.0</v>
      </c>
      <c r="C3467" s="2" t="s">
        <v>4168</v>
      </c>
      <c r="D3467" s="2">
        <v>1.25</v>
      </c>
      <c r="E3467" s="2">
        <v>204.0</v>
      </c>
      <c r="F3467" s="2">
        <v>165.86</v>
      </c>
      <c r="G3467" s="4">
        <f t="shared" si="3"/>
        <v>9465398.03</v>
      </c>
      <c r="H3467" s="4">
        <f t="shared" si="1"/>
        <v>0.9917208173</v>
      </c>
      <c r="I3467" s="4" t="str">
        <f t="shared" si="2"/>
        <v>C</v>
      </c>
    </row>
    <row r="3468">
      <c r="A3468" s="2">
        <v>3467.0</v>
      </c>
      <c r="B3468" s="2">
        <v>90070.0</v>
      </c>
      <c r="C3468" s="2" t="s">
        <v>4169</v>
      </c>
      <c r="D3468" s="2">
        <v>6.23</v>
      </c>
      <c r="E3468" s="2">
        <v>27.0</v>
      </c>
      <c r="F3468" s="2">
        <v>165.8</v>
      </c>
      <c r="G3468" s="4">
        <f t="shared" si="3"/>
        <v>9465563.83</v>
      </c>
      <c r="H3468" s="4">
        <f t="shared" si="1"/>
        <v>0.9917381888</v>
      </c>
      <c r="I3468" s="4" t="str">
        <f t="shared" si="2"/>
        <v>C</v>
      </c>
    </row>
    <row r="3469">
      <c r="A3469" s="2">
        <v>3468.0</v>
      </c>
      <c r="B3469" s="2">
        <v>90148.0</v>
      </c>
      <c r="C3469" s="2" t="s">
        <v>4170</v>
      </c>
      <c r="D3469" s="2">
        <v>12.75</v>
      </c>
      <c r="E3469" s="2">
        <v>13.0</v>
      </c>
      <c r="F3469" s="2">
        <v>165.62</v>
      </c>
      <c r="G3469" s="4">
        <f t="shared" si="3"/>
        <v>9465729.45</v>
      </c>
      <c r="H3469" s="4">
        <f t="shared" si="1"/>
        <v>0.9917555413</v>
      </c>
      <c r="I3469" s="4" t="str">
        <f t="shared" si="2"/>
        <v>C</v>
      </c>
    </row>
    <row r="3470">
      <c r="A3470" s="2">
        <v>3469.0</v>
      </c>
      <c r="B3470" s="2" t="s">
        <v>4171</v>
      </c>
      <c r="C3470" s="2" t="s">
        <v>4172</v>
      </c>
      <c r="D3470" s="2">
        <v>5.95</v>
      </c>
      <c r="E3470" s="2">
        <v>50.0</v>
      </c>
      <c r="F3470" s="2">
        <v>165.57</v>
      </c>
      <c r="G3470" s="4">
        <f t="shared" si="3"/>
        <v>9465895.02</v>
      </c>
      <c r="H3470" s="4">
        <f t="shared" si="1"/>
        <v>0.9917728886</v>
      </c>
      <c r="I3470" s="4" t="str">
        <f t="shared" si="2"/>
        <v>C</v>
      </c>
    </row>
    <row r="3471">
      <c r="A3471" s="2">
        <v>3470.0</v>
      </c>
      <c r="B3471" s="2" t="s">
        <v>4173</v>
      </c>
      <c r="C3471" s="2" t="s">
        <v>3694</v>
      </c>
      <c r="D3471" s="2">
        <v>1.65</v>
      </c>
      <c r="E3471" s="2">
        <v>109.0</v>
      </c>
      <c r="F3471" s="2">
        <v>165.45</v>
      </c>
      <c r="G3471" s="4">
        <f t="shared" si="3"/>
        <v>9466060.47</v>
      </c>
      <c r="H3471" s="4">
        <f t="shared" si="1"/>
        <v>0.9917902234</v>
      </c>
      <c r="I3471" s="4" t="str">
        <f t="shared" si="2"/>
        <v>C</v>
      </c>
    </row>
    <row r="3472">
      <c r="A3472" s="2">
        <v>3471.0</v>
      </c>
      <c r="B3472" s="2" t="s">
        <v>4174</v>
      </c>
      <c r="C3472" s="2" t="s">
        <v>4175</v>
      </c>
      <c r="D3472" s="2">
        <v>3.75</v>
      </c>
      <c r="E3472" s="2">
        <v>46.0</v>
      </c>
      <c r="F3472" s="2">
        <v>165.18</v>
      </c>
      <c r="G3472" s="4">
        <f t="shared" si="3"/>
        <v>9466225.65</v>
      </c>
      <c r="H3472" s="4">
        <f t="shared" si="1"/>
        <v>0.9918075298</v>
      </c>
      <c r="I3472" s="4" t="str">
        <f t="shared" si="2"/>
        <v>C</v>
      </c>
    </row>
    <row r="3473">
      <c r="A3473" s="2">
        <v>3472.0</v>
      </c>
      <c r="B3473" s="2">
        <v>35921.0</v>
      </c>
      <c r="C3473" s="2" t="s">
        <v>4176</v>
      </c>
      <c r="D3473" s="2">
        <v>1.25</v>
      </c>
      <c r="E3473" s="2">
        <v>92.0</v>
      </c>
      <c r="F3473" s="2">
        <v>165.16</v>
      </c>
      <c r="G3473" s="4">
        <f t="shared" si="3"/>
        <v>9466390.81</v>
      </c>
      <c r="H3473" s="4">
        <f t="shared" si="1"/>
        <v>0.9918248342</v>
      </c>
      <c r="I3473" s="4" t="str">
        <f t="shared" si="2"/>
        <v>C</v>
      </c>
    </row>
    <row r="3474">
      <c r="A3474" s="2">
        <v>3473.0</v>
      </c>
      <c r="B3474" s="2" t="s">
        <v>4177</v>
      </c>
      <c r="C3474" s="2" t="s">
        <v>4178</v>
      </c>
      <c r="D3474" s="2">
        <v>1.66</v>
      </c>
      <c r="E3474" s="2">
        <v>73.0</v>
      </c>
      <c r="F3474" s="2">
        <v>164.98</v>
      </c>
      <c r="G3474" s="4">
        <f t="shared" si="3"/>
        <v>9466555.79</v>
      </c>
      <c r="H3474" s="4">
        <f t="shared" si="1"/>
        <v>0.9918421197</v>
      </c>
      <c r="I3474" s="4" t="str">
        <f t="shared" si="2"/>
        <v>C</v>
      </c>
    </row>
    <row r="3475">
      <c r="A3475" s="2">
        <v>3474.0</v>
      </c>
      <c r="B3475" s="2">
        <v>37467.0</v>
      </c>
      <c r="C3475" s="2" t="s">
        <v>4179</v>
      </c>
      <c r="D3475" s="2">
        <v>4.17</v>
      </c>
      <c r="E3475" s="2">
        <v>136.0</v>
      </c>
      <c r="F3475" s="2">
        <v>164.26</v>
      </c>
      <c r="G3475" s="4">
        <f t="shared" si="3"/>
        <v>9466720.05</v>
      </c>
      <c r="H3475" s="4">
        <f t="shared" si="1"/>
        <v>0.9918593297</v>
      </c>
      <c r="I3475" s="4" t="str">
        <f t="shared" si="2"/>
        <v>C</v>
      </c>
    </row>
    <row r="3476">
      <c r="A3476" s="2">
        <v>3475.0</v>
      </c>
      <c r="B3476" s="2" t="s">
        <v>4180</v>
      </c>
      <c r="C3476" s="2" t="s">
        <v>4181</v>
      </c>
      <c r="D3476" s="2">
        <v>2.51</v>
      </c>
      <c r="E3476" s="2">
        <v>197.0</v>
      </c>
      <c r="F3476" s="2">
        <v>164.2</v>
      </c>
      <c r="G3476" s="4">
        <f t="shared" si="3"/>
        <v>9466884.25</v>
      </c>
      <c r="H3476" s="4">
        <f t="shared" si="1"/>
        <v>0.9918765335</v>
      </c>
      <c r="I3476" s="4" t="str">
        <f t="shared" si="2"/>
        <v>C</v>
      </c>
    </row>
    <row r="3477">
      <c r="A3477" s="2">
        <v>3476.0</v>
      </c>
      <c r="B3477" s="2">
        <v>22878.0</v>
      </c>
      <c r="C3477" s="2" t="s">
        <v>4182</v>
      </c>
      <c r="D3477" s="2">
        <v>4.13</v>
      </c>
      <c r="E3477" s="2">
        <v>64.0</v>
      </c>
      <c r="F3477" s="2">
        <v>164.08</v>
      </c>
      <c r="G3477" s="4">
        <f t="shared" si="3"/>
        <v>9467048.33</v>
      </c>
      <c r="H3477" s="4">
        <f t="shared" si="1"/>
        <v>0.9918937247</v>
      </c>
      <c r="I3477" s="4" t="str">
        <f t="shared" si="2"/>
        <v>C</v>
      </c>
    </row>
    <row r="3478">
      <c r="A3478" s="2">
        <v>3477.0</v>
      </c>
      <c r="B3478" s="2">
        <v>20670.0</v>
      </c>
      <c r="C3478" s="2" t="s">
        <v>4183</v>
      </c>
      <c r="D3478" s="2">
        <v>2.51</v>
      </c>
      <c r="E3478" s="2">
        <v>197.0</v>
      </c>
      <c r="F3478" s="2">
        <v>163.92</v>
      </c>
      <c r="G3478" s="4">
        <f t="shared" si="3"/>
        <v>9467212.25</v>
      </c>
      <c r="H3478" s="4">
        <f t="shared" si="1"/>
        <v>0.9919108991</v>
      </c>
      <c r="I3478" s="4" t="str">
        <f t="shared" si="2"/>
        <v>C</v>
      </c>
    </row>
    <row r="3479">
      <c r="A3479" s="2">
        <v>3478.0</v>
      </c>
      <c r="B3479" s="2">
        <v>84902.0</v>
      </c>
      <c r="C3479" s="2" t="s">
        <v>4184</v>
      </c>
      <c r="D3479" s="2">
        <v>3.75</v>
      </c>
      <c r="E3479" s="2">
        <v>42.0</v>
      </c>
      <c r="F3479" s="2">
        <v>163.16</v>
      </c>
      <c r="G3479" s="4">
        <f t="shared" si="3"/>
        <v>9467375.41</v>
      </c>
      <c r="H3479" s="4">
        <f t="shared" si="1"/>
        <v>0.9919279939</v>
      </c>
      <c r="I3479" s="4" t="str">
        <f t="shared" si="2"/>
        <v>C</v>
      </c>
    </row>
    <row r="3480">
      <c r="A3480" s="2">
        <v>3479.0</v>
      </c>
      <c r="B3480" s="2">
        <v>21722.0</v>
      </c>
      <c r="C3480" s="2" t="s">
        <v>4185</v>
      </c>
      <c r="D3480" s="2">
        <v>0.85</v>
      </c>
      <c r="E3480" s="2">
        <v>172.0</v>
      </c>
      <c r="F3480" s="2">
        <v>163.02</v>
      </c>
      <c r="G3480" s="4">
        <f t="shared" si="3"/>
        <v>9467538.43</v>
      </c>
      <c r="H3480" s="4">
        <f t="shared" si="1"/>
        <v>0.9919450741</v>
      </c>
      <c r="I3480" s="4" t="str">
        <f t="shared" si="2"/>
        <v>C</v>
      </c>
    </row>
    <row r="3481">
      <c r="A3481" s="2">
        <v>3480.0</v>
      </c>
      <c r="B3481" s="2" t="s">
        <v>4186</v>
      </c>
      <c r="C3481" s="2" t="s">
        <v>4187</v>
      </c>
      <c r="D3481" s="2">
        <v>8.95</v>
      </c>
      <c r="E3481" s="2">
        <v>68.0</v>
      </c>
      <c r="F3481" s="2">
        <v>162.94</v>
      </c>
      <c r="G3481" s="4">
        <f t="shared" si="3"/>
        <v>9467701.37</v>
      </c>
      <c r="H3481" s="4">
        <f t="shared" si="1"/>
        <v>0.9919621458</v>
      </c>
      <c r="I3481" s="4" t="str">
        <f t="shared" si="2"/>
        <v>C</v>
      </c>
    </row>
    <row r="3482">
      <c r="A3482" s="2">
        <v>3481.0</v>
      </c>
      <c r="B3482" s="2">
        <v>21309.0</v>
      </c>
      <c r="C3482" s="2" t="s">
        <v>4188</v>
      </c>
      <c r="D3482" s="2">
        <v>9.95</v>
      </c>
      <c r="E3482" s="2">
        <v>24.0</v>
      </c>
      <c r="F3482" s="2">
        <v>162.8</v>
      </c>
      <c r="G3482" s="4">
        <f t="shared" si="3"/>
        <v>9467864.17</v>
      </c>
      <c r="H3482" s="4">
        <f t="shared" si="1"/>
        <v>0.9919792029</v>
      </c>
      <c r="I3482" s="4" t="str">
        <f t="shared" si="2"/>
        <v>C</v>
      </c>
    </row>
    <row r="3483">
      <c r="A3483" s="2">
        <v>3482.0</v>
      </c>
      <c r="B3483" s="2" t="s">
        <v>4189</v>
      </c>
      <c r="C3483" s="2" t="s">
        <v>4190</v>
      </c>
      <c r="D3483" s="2">
        <v>4.24</v>
      </c>
      <c r="E3483" s="2">
        <v>38.0</v>
      </c>
      <c r="F3483" s="2">
        <v>162.74</v>
      </c>
      <c r="G3483" s="4">
        <f t="shared" si="3"/>
        <v>9468026.91</v>
      </c>
      <c r="H3483" s="4">
        <f t="shared" si="1"/>
        <v>0.9919962537</v>
      </c>
      <c r="I3483" s="4" t="str">
        <f t="shared" si="2"/>
        <v>C</v>
      </c>
    </row>
    <row r="3484">
      <c r="A3484" s="2">
        <v>3483.0</v>
      </c>
      <c r="B3484" s="2">
        <v>23037.0</v>
      </c>
      <c r="C3484" s="2" t="s">
        <v>4191</v>
      </c>
      <c r="D3484" s="2">
        <v>1.65</v>
      </c>
      <c r="E3484" s="2">
        <v>98.0</v>
      </c>
      <c r="F3484" s="2">
        <v>162.58</v>
      </c>
      <c r="G3484" s="4">
        <f t="shared" si="3"/>
        <v>9468189.49</v>
      </c>
      <c r="H3484" s="4">
        <f t="shared" si="1"/>
        <v>0.9920132878</v>
      </c>
      <c r="I3484" s="4" t="str">
        <f t="shared" si="2"/>
        <v>C</v>
      </c>
    </row>
    <row r="3485">
      <c r="A3485" s="2">
        <v>3484.0</v>
      </c>
      <c r="B3485" s="2" t="s">
        <v>4192</v>
      </c>
      <c r="C3485" s="2" t="s">
        <v>4193</v>
      </c>
      <c r="D3485" s="2">
        <v>1.25</v>
      </c>
      <c r="E3485" s="2">
        <v>141.0</v>
      </c>
      <c r="F3485" s="2">
        <v>162.24</v>
      </c>
      <c r="G3485" s="4">
        <f t="shared" si="3"/>
        <v>9468351.73</v>
      </c>
      <c r="H3485" s="4">
        <f t="shared" si="1"/>
        <v>0.9920302862</v>
      </c>
      <c r="I3485" s="4" t="str">
        <f t="shared" si="2"/>
        <v>C</v>
      </c>
    </row>
    <row r="3486">
      <c r="A3486" s="2">
        <v>3485.0</v>
      </c>
      <c r="B3486" s="2">
        <v>23478.0</v>
      </c>
      <c r="C3486" s="2" t="s">
        <v>4194</v>
      </c>
      <c r="D3486" s="2">
        <v>1.25</v>
      </c>
      <c r="E3486" s="2">
        <v>142.0</v>
      </c>
      <c r="F3486" s="2">
        <v>162.2</v>
      </c>
      <c r="G3486" s="4">
        <f t="shared" si="3"/>
        <v>9468513.93</v>
      </c>
      <c r="H3486" s="4">
        <f t="shared" si="1"/>
        <v>0.9920472804</v>
      </c>
      <c r="I3486" s="4" t="str">
        <f t="shared" si="2"/>
        <v>C</v>
      </c>
    </row>
    <row r="3487">
      <c r="A3487" s="2">
        <v>3486.0</v>
      </c>
      <c r="B3487" s="2" t="s">
        <v>4195</v>
      </c>
      <c r="C3487" s="2" t="s">
        <v>4196</v>
      </c>
      <c r="D3487" s="2">
        <v>3.36</v>
      </c>
      <c r="E3487" s="2">
        <v>80.0</v>
      </c>
      <c r="F3487" s="2">
        <v>161.68</v>
      </c>
      <c r="G3487" s="4">
        <f t="shared" si="3"/>
        <v>9468675.61</v>
      </c>
      <c r="H3487" s="4">
        <f t="shared" si="1"/>
        <v>0.9920642202</v>
      </c>
      <c r="I3487" s="4" t="str">
        <f t="shared" si="2"/>
        <v>C</v>
      </c>
    </row>
    <row r="3488">
      <c r="A3488" s="2">
        <v>3487.0</v>
      </c>
      <c r="B3488" s="2">
        <v>23695.0</v>
      </c>
      <c r="C3488" s="2" t="s">
        <v>4197</v>
      </c>
      <c r="D3488" s="2">
        <v>0.42</v>
      </c>
      <c r="E3488" s="2">
        <v>382.0</v>
      </c>
      <c r="F3488" s="2">
        <v>161.66</v>
      </c>
      <c r="G3488" s="4">
        <f t="shared" si="3"/>
        <v>9468837.27</v>
      </c>
      <c r="H3488" s="4">
        <f t="shared" si="1"/>
        <v>0.9920811578</v>
      </c>
      <c r="I3488" s="4" t="str">
        <f t="shared" si="2"/>
        <v>C</v>
      </c>
    </row>
    <row r="3489">
      <c r="A3489" s="2">
        <v>3488.0</v>
      </c>
      <c r="B3489" s="2" t="s">
        <v>4198</v>
      </c>
      <c r="C3489" s="2" t="s">
        <v>4199</v>
      </c>
      <c r="D3489" s="2">
        <v>3.75</v>
      </c>
      <c r="E3489" s="2">
        <v>45.0</v>
      </c>
      <c r="F3489" s="2">
        <v>161.3</v>
      </c>
      <c r="G3489" s="4">
        <f t="shared" si="3"/>
        <v>9468998.57</v>
      </c>
      <c r="H3489" s="4">
        <f t="shared" si="1"/>
        <v>0.9920980577</v>
      </c>
      <c r="I3489" s="4" t="str">
        <f t="shared" si="2"/>
        <v>C</v>
      </c>
    </row>
    <row r="3490">
      <c r="A3490" s="2">
        <v>3489.0</v>
      </c>
      <c r="B3490" s="2" t="s">
        <v>4200</v>
      </c>
      <c r="C3490" s="2" t="s">
        <v>4201</v>
      </c>
      <c r="D3490" s="2">
        <v>5.09</v>
      </c>
      <c r="E3490" s="2">
        <v>32.0</v>
      </c>
      <c r="F3490" s="2">
        <v>161.26</v>
      </c>
      <c r="G3490" s="4">
        <f t="shared" si="3"/>
        <v>9469159.83</v>
      </c>
      <c r="H3490" s="4">
        <f t="shared" si="1"/>
        <v>0.9921149535</v>
      </c>
      <c r="I3490" s="4" t="str">
        <f t="shared" si="2"/>
        <v>C</v>
      </c>
    </row>
    <row r="3491">
      <c r="A3491" s="2">
        <v>3490.0</v>
      </c>
      <c r="B3491" s="2" t="s">
        <v>4202</v>
      </c>
      <c r="C3491" s="2" t="s">
        <v>4203</v>
      </c>
      <c r="D3491" s="2">
        <v>0.83</v>
      </c>
      <c r="E3491" s="2">
        <v>220.0</v>
      </c>
      <c r="F3491" s="2">
        <v>160.7</v>
      </c>
      <c r="G3491" s="4">
        <f t="shared" si="3"/>
        <v>9469320.53</v>
      </c>
      <c r="H3491" s="4">
        <f t="shared" si="1"/>
        <v>0.9921317905</v>
      </c>
      <c r="I3491" s="4" t="str">
        <f t="shared" si="2"/>
        <v>C</v>
      </c>
    </row>
    <row r="3492">
      <c r="A3492" s="2">
        <v>3491.0</v>
      </c>
      <c r="B3492" s="2">
        <v>85070.0</v>
      </c>
      <c r="C3492" s="2" t="s">
        <v>4204</v>
      </c>
      <c r="D3492" s="2">
        <v>125.0</v>
      </c>
      <c r="E3492" s="2">
        <v>2.0</v>
      </c>
      <c r="F3492" s="2">
        <v>160.0</v>
      </c>
      <c r="G3492" s="4">
        <f t="shared" si="3"/>
        <v>9469480.53</v>
      </c>
      <c r="H3492" s="4">
        <f t="shared" si="1"/>
        <v>0.9921485543</v>
      </c>
      <c r="I3492" s="4" t="str">
        <f t="shared" si="2"/>
        <v>C</v>
      </c>
    </row>
    <row r="3493">
      <c r="A3493" s="2">
        <v>3492.0</v>
      </c>
      <c r="B3493" s="2" t="s">
        <v>4205</v>
      </c>
      <c r="C3493" s="2" t="s">
        <v>4206</v>
      </c>
      <c r="D3493" s="2">
        <v>0.65</v>
      </c>
      <c r="E3493" s="2">
        <v>130.0</v>
      </c>
      <c r="F3493" s="2">
        <v>159.65</v>
      </c>
      <c r="G3493" s="4">
        <f t="shared" si="3"/>
        <v>9469640.18</v>
      </c>
      <c r="H3493" s="4">
        <f t="shared" si="1"/>
        <v>0.9921652813</v>
      </c>
      <c r="I3493" s="4" t="str">
        <f t="shared" si="2"/>
        <v>C</v>
      </c>
    </row>
    <row r="3494">
      <c r="A3494" s="2">
        <v>3493.0</v>
      </c>
      <c r="B3494" s="2" t="s">
        <v>4207</v>
      </c>
      <c r="C3494" s="2" t="s">
        <v>1759</v>
      </c>
      <c r="D3494" s="2">
        <v>16.63</v>
      </c>
      <c r="E3494" s="2">
        <v>10.0</v>
      </c>
      <c r="F3494" s="2">
        <v>158.86</v>
      </c>
      <c r="G3494" s="4">
        <f t="shared" si="3"/>
        <v>9469799.04</v>
      </c>
      <c r="H3494" s="4">
        <f t="shared" si="1"/>
        <v>0.9921819256</v>
      </c>
      <c r="I3494" s="4" t="str">
        <f t="shared" si="2"/>
        <v>C</v>
      </c>
    </row>
    <row r="3495">
      <c r="A3495" s="2">
        <v>3494.0</v>
      </c>
      <c r="B3495" s="2" t="s">
        <v>4208</v>
      </c>
      <c r="C3495" s="2" t="s">
        <v>4209</v>
      </c>
      <c r="D3495" s="2">
        <v>2.1</v>
      </c>
      <c r="E3495" s="2">
        <v>68.0</v>
      </c>
      <c r="F3495" s="2">
        <v>158.5</v>
      </c>
      <c r="G3495" s="4">
        <f t="shared" si="3"/>
        <v>9469957.54</v>
      </c>
      <c r="H3495" s="4">
        <f t="shared" si="1"/>
        <v>0.9921985322</v>
      </c>
      <c r="I3495" s="4" t="str">
        <f t="shared" si="2"/>
        <v>C</v>
      </c>
    </row>
    <row r="3496">
      <c r="A3496" s="2">
        <v>3495.0</v>
      </c>
      <c r="B3496" s="2">
        <v>21401.0</v>
      </c>
      <c r="C3496" s="2" t="s">
        <v>4210</v>
      </c>
      <c r="D3496" s="2">
        <v>0.42</v>
      </c>
      <c r="E3496" s="2">
        <v>718.0</v>
      </c>
      <c r="F3496" s="2">
        <v>157.85</v>
      </c>
      <c r="G3496" s="4">
        <f t="shared" si="3"/>
        <v>9470115.39</v>
      </c>
      <c r="H3496" s="4">
        <f t="shared" si="1"/>
        <v>0.9922150706</v>
      </c>
      <c r="I3496" s="4" t="str">
        <f t="shared" si="2"/>
        <v>C</v>
      </c>
    </row>
    <row r="3497">
      <c r="A3497" s="2">
        <v>3496.0</v>
      </c>
      <c r="B3497" s="2" t="s">
        <v>4211</v>
      </c>
      <c r="C3497" s="2" t="s">
        <v>4212</v>
      </c>
      <c r="D3497" s="2">
        <v>0.65</v>
      </c>
      <c r="E3497" s="2">
        <v>250.0</v>
      </c>
      <c r="F3497" s="2">
        <v>157.74</v>
      </c>
      <c r="G3497" s="4">
        <f t="shared" si="3"/>
        <v>9470273.13</v>
      </c>
      <c r="H3497" s="4">
        <f t="shared" si="1"/>
        <v>0.9922315976</v>
      </c>
      <c r="I3497" s="4" t="str">
        <f t="shared" si="2"/>
        <v>C</v>
      </c>
    </row>
    <row r="3498">
      <c r="A3498" s="2">
        <v>3497.0</v>
      </c>
      <c r="B3498" s="2" t="s">
        <v>4213</v>
      </c>
      <c r="C3498" s="2" t="s">
        <v>4214</v>
      </c>
      <c r="D3498" s="2">
        <v>1.25</v>
      </c>
      <c r="E3498" s="2">
        <v>116.0</v>
      </c>
      <c r="F3498" s="2">
        <v>157.56</v>
      </c>
      <c r="G3498" s="4">
        <f t="shared" si="3"/>
        <v>9470430.69</v>
      </c>
      <c r="H3498" s="4">
        <f t="shared" si="1"/>
        <v>0.9922481057</v>
      </c>
      <c r="I3498" s="4" t="str">
        <f t="shared" si="2"/>
        <v>C</v>
      </c>
    </row>
    <row r="3499">
      <c r="A3499" s="2">
        <v>3498.0</v>
      </c>
      <c r="B3499" s="2" t="s">
        <v>4215</v>
      </c>
      <c r="C3499" s="2" t="s">
        <v>4216</v>
      </c>
      <c r="D3499" s="2">
        <v>2.1</v>
      </c>
      <c r="E3499" s="2">
        <v>66.0</v>
      </c>
      <c r="F3499" s="2">
        <v>157.18</v>
      </c>
      <c r="G3499" s="4">
        <f t="shared" si="3"/>
        <v>9470587.87</v>
      </c>
      <c r="H3499" s="4">
        <f t="shared" si="1"/>
        <v>0.9922645739</v>
      </c>
      <c r="I3499" s="4" t="str">
        <f t="shared" si="2"/>
        <v>C</v>
      </c>
    </row>
    <row r="3500">
      <c r="A3500" s="2">
        <v>3499.0</v>
      </c>
      <c r="B3500" s="2" t="s">
        <v>4217</v>
      </c>
      <c r="C3500" s="2" t="s">
        <v>4218</v>
      </c>
      <c r="D3500" s="2">
        <v>1.25</v>
      </c>
      <c r="E3500" s="2">
        <v>126.0</v>
      </c>
      <c r="F3500" s="2">
        <v>156.88</v>
      </c>
      <c r="G3500" s="4">
        <f t="shared" si="3"/>
        <v>9470744.75</v>
      </c>
      <c r="H3500" s="4">
        <f t="shared" si="1"/>
        <v>0.9922810108</v>
      </c>
      <c r="I3500" s="4" t="str">
        <f t="shared" si="2"/>
        <v>C</v>
      </c>
    </row>
    <row r="3501">
      <c r="A3501" s="2">
        <v>3500.0</v>
      </c>
      <c r="B3501" s="2" t="s">
        <v>4219</v>
      </c>
      <c r="C3501" s="2" t="s">
        <v>4220</v>
      </c>
      <c r="D3501" s="2">
        <v>6.23</v>
      </c>
      <c r="E3501" s="2">
        <v>26.0</v>
      </c>
      <c r="F3501" s="2">
        <v>156.88</v>
      </c>
      <c r="G3501" s="4">
        <f t="shared" si="3"/>
        <v>9470901.63</v>
      </c>
      <c r="H3501" s="4">
        <f t="shared" si="1"/>
        <v>0.9922974476</v>
      </c>
      <c r="I3501" s="4" t="str">
        <f t="shared" si="2"/>
        <v>C</v>
      </c>
    </row>
    <row r="3502">
      <c r="A3502" s="2">
        <v>3501.0</v>
      </c>
      <c r="B3502" s="2" t="s">
        <v>4221</v>
      </c>
      <c r="C3502" s="2" t="s">
        <v>4222</v>
      </c>
      <c r="D3502" s="2">
        <v>5.95</v>
      </c>
      <c r="E3502" s="2">
        <v>59.0</v>
      </c>
      <c r="F3502" s="2">
        <v>156.64</v>
      </c>
      <c r="G3502" s="4">
        <f t="shared" si="3"/>
        <v>9471058.27</v>
      </c>
      <c r="H3502" s="4">
        <f t="shared" si="1"/>
        <v>0.9923138593</v>
      </c>
      <c r="I3502" s="4" t="str">
        <f t="shared" si="2"/>
        <v>C</v>
      </c>
    </row>
    <row r="3503">
      <c r="A3503" s="2">
        <v>3502.0</v>
      </c>
      <c r="B3503" s="2" t="s">
        <v>4223</v>
      </c>
      <c r="C3503" s="2" t="s">
        <v>4224</v>
      </c>
      <c r="D3503" s="2">
        <v>2.1</v>
      </c>
      <c r="E3503" s="2">
        <v>84.0</v>
      </c>
      <c r="F3503" s="2">
        <v>156.45</v>
      </c>
      <c r="G3503" s="4">
        <f t="shared" si="3"/>
        <v>9471214.72</v>
      </c>
      <c r="H3503" s="4">
        <f t="shared" si="1"/>
        <v>0.9923302511</v>
      </c>
      <c r="I3503" s="4" t="str">
        <f t="shared" si="2"/>
        <v>C</v>
      </c>
    </row>
    <row r="3504">
      <c r="A3504" s="2">
        <v>3503.0</v>
      </c>
      <c r="B3504" s="2">
        <v>84838.0</v>
      </c>
      <c r="C3504" s="2" t="s">
        <v>4225</v>
      </c>
      <c r="D3504" s="2">
        <v>8.5</v>
      </c>
      <c r="E3504" s="2">
        <v>25.0</v>
      </c>
      <c r="F3504" s="2">
        <v>156.25</v>
      </c>
      <c r="G3504" s="4">
        <f t="shared" si="3"/>
        <v>9471370.97</v>
      </c>
      <c r="H3504" s="4">
        <f t="shared" si="1"/>
        <v>0.9923466219</v>
      </c>
      <c r="I3504" s="4" t="str">
        <f t="shared" si="2"/>
        <v>C</v>
      </c>
    </row>
    <row r="3505">
      <c r="A3505" s="2">
        <v>3504.0</v>
      </c>
      <c r="B3505" s="2" t="s">
        <v>4226</v>
      </c>
      <c r="C3505" s="2" t="s">
        <v>4227</v>
      </c>
      <c r="D3505" s="2">
        <v>8.5</v>
      </c>
      <c r="E3505" s="2">
        <v>18.0</v>
      </c>
      <c r="F3505" s="2">
        <v>156.07</v>
      </c>
      <c r="G3505" s="4">
        <f t="shared" si="3"/>
        <v>9471527.04</v>
      </c>
      <c r="H3505" s="4">
        <f t="shared" si="1"/>
        <v>0.9923629738</v>
      </c>
      <c r="I3505" s="4" t="str">
        <f t="shared" si="2"/>
        <v>C</v>
      </c>
    </row>
    <row r="3506">
      <c r="A3506" s="2">
        <v>3505.0</v>
      </c>
      <c r="B3506" s="2" t="s">
        <v>4228</v>
      </c>
      <c r="C3506" s="2" t="s">
        <v>4229</v>
      </c>
      <c r="D3506" s="2">
        <v>2.55</v>
      </c>
      <c r="E3506" s="2">
        <v>56.0</v>
      </c>
      <c r="F3506" s="2">
        <v>155.94</v>
      </c>
      <c r="G3506" s="4">
        <f t="shared" si="3"/>
        <v>9471682.98</v>
      </c>
      <c r="H3506" s="4">
        <f t="shared" si="1"/>
        <v>0.9923793122</v>
      </c>
      <c r="I3506" s="4" t="str">
        <f t="shared" si="2"/>
        <v>C</v>
      </c>
    </row>
    <row r="3507">
      <c r="A3507" s="2">
        <v>3506.0</v>
      </c>
      <c r="B3507" s="2">
        <v>84522.0</v>
      </c>
      <c r="C3507" s="2" t="s">
        <v>4230</v>
      </c>
      <c r="D3507" s="2">
        <v>1.95</v>
      </c>
      <c r="E3507" s="2">
        <v>93.0</v>
      </c>
      <c r="F3507" s="2">
        <v>155.93</v>
      </c>
      <c r="G3507" s="4">
        <f t="shared" si="3"/>
        <v>9471838.91</v>
      </c>
      <c r="H3507" s="4">
        <f t="shared" si="1"/>
        <v>0.9923956495</v>
      </c>
      <c r="I3507" s="4" t="str">
        <f t="shared" si="2"/>
        <v>C</v>
      </c>
    </row>
    <row r="3508">
      <c r="A3508" s="2">
        <v>3507.0</v>
      </c>
      <c r="B3508" s="2">
        <v>84219.0</v>
      </c>
      <c r="C3508" s="2" t="s">
        <v>4231</v>
      </c>
      <c r="D3508" s="2">
        <v>2.55</v>
      </c>
      <c r="E3508" s="2">
        <v>70.0</v>
      </c>
      <c r="F3508" s="2">
        <v>155.76</v>
      </c>
      <c r="G3508" s="4">
        <f t="shared" si="3"/>
        <v>9471994.67</v>
      </c>
      <c r="H3508" s="4">
        <f t="shared" si="1"/>
        <v>0.992411969</v>
      </c>
      <c r="I3508" s="4" t="str">
        <f t="shared" si="2"/>
        <v>C</v>
      </c>
    </row>
    <row r="3509">
      <c r="A3509" s="2">
        <v>3508.0</v>
      </c>
      <c r="B3509" s="2">
        <v>22872.0</v>
      </c>
      <c r="C3509" s="2" t="s">
        <v>4232</v>
      </c>
      <c r="D3509" s="2">
        <v>4.13</v>
      </c>
      <c r="E3509" s="2">
        <v>68.0</v>
      </c>
      <c r="F3509" s="2">
        <v>155.65</v>
      </c>
      <c r="G3509" s="4">
        <f t="shared" si="3"/>
        <v>9472150.32</v>
      </c>
      <c r="H3509" s="4">
        <f t="shared" si="1"/>
        <v>0.9924282769</v>
      </c>
      <c r="I3509" s="4" t="str">
        <f t="shared" si="2"/>
        <v>C</v>
      </c>
    </row>
    <row r="3510">
      <c r="A3510" s="2">
        <v>3509.0</v>
      </c>
      <c r="B3510" s="2" t="s">
        <v>4233</v>
      </c>
      <c r="C3510" s="2" t="s">
        <v>4234</v>
      </c>
      <c r="D3510" s="2">
        <v>1.69</v>
      </c>
      <c r="E3510" s="2">
        <v>146.0</v>
      </c>
      <c r="F3510" s="2">
        <v>155.42</v>
      </c>
      <c r="G3510" s="4">
        <f t="shared" si="3"/>
        <v>9472305.74</v>
      </c>
      <c r="H3510" s="4">
        <f t="shared" si="1"/>
        <v>0.9924445608</v>
      </c>
      <c r="I3510" s="4" t="str">
        <f t="shared" si="2"/>
        <v>C</v>
      </c>
    </row>
    <row r="3511">
      <c r="A3511" s="2">
        <v>3510.0</v>
      </c>
      <c r="B3511" s="2">
        <v>84623.0</v>
      </c>
      <c r="C3511" s="2" t="s">
        <v>4235</v>
      </c>
      <c r="D3511" s="2">
        <v>7.95</v>
      </c>
      <c r="E3511" s="2">
        <v>28.0</v>
      </c>
      <c r="F3511" s="2">
        <v>155.22</v>
      </c>
      <c r="G3511" s="4">
        <f t="shared" si="3"/>
        <v>9472460.96</v>
      </c>
      <c r="H3511" s="4">
        <f t="shared" si="1"/>
        <v>0.9924608237</v>
      </c>
      <c r="I3511" s="4" t="str">
        <f t="shared" si="2"/>
        <v>C</v>
      </c>
    </row>
    <row r="3512">
      <c r="A3512" s="2">
        <v>3511.0</v>
      </c>
      <c r="B3512" s="2" t="s">
        <v>4236</v>
      </c>
      <c r="C3512" s="2" t="s">
        <v>4237</v>
      </c>
      <c r="D3512" s="2">
        <v>2.1</v>
      </c>
      <c r="E3512" s="2">
        <v>68.0</v>
      </c>
      <c r="F3512" s="2">
        <v>154.58</v>
      </c>
      <c r="G3512" s="4">
        <f t="shared" si="3"/>
        <v>9472615.54</v>
      </c>
      <c r="H3512" s="4">
        <f t="shared" si="1"/>
        <v>0.9924770196</v>
      </c>
      <c r="I3512" s="4" t="str">
        <f t="shared" si="2"/>
        <v>C</v>
      </c>
    </row>
    <row r="3513">
      <c r="A3513" s="2">
        <v>3512.0</v>
      </c>
      <c r="B3513" s="2" t="s">
        <v>4238</v>
      </c>
      <c r="C3513" s="2" t="s">
        <v>4239</v>
      </c>
      <c r="D3513" s="2">
        <v>2.55</v>
      </c>
      <c r="E3513" s="2">
        <v>111.0</v>
      </c>
      <c r="F3513" s="2">
        <v>154.5</v>
      </c>
      <c r="G3513" s="4">
        <f t="shared" si="3"/>
        <v>9472770.04</v>
      </c>
      <c r="H3513" s="4">
        <f t="shared" si="1"/>
        <v>0.992493207</v>
      </c>
      <c r="I3513" s="4" t="str">
        <f t="shared" si="2"/>
        <v>C</v>
      </c>
    </row>
    <row r="3514">
      <c r="A3514" s="2">
        <v>3513.0</v>
      </c>
      <c r="B3514" s="2" t="s">
        <v>4240</v>
      </c>
      <c r="C3514" s="2" t="s">
        <v>4241</v>
      </c>
      <c r="D3514" s="2">
        <v>2.51</v>
      </c>
      <c r="E3514" s="2">
        <v>144.0</v>
      </c>
      <c r="F3514" s="2">
        <v>154.39</v>
      </c>
      <c r="G3514" s="4">
        <f t="shared" si="3"/>
        <v>9472924.43</v>
      </c>
      <c r="H3514" s="4">
        <f t="shared" si="1"/>
        <v>0.992509383</v>
      </c>
      <c r="I3514" s="4" t="str">
        <f t="shared" si="2"/>
        <v>C</v>
      </c>
    </row>
    <row r="3515">
      <c r="A3515" s="2">
        <v>3514.0</v>
      </c>
      <c r="B3515" s="2">
        <v>20795.0</v>
      </c>
      <c r="C3515" s="2" t="s">
        <v>4242</v>
      </c>
      <c r="D3515" s="2">
        <v>2.1</v>
      </c>
      <c r="E3515" s="2">
        <v>68.0</v>
      </c>
      <c r="F3515" s="2">
        <v>154.35</v>
      </c>
      <c r="G3515" s="4">
        <f t="shared" si="3"/>
        <v>9473078.78</v>
      </c>
      <c r="H3515" s="4">
        <f t="shared" si="1"/>
        <v>0.9925255547</v>
      </c>
      <c r="I3515" s="4" t="str">
        <f t="shared" si="2"/>
        <v>C</v>
      </c>
    </row>
    <row r="3516">
      <c r="A3516" s="2">
        <v>3515.0</v>
      </c>
      <c r="B3516" s="2">
        <v>21196.0</v>
      </c>
      <c r="C3516" s="2" t="s">
        <v>4243</v>
      </c>
      <c r="D3516" s="2">
        <v>1.65</v>
      </c>
      <c r="E3516" s="2">
        <v>90.0</v>
      </c>
      <c r="F3516" s="2">
        <v>154.27</v>
      </c>
      <c r="G3516" s="4">
        <f t="shared" si="3"/>
        <v>9473233.05</v>
      </c>
      <c r="H3516" s="4">
        <f t="shared" si="1"/>
        <v>0.9925417181</v>
      </c>
      <c r="I3516" s="4" t="str">
        <f t="shared" si="2"/>
        <v>C</v>
      </c>
    </row>
    <row r="3517">
      <c r="A3517" s="2">
        <v>3516.0</v>
      </c>
      <c r="B3517" s="2">
        <v>77081.0</v>
      </c>
      <c r="C3517" s="2" t="s">
        <v>4244</v>
      </c>
      <c r="D3517" s="2">
        <v>1.25</v>
      </c>
      <c r="E3517" s="2">
        <v>121.0</v>
      </c>
      <c r="F3517" s="2">
        <v>154.19</v>
      </c>
      <c r="G3517" s="4">
        <f t="shared" si="3"/>
        <v>9473387.24</v>
      </c>
      <c r="H3517" s="4">
        <f t="shared" si="1"/>
        <v>0.9925578731</v>
      </c>
      <c r="I3517" s="4" t="str">
        <f t="shared" si="2"/>
        <v>C</v>
      </c>
    </row>
    <row r="3518">
      <c r="A3518" s="2">
        <v>3517.0</v>
      </c>
      <c r="B3518" s="2">
        <v>84906.0</v>
      </c>
      <c r="C3518" s="2" t="s">
        <v>4245</v>
      </c>
      <c r="D3518" s="2">
        <v>5.95</v>
      </c>
      <c r="E3518" s="2">
        <v>33.0</v>
      </c>
      <c r="F3518" s="2">
        <v>153.74</v>
      </c>
      <c r="G3518" s="4">
        <f t="shared" si="3"/>
        <v>9473540.98</v>
      </c>
      <c r="H3518" s="4">
        <f t="shared" si="1"/>
        <v>0.9925739809</v>
      </c>
      <c r="I3518" s="4" t="str">
        <f t="shared" si="2"/>
        <v>C</v>
      </c>
    </row>
    <row r="3519">
      <c r="A3519" s="2">
        <v>3518.0</v>
      </c>
      <c r="B3519" s="2" t="s">
        <v>4246</v>
      </c>
      <c r="C3519" s="2" t="s">
        <v>4247</v>
      </c>
      <c r="D3519" s="2">
        <v>0.85</v>
      </c>
      <c r="E3519" s="2">
        <v>152.0</v>
      </c>
      <c r="F3519" s="2">
        <v>153.34</v>
      </c>
      <c r="G3519" s="4">
        <f t="shared" si="3"/>
        <v>9473694.32</v>
      </c>
      <c r="H3519" s="4">
        <f t="shared" si="1"/>
        <v>0.9925900469</v>
      </c>
      <c r="I3519" s="4" t="str">
        <f t="shared" si="2"/>
        <v>C</v>
      </c>
    </row>
    <row r="3520">
      <c r="A3520" s="2">
        <v>3519.0</v>
      </c>
      <c r="B3520" s="2">
        <v>23495.0</v>
      </c>
      <c r="C3520" s="2" t="s">
        <v>4248</v>
      </c>
      <c r="D3520" s="2">
        <v>1.25</v>
      </c>
      <c r="E3520" s="2">
        <v>112.0</v>
      </c>
      <c r="F3520" s="2">
        <v>153.33</v>
      </c>
      <c r="G3520" s="4">
        <f t="shared" si="3"/>
        <v>9473847.65</v>
      </c>
      <c r="H3520" s="4">
        <f t="shared" si="1"/>
        <v>0.9926061118</v>
      </c>
      <c r="I3520" s="4" t="str">
        <f t="shared" si="2"/>
        <v>C</v>
      </c>
    </row>
    <row r="3521">
      <c r="A3521" s="2">
        <v>3520.0</v>
      </c>
      <c r="B3521" s="2">
        <v>90173.0</v>
      </c>
      <c r="C3521" s="2" t="s">
        <v>4249</v>
      </c>
      <c r="D3521" s="2">
        <v>3.81</v>
      </c>
      <c r="E3521" s="2">
        <v>40.0</v>
      </c>
      <c r="F3521" s="2">
        <v>153.32</v>
      </c>
      <c r="G3521" s="4">
        <f t="shared" si="3"/>
        <v>9474000.97</v>
      </c>
      <c r="H3521" s="4">
        <f t="shared" si="1"/>
        <v>0.9926221756</v>
      </c>
      <c r="I3521" s="4" t="str">
        <f t="shared" si="2"/>
        <v>C</v>
      </c>
    </row>
    <row r="3522">
      <c r="A3522" s="2">
        <v>3521.0</v>
      </c>
      <c r="B3522" s="2">
        <v>72130.0</v>
      </c>
      <c r="C3522" s="2" t="s">
        <v>3876</v>
      </c>
      <c r="D3522" s="2">
        <v>0.65</v>
      </c>
      <c r="E3522" s="2">
        <v>376.0</v>
      </c>
      <c r="F3522" s="2">
        <v>153.18</v>
      </c>
      <c r="G3522" s="4">
        <f t="shared" si="3"/>
        <v>9474154.15</v>
      </c>
      <c r="H3522" s="4">
        <f t="shared" si="1"/>
        <v>0.9926382248</v>
      </c>
      <c r="I3522" s="4" t="str">
        <f t="shared" si="2"/>
        <v>C</v>
      </c>
    </row>
    <row r="3523">
      <c r="A3523" s="2">
        <v>3522.0</v>
      </c>
      <c r="B3523" s="2">
        <v>16254.0</v>
      </c>
      <c r="C3523" s="2" t="s">
        <v>4250</v>
      </c>
      <c r="D3523" s="2">
        <v>1.63</v>
      </c>
      <c r="E3523" s="2">
        <v>470.0</v>
      </c>
      <c r="F3523" s="2">
        <v>152.83</v>
      </c>
      <c r="G3523" s="4">
        <f t="shared" si="3"/>
        <v>9474306.98</v>
      </c>
      <c r="H3523" s="4">
        <f t="shared" si="1"/>
        <v>0.9926542373</v>
      </c>
      <c r="I3523" s="4" t="str">
        <f t="shared" si="2"/>
        <v>C</v>
      </c>
    </row>
    <row r="3524">
      <c r="A3524" s="2">
        <v>3523.0</v>
      </c>
      <c r="B3524" s="2">
        <v>44235.0</v>
      </c>
      <c r="C3524" s="2" t="s">
        <v>4251</v>
      </c>
      <c r="D3524" s="2">
        <v>0.42</v>
      </c>
      <c r="E3524" s="2">
        <v>410.0</v>
      </c>
      <c r="F3524" s="2">
        <v>152.55</v>
      </c>
      <c r="G3524" s="4">
        <f t="shared" si="3"/>
        <v>9474459.53</v>
      </c>
      <c r="H3524" s="4">
        <f t="shared" si="1"/>
        <v>0.9926702204</v>
      </c>
      <c r="I3524" s="4" t="str">
        <f t="shared" si="2"/>
        <v>C</v>
      </c>
    </row>
    <row r="3525">
      <c r="A3525" s="2">
        <v>3524.0</v>
      </c>
      <c r="B3525" s="2" t="s">
        <v>4252</v>
      </c>
      <c r="C3525" s="2" t="s">
        <v>4253</v>
      </c>
      <c r="D3525" s="2">
        <v>9.25</v>
      </c>
      <c r="E3525" s="2">
        <v>17.0</v>
      </c>
      <c r="F3525" s="2">
        <v>152.48</v>
      </c>
      <c r="G3525" s="4">
        <f t="shared" si="3"/>
        <v>9474612.01</v>
      </c>
      <c r="H3525" s="4">
        <f t="shared" si="1"/>
        <v>0.9926861963</v>
      </c>
      <c r="I3525" s="4" t="str">
        <f t="shared" si="2"/>
        <v>C</v>
      </c>
    </row>
    <row r="3526">
      <c r="A3526" s="2">
        <v>3525.0</v>
      </c>
      <c r="B3526" s="2">
        <v>20800.0</v>
      </c>
      <c r="C3526" s="2" t="s">
        <v>4254</v>
      </c>
      <c r="D3526" s="2">
        <v>5.06</v>
      </c>
      <c r="E3526" s="2">
        <v>502.0</v>
      </c>
      <c r="F3526" s="2">
        <v>151.98</v>
      </c>
      <c r="G3526" s="4">
        <f t="shared" si="3"/>
        <v>9474763.99</v>
      </c>
      <c r="H3526" s="4">
        <f t="shared" si="1"/>
        <v>0.9927021197</v>
      </c>
      <c r="I3526" s="4" t="str">
        <f t="shared" si="2"/>
        <v>C</v>
      </c>
    </row>
    <row r="3527">
      <c r="A3527" s="2">
        <v>3526.0</v>
      </c>
      <c r="B3527" s="2">
        <v>21030.0</v>
      </c>
      <c r="C3527" s="2" t="s">
        <v>4255</v>
      </c>
      <c r="D3527" s="2">
        <v>1.25</v>
      </c>
      <c r="E3527" s="2">
        <v>124.0</v>
      </c>
      <c r="F3527" s="2">
        <v>151.7</v>
      </c>
      <c r="G3527" s="4">
        <f t="shared" si="3"/>
        <v>9474915.69</v>
      </c>
      <c r="H3527" s="4">
        <f t="shared" si="1"/>
        <v>0.9927180138</v>
      </c>
      <c r="I3527" s="4" t="str">
        <f t="shared" si="2"/>
        <v>C</v>
      </c>
    </row>
    <row r="3528">
      <c r="A3528" s="2">
        <v>3527.0</v>
      </c>
      <c r="B3528" s="2" t="s">
        <v>4256</v>
      </c>
      <c r="C3528" s="2" t="s">
        <v>4257</v>
      </c>
      <c r="D3528" s="2">
        <v>7.95</v>
      </c>
      <c r="E3528" s="2">
        <v>19.0</v>
      </c>
      <c r="F3528" s="2">
        <v>151.15</v>
      </c>
      <c r="G3528" s="4">
        <f t="shared" si="3"/>
        <v>9475066.84</v>
      </c>
      <c r="H3528" s="4">
        <f t="shared" si="1"/>
        <v>0.9927338503</v>
      </c>
      <c r="I3528" s="4" t="str">
        <f t="shared" si="2"/>
        <v>C</v>
      </c>
    </row>
    <row r="3529">
      <c r="A3529" s="2">
        <v>3528.0</v>
      </c>
      <c r="B3529" s="2">
        <v>85147.0</v>
      </c>
      <c r="C3529" s="2" t="s">
        <v>4258</v>
      </c>
      <c r="D3529" s="2">
        <v>4.95</v>
      </c>
      <c r="E3529" s="2">
        <v>30.0</v>
      </c>
      <c r="F3529" s="2">
        <v>150.98</v>
      </c>
      <c r="G3529" s="4">
        <f t="shared" si="3"/>
        <v>9475217.82</v>
      </c>
      <c r="H3529" s="4">
        <f t="shared" si="1"/>
        <v>0.992749669</v>
      </c>
      <c r="I3529" s="4" t="str">
        <f t="shared" si="2"/>
        <v>C</v>
      </c>
    </row>
    <row r="3530">
      <c r="A3530" s="2">
        <v>3529.0</v>
      </c>
      <c r="B3530" s="2">
        <v>23430.0</v>
      </c>
      <c r="C3530" s="2" t="s">
        <v>4259</v>
      </c>
      <c r="D3530" s="2">
        <v>8.15</v>
      </c>
      <c r="E3530" s="2">
        <v>18.0</v>
      </c>
      <c r="F3530" s="2">
        <v>150.94</v>
      </c>
      <c r="G3530" s="4">
        <f t="shared" si="3"/>
        <v>9475368.76</v>
      </c>
      <c r="H3530" s="4">
        <f t="shared" si="1"/>
        <v>0.9927654835</v>
      </c>
      <c r="I3530" s="4" t="str">
        <f t="shared" si="2"/>
        <v>C</v>
      </c>
    </row>
    <row r="3531">
      <c r="A3531" s="2">
        <v>3530.0</v>
      </c>
      <c r="B3531" s="2">
        <v>35645.0</v>
      </c>
      <c r="C3531" s="2" t="s">
        <v>4260</v>
      </c>
      <c r="D3531" s="2">
        <v>4.25</v>
      </c>
      <c r="E3531" s="2">
        <v>30.0</v>
      </c>
      <c r="F3531" s="2">
        <v>150.9</v>
      </c>
      <c r="G3531" s="4">
        <f t="shared" si="3"/>
        <v>9475519.66</v>
      </c>
      <c r="H3531" s="4">
        <f t="shared" si="1"/>
        <v>0.9927812937</v>
      </c>
      <c r="I3531" s="4" t="str">
        <f t="shared" si="2"/>
        <v>C</v>
      </c>
    </row>
    <row r="3532">
      <c r="A3532" s="2">
        <v>3531.0</v>
      </c>
      <c r="B3532" s="2" t="s">
        <v>4261</v>
      </c>
      <c r="C3532" s="2" t="s">
        <v>4262</v>
      </c>
      <c r="D3532" s="2">
        <v>10.75</v>
      </c>
      <c r="E3532" s="2">
        <v>14.0</v>
      </c>
      <c r="F3532" s="2">
        <v>150.5</v>
      </c>
      <c r="G3532" s="4">
        <f t="shared" si="3"/>
        <v>9475670.16</v>
      </c>
      <c r="H3532" s="4">
        <f t="shared" si="1"/>
        <v>0.9927970621</v>
      </c>
      <c r="I3532" s="4" t="str">
        <f t="shared" si="2"/>
        <v>C</v>
      </c>
    </row>
    <row r="3533">
      <c r="A3533" s="2">
        <v>3532.0</v>
      </c>
      <c r="B3533" s="2">
        <v>22954.0</v>
      </c>
      <c r="C3533" s="2" t="s">
        <v>4263</v>
      </c>
      <c r="D3533" s="2">
        <v>1.25</v>
      </c>
      <c r="E3533" s="2">
        <v>122.0</v>
      </c>
      <c r="F3533" s="2">
        <v>150.07</v>
      </c>
      <c r="G3533" s="4">
        <f t="shared" si="3"/>
        <v>9475820.23</v>
      </c>
      <c r="H3533" s="4">
        <f t="shared" si="1"/>
        <v>0.9928127854</v>
      </c>
      <c r="I3533" s="4" t="str">
        <f t="shared" si="2"/>
        <v>C</v>
      </c>
    </row>
    <row r="3534">
      <c r="A3534" s="2">
        <v>3533.0</v>
      </c>
      <c r="B3534" s="2" t="s">
        <v>4264</v>
      </c>
      <c r="C3534" s="2" t="s">
        <v>4265</v>
      </c>
      <c r="D3534" s="2">
        <v>1.25</v>
      </c>
      <c r="E3534" s="2">
        <v>197.0</v>
      </c>
      <c r="F3534" s="2">
        <v>149.77</v>
      </c>
      <c r="G3534" s="4">
        <f t="shared" si="3"/>
        <v>9475970</v>
      </c>
      <c r="H3534" s="4">
        <f t="shared" si="1"/>
        <v>0.9928284773</v>
      </c>
      <c r="I3534" s="4" t="str">
        <f t="shared" si="2"/>
        <v>C</v>
      </c>
    </row>
    <row r="3535">
      <c r="A3535" s="2">
        <v>3534.0</v>
      </c>
      <c r="B3535" s="2">
        <v>23440.0</v>
      </c>
      <c r="C3535" s="2" t="s">
        <v>4266</v>
      </c>
      <c r="D3535" s="2">
        <v>2.08</v>
      </c>
      <c r="E3535" s="2">
        <v>82.0</v>
      </c>
      <c r="F3535" s="2">
        <v>149.68</v>
      </c>
      <c r="G3535" s="4">
        <f t="shared" si="3"/>
        <v>9476119.68</v>
      </c>
      <c r="H3535" s="4">
        <f t="shared" si="1"/>
        <v>0.9928441598</v>
      </c>
      <c r="I3535" s="4" t="str">
        <f t="shared" si="2"/>
        <v>C</v>
      </c>
    </row>
    <row r="3536">
      <c r="A3536" s="2">
        <v>3535.0</v>
      </c>
      <c r="B3536" s="2" t="s">
        <v>4267</v>
      </c>
      <c r="C3536" s="2" t="s">
        <v>4268</v>
      </c>
      <c r="D3536" s="2">
        <v>9.95</v>
      </c>
      <c r="E3536" s="2">
        <v>15.0</v>
      </c>
      <c r="F3536" s="2">
        <v>149.64</v>
      </c>
      <c r="G3536" s="4">
        <f t="shared" si="3"/>
        <v>9476269.32</v>
      </c>
      <c r="H3536" s="4">
        <f t="shared" si="1"/>
        <v>0.9928598381</v>
      </c>
      <c r="I3536" s="4" t="str">
        <f t="shared" si="2"/>
        <v>C</v>
      </c>
    </row>
    <row r="3537">
      <c r="A3537" s="2">
        <v>3536.0</v>
      </c>
      <c r="B3537" s="2" t="s">
        <v>4269</v>
      </c>
      <c r="C3537" s="2" t="s">
        <v>4270</v>
      </c>
      <c r="D3537" s="2">
        <v>0.38</v>
      </c>
      <c r="E3537" s="2">
        <v>295.0</v>
      </c>
      <c r="F3537" s="2">
        <v>149.0</v>
      </c>
      <c r="G3537" s="4">
        <f t="shared" si="3"/>
        <v>9476418.32</v>
      </c>
      <c r="H3537" s="4">
        <f t="shared" si="1"/>
        <v>0.9928754493</v>
      </c>
      <c r="I3537" s="4" t="str">
        <f t="shared" si="2"/>
        <v>C</v>
      </c>
    </row>
    <row r="3538">
      <c r="A3538" s="2">
        <v>3537.0</v>
      </c>
      <c r="B3538" s="2">
        <v>47471.0</v>
      </c>
      <c r="C3538" s="2" t="s">
        <v>4271</v>
      </c>
      <c r="D3538" s="2">
        <v>0.65</v>
      </c>
      <c r="E3538" s="2">
        <v>216.0</v>
      </c>
      <c r="F3538" s="2">
        <v>148.84</v>
      </c>
      <c r="G3538" s="4">
        <f t="shared" si="3"/>
        <v>9476567.16</v>
      </c>
      <c r="H3538" s="4">
        <f t="shared" si="1"/>
        <v>0.9928910438</v>
      </c>
      <c r="I3538" s="4" t="str">
        <f t="shared" si="2"/>
        <v>C</v>
      </c>
    </row>
    <row r="3539">
      <c r="A3539" s="2">
        <v>3538.0</v>
      </c>
      <c r="B3539" s="2">
        <v>17001.0</v>
      </c>
      <c r="C3539" s="2" t="s">
        <v>4272</v>
      </c>
      <c r="D3539" s="2">
        <v>0.29</v>
      </c>
      <c r="E3539" s="2">
        <v>602.0</v>
      </c>
      <c r="F3539" s="2">
        <v>148.8</v>
      </c>
      <c r="G3539" s="4">
        <f t="shared" si="3"/>
        <v>9476715.96</v>
      </c>
      <c r="H3539" s="4">
        <f t="shared" si="1"/>
        <v>0.992906634</v>
      </c>
      <c r="I3539" s="4" t="str">
        <f t="shared" si="2"/>
        <v>C</v>
      </c>
    </row>
    <row r="3540">
      <c r="A3540" s="2">
        <v>3539.0</v>
      </c>
      <c r="B3540" s="2" t="s">
        <v>4273</v>
      </c>
      <c r="C3540" s="2" t="s">
        <v>4274</v>
      </c>
      <c r="D3540" s="2">
        <v>2.95</v>
      </c>
      <c r="E3540" s="2">
        <v>56.0</v>
      </c>
      <c r="F3540" s="2">
        <v>148.74</v>
      </c>
      <c r="G3540" s="4">
        <f t="shared" si="3"/>
        <v>9476864.7</v>
      </c>
      <c r="H3540" s="4">
        <f t="shared" si="1"/>
        <v>0.992922218</v>
      </c>
      <c r="I3540" s="4" t="str">
        <f t="shared" si="2"/>
        <v>C</v>
      </c>
    </row>
    <row r="3541">
      <c r="A3541" s="2">
        <v>3540.0</v>
      </c>
      <c r="B3541" s="2">
        <v>23015.0</v>
      </c>
      <c r="C3541" s="2" t="s">
        <v>4275</v>
      </c>
      <c r="D3541" s="2">
        <v>8.25</v>
      </c>
      <c r="E3541" s="2">
        <v>18.0</v>
      </c>
      <c r="F3541" s="2">
        <v>148.56</v>
      </c>
      <c r="G3541" s="4">
        <f t="shared" si="3"/>
        <v>9477013.26</v>
      </c>
      <c r="H3541" s="4">
        <f t="shared" si="1"/>
        <v>0.9929377831</v>
      </c>
      <c r="I3541" s="4" t="str">
        <f t="shared" si="2"/>
        <v>C</v>
      </c>
    </row>
    <row r="3542">
      <c r="A3542" s="2">
        <v>3541.0</v>
      </c>
      <c r="B3542" s="2">
        <v>84882.0</v>
      </c>
      <c r="C3542" s="2" t="s">
        <v>4276</v>
      </c>
      <c r="D3542" s="2">
        <v>3.75</v>
      </c>
      <c r="E3542" s="2">
        <v>34.0</v>
      </c>
      <c r="F3542" s="2">
        <v>148.46</v>
      </c>
      <c r="G3542" s="4">
        <f t="shared" si="3"/>
        <v>9477161.72</v>
      </c>
      <c r="H3542" s="4">
        <f t="shared" si="1"/>
        <v>0.9929533378</v>
      </c>
      <c r="I3542" s="4" t="str">
        <f t="shared" si="2"/>
        <v>C</v>
      </c>
    </row>
    <row r="3543">
      <c r="A3543" s="2">
        <v>3542.0</v>
      </c>
      <c r="B3543" s="2" t="s">
        <v>4277</v>
      </c>
      <c r="C3543" s="2" t="s">
        <v>4278</v>
      </c>
      <c r="D3543" s="2">
        <v>0.42</v>
      </c>
      <c r="E3543" s="2">
        <v>320.0</v>
      </c>
      <c r="F3543" s="2">
        <v>148.29</v>
      </c>
      <c r="G3543" s="4">
        <f t="shared" si="3"/>
        <v>9477310.01</v>
      </c>
      <c r="H3543" s="4">
        <f t="shared" si="1"/>
        <v>0.9929688746</v>
      </c>
      <c r="I3543" s="4" t="str">
        <f t="shared" si="2"/>
        <v>C</v>
      </c>
    </row>
    <row r="3544">
      <c r="A3544" s="2">
        <v>3543.0</v>
      </c>
      <c r="B3544" s="2">
        <v>20869.0</v>
      </c>
      <c r="C3544" s="2" t="s">
        <v>4279</v>
      </c>
      <c r="D3544" s="2">
        <v>0.85</v>
      </c>
      <c r="E3544" s="2">
        <v>265.0</v>
      </c>
      <c r="F3544" s="2">
        <v>148.18</v>
      </c>
      <c r="G3544" s="4">
        <f t="shared" si="3"/>
        <v>9477458.19</v>
      </c>
      <c r="H3544" s="4">
        <f t="shared" si="1"/>
        <v>0.9929843999</v>
      </c>
      <c r="I3544" s="4" t="str">
        <f t="shared" si="2"/>
        <v>C</v>
      </c>
    </row>
    <row r="3545">
      <c r="A3545" s="2">
        <v>3544.0</v>
      </c>
      <c r="B3545" s="2">
        <v>35920.0</v>
      </c>
      <c r="C3545" s="2" t="s">
        <v>4280</v>
      </c>
      <c r="D3545" s="2">
        <v>1.25</v>
      </c>
      <c r="E3545" s="2">
        <v>535.0</v>
      </c>
      <c r="F3545" s="2">
        <v>148.17</v>
      </c>
      <c r="G3545" s="4">
        <f t="shared" si="3"/>
        <v>9477606.36</v>
      </c>
      <c r="H3545" s="4">
        <f t="shared" si="1"/>
        <v>0.9929999242</v>
      </c>
      <c r="I3545" s="4" t="str">
        <f t="shared" si="2"/>
        <v>C</v>
      </c>
    </row>
    <row r="3546">
      <c r="A3546" s="2">
        <v>3545.0</v>
      </c>
      <c r="B3546" s="2">
        <v>90098.0</v>
      </c>
      <c r="C3546" s="2" t="s">
        <v>4281</v>
      </c>
      <c r="D3546" s="2">
        <v>2.55</v>
      </c>
      <c r="E3546" s="2">
        <v>68.0</v>
      </c>
      <c r="F3546" s="2">
        <v>148.09</v>
      </c>
      <c r="G3546" s="4">
        <f t="shared" si="3"/>
        <v>9477754.45</v>
      </c>
      <c r="H3546" s="4">
        <f t="shared" si="1"/>
        <v>0.99301544</v>
      </c>
      <c r="I3546" s="4" t="str">
        <f t="shared" si="2"/>
        <v>C</v>
      </c>
    </row>
    <row r="3547">
      <c r="A3547" s="2">
        <v>3546.0</v>
      </c>
      <c r="B3547" s="2" t="s">
        <v>4282</v>
      </c>
      <c r="C3547" s="2" t="s">
        <v>4283</v>
      </c>
      <c r="D3547" s="2">
        <v>1.66</v>
      </c>
      <c r="E3547" s="2">
        <v>76.0</v>
      </c>
      <c r="F3547" s="2">
        <v>147.69</v>
      </c>
      <c r="G3547" s="4">
        <f t="shared" si="3"/>
        <v>9477902.14</v>
      </c>
      <c r="H3547" s="4">
        <f t="shared" si="1"/>
        <v>0.993030914</v>
      </c>
      <c r="I3547" s="4" t="str">
        <f t="shared" si="2"/>
        <v>C</v>
      </c>
    </row>
    <row r="3548">
      <c r="A3548" s="2">
        <v>3547.0</v>
      </c>
      <c r="B3548" s="2">
        <v>21697.0</v>
      </c>
      <c r="C3548" s="2" t="s">
        <v>4284</v>
      </c>
      <c r="D3548" s="2">
        <v>1.69</v>
      </c>
      <c r="E3548" s="2">
        <v>186.0</v>
      </c>
      <c r="F3548" s="2">
        <v>147.54</v>
      </c>
      <c r="G3548" s="4">
        <f t="shared" si="3"/>
        <v>9478049.68</v>
      </c>
      <c r="H3548" s="4">
        <f t="shared" si="1"/>
        <v>0.9930463722</v>
      </c>
      <c r="I3548" s="4" t="str">
        <f t="shared" si="2"/>
        <v>C</v>
      </c>
    </row>
    <row r="3549">
      <c r="A3549" s="2">
        <v>3548.0</v>
      </c>
      <c r="B3549" s="2">
        <v>21388.0</v>
      </c>
      <c r="C3549" s="2" t="s">
        <v>4285</v>
      </c>
      <c r="D3549" s="2">
        <v>0.85</v>
      </c>
      <c r="E3549" s="2">
        <v>158.0</v>
      </c>
      <c r="F3549" s="2">
        <v>146.78</v>
      </c>
      <c r="G3549" s="4">
        <f t="shared" si="3"/>
        <v>9478196.46</v>
      </c>
      <c r="H3549" s="4">
        <f t="shared" si="1"/>
        <v>0.9930617509</v>
      </c>
      <c r="I3549" s="4" t="str">
        <f t="shared" si="2"/>
        <v>C</v>
      </c>
    </row>
    <row r="3550">
      <c r="A3550" s="2">
        <v>3549.0</v>
      </c>
      <c r="B3550" s="2">
        <v>35979.0</v>
      </c>
      <c r="C3550" s="2" t="s">
        <v>4286</v>
      </c>
      <c r="D3550" s="2">
        <v>2.95</v>
      </c>
      <c r="E3550" s="2">
        <v>44.0</v>
      </c>
      <c r="F3550" s="2">
        <v>146.67</v>
      </c>
      <c r="G3550" s="4">
        <f t="shared" si="3"/>
        <v>9478343.13</v>
      </c>
      <c r="H3550" s="4">
        <f t="shared" si="1"/>
        <v>0.993077118</v>
      </c>
      <c r="I3550" s="4" t="str">
        <f t="shared" si="2"/>
        <v>C</v>
      </c>
    </row>
    <row r="3551">
      <c r="A3551" s="2">
        <v>3550.0</v>
      </c>
      <c r="B3551" s="2" t="s">
        <v>4287</v>
      </c>
      <c r="C3551" s="2" t="s">
        <v>4288</v>
      </c>
      <c r="D3551" s="2">
        <v>1.25</v>
      </c>
      <c r="E3551" s="2">
        <v>332.0</v>
      </c>
      <c r="F3551" s="2">
        <v>146.54</v>
      </c>
      <c r="G3551" s="4">
        <f t="shared" si="3"/>
        <v>9478489.67</v>
      </c>
      <c r="H3551" s="4">
        <f t="shared" si="1"/>
        <v>0.9930924714</v>
      </c>
      <c r="I3551" s="4" t="str">
        <f t="shared" si="2"/>
        <v>C</v>
      </c>
    </row>
    <row r="3552">
      <c r="A3552" s="2">
        <v>3551.0</v>
      </c>
      <c r="B3552" s="2">
        <v>16212.0</v>
      </c>
      <c r="C3552" s="2" t="s">
        <v>4289</v>
      </c>
      <c r="D3552" s="2">
        <v>0.65</v>
      </c>
      <c r="E3552" s="2">
        <v>188.0</v>
      </c>
      <c r="F3552" s="2">
        <v>146.43</v>
      </c>
      <c r="G3552" s="4">
        <f t="shared" si="3"/>
        <v>9478636.1</v>
      </c>
      <c r="H3552" s="4">
        <f t="shared" si="1"/>
        <v>0.9931078134</v>
      </c>
      <c r="I3552" s="4" t="str">
        <f t="shared" si="2"/>
        <v>C</v>
      </c>
    </row>
    <row r="3553">
      <c r="A3553" s="2">
        <v>3552.0</v>
      </c>
      <c r="B3553" s="2" t="s">
        <v>4290</v>
      </c>
      <c r="C3553" s="2" t="s">
        <v>4291</v>
      </c>
      <c r="D3553" s="2">
        <v>1.25</v>
      </c>
      <c r="E3553" s="2">
        <v>117.0</v>
      </c>
      <c r="F3553" s="2">
        <v>146.25</v>
      </c>
      <c r="G3553" s="4">
        <f t="shared" si="3"/>
        <v>9478782.35</v>
      </c>
      <c r="H3553" s="4">
        <f t="shared" si="1"/>
        <v>0.9931231365</v>
      </c>
      <c r="I3553" s="4" t="str">
        <f t="shared" si="2"/>
        <v>C</v>
      </c>
    </row>
    <row r="3554">
      <c r="A3554" s="2">
        <v>3553.0</v>
      </c>
      <c r="B3554" s="2">
        <v>37422.0</v>
      </c>
      <c r="C3554" s="2" t="s">
        <v>4292</v>
      </c>
      <c r="D3554" s="2">
        <v>1.66</v>
      </c>
      <c r="E3554" s="2">
        <v>217.0</v>
      </c>
      <c r="F3554" s="2">
        <v>146.04</v>
      </c>
      <c r="G3554" s="4">
        <f t="shared" si="3"/>
        <v>9478928.39</v>
      </c>
      <c r="H3554" s="4">
        <f t="shared" si="1"/>
        <v>0.9931384376</v>
      </c>
      <c r="I3554" s="4" t="str">
        <f t="shared" si="2"/>
        <v>C</v>
      </c>
    </row>
    <row r="3555">
      <c r="A3555" s="2">
        <v>3554.0</v>
      </c>
      <c r="B3555" s="2" t="s">
        <v>4293</v>
      </c>
      <c r="C3555" s="2" t="s">
        <v>4294</v>
      </c>
      <c r="D3555" s="2">
        <v>5.88</v>
      </c>
      <c r="E3555" s="2">
        <v>70.0</v>
      </c>
      <c r="F3555" s="2">
        <v>146.04</v>
      </c>
      <c r="G3555" s="4">
        <f t="shared" si="3"/>
        <v>9479074.43</v>
      </c>
      <c r="H3555" s="4">
        <f t="shared" si="1"/>
        <v>0.9931537387</v>
      </c>
      <c r="I3555" s="4" t="str">
        <f t="shared" si="2"/>
        <v>C</v>
      </c>
    </row>
    <row r="3556">
      <c r="A3556" s="2">
        <v>3555.0</v>
      </c>
      <c r="B3556" s="2">
        <v>23567.0</v>
      </c>
      <c r="C3556" s="2" t="s">
        <v>4295</v>
      </c>
      <c r="D3556" s="2">
        <v>1.25</v>
      </c>
      <c r="E3556" s="2">
        <v>106.0</v>
      </c>
      <c r="F3556" s="2">
        <v>145.79</v>
      </c>
      <c r="G3556" s="4">
        <f t="shared" si="3"/>
        <v>9479220.22</v>
      </c>
      <c r="H3556" s="4">
        <f t="shared" si="1"/>
        <v>0.9931690136</v>
      </c>
      <c r="I3556" s="4" t="str">
        <f t="shared" si="2"/>
        <v>C</v>
      </c>
    </row>
    <row r="3557">
      <c r="A3557" s="2">
        <v>3556.0</v>
      </c>
      <c r="B3557" s="2" t="s">
        <v>4296</v>
      </c>
      <c r="C3557" s="2" t="s">
        <v>4297</v>
      </c>
      <c r="D3557" s="2">
        <v>6.75</v>
      </c>
      <c r="E3557" s="2">
        <v>25.0</v>
      </c>
      <c r="F3557" s="2">
        <v>145.39</v>
      </c>
      <c r="G3557" s="4">
        <f t="shared" si="3"/>
        <v>9479365.61</v>
      </c>
      <c r="H3557" s="4">
        <f t="shared" si="1"/>
        <v>0.9931842465</v>
      </c>
      <c r="I3557" s="4" t="str">
        <f t="shared" si="2"/>
        <v>C</v>
      </c>
    </row>
    <row r="3558">
      <c r="A3558" s="2">
        <v>3557.0</v>
      </c>
      <c r="B3558" s="2">
        <v>20826.0</v>
      </c>
      <c r="C3558" s="2" t="s">
        <v>4298</v>
      </c>
      <c r="D3558" s="2">
        <v>1.9</v>
      </c>
      <c r="E3558" s="2">
        <v>178.0</v>
      </c>
      <c r="F3558" s="2">
        <v>145.36</v>
      </c>
      <c r="G3558" s="4">
        <f t="shared" si="3"/>
        <v>9479510.97</v>
      </c>
      <c r="H3558" s="4">
        <f t="shared" si="1"/>
        <v>0.9931994764</v>
      </c>
      <c r="I3558" s="4" t="str">
        <f t="shared" si="2"/>
        <v>C</v>
      </c>
    </row>
    <row r="3559">
      <c r="A3559" s="2">
        <v>3558.0</v>
      </c>
      <c r="B3559" s="2">
        <v>23410.0</v>
      </c>
      <c r="C3559" s="2" t="s">
        <v>4299</v>
      </c>
      <c r="D3559" s="2">
        <v>8.15</v>
      </c>
      <c r="E3559" s="2">
        <v>18.0</v>
      </c>
      <c r="F3559" s="2">
        <v>145.05</v>
      </c>
      <c r="G3559" s="4">
        <f t="shared" si="3"/>
        <v>9479656.02</v>
      </c>
      <c r="H3559" s="4">
        <f t="shared" si="1"/>
        <v>0.9932146738</v>
      </c>
      <c r="I3559" s="4" t="str">
        <f t="shared" si="2"/>
        <v>C</v>
      </c>
    </row>
    <row r="3560">
      <c r="A3560" s="2">
        <v>3559.0</v>
      </c>
      <c r="B3560" s="2">
        <v>22871.0</v>
      </c>
      <c r="C3560" s="2" t="s">
        <v>4300</v>
      </c>
      <c r="D3560" s="2">
        <v>4.13</v>
      </c>
      <c r="E3560" s="2">
        <v>64.0</v>
      </c>
      <c r="F3560" s="2">
        <v>144.7</v>
      </c>
      <c r="G3560" s="4">
        <f t="shared" si="3"/>
        <v>9479800.72</v>
      </c>
      <c r="H3560" s="4">
        <f t="shared" si="1"/>
        <v>0.9932298345</v>
      </c>
      <c r="I3560" s="4" t="str">
        <f t="shared" si="2"/>
        <v>C</v>
      </c>
    </row>
    <row r="3561">
      <c r="A3561" s="2">
        <v>3560.0</v>
      </c>
      <c r="B3561" s="2">
        <v>72812.0</v>
      </c>
      <c r="C3561" s="2" t="s">
        <v>4301</v>
      </c>
      <c r="D3561" s="2">
        <v>4.13</v>
      </c>
      <c r="E3561" s="2">
        <v>52.0</v>
      </c>
      <c r="F3561" s="2">
        <v>144.23</v>
      </c>
      <c r="G3561" s="4">
        <f t="shared" si="3"/>
        <v>9479944.95</v>
      </c>
      <c r="H3561" s="4">
        <f t="shared" si="1"/>
        <v>0.9932449459</v>
      </c>
      <c r="I3561" s="4" t="str">
        <f t="shared" si="2"/>
        <v>C</v>
      </c>
    </row>
    <row r="3562">
      <c r="A3562" s="2">
        <v>3561.0</v>
      </c>
      <c r="B3562" s="2">
        <v>20987.0</v>
      </c>
      <c r="C3562" s="2" t="s">
        <v>4302</v>
      </c>
      <c r="D3562" s="2">
        <v>1.95</v>
      </c>
      <c r="E3562" s="2">
        <v>66.0</v>
      </c>
      <c r="F3562" s="2">
        <v>144.18</v>
      </c>
      <c r="G3562" s="4">
        <f t="shared" si="3"/>
        <v>9480089.13</v>
      </c>
      <c r="H3562" s="4">
        <f t="shared" si="1"/>
        <v>0.9932600521</v>
      </c>
      <c r="I3562" s="4" t="str">
        <f t="shared" si="2"/>
        <v>C</v>
      </c>
    </row>
    <row r="3563">
      <c r="A3563" s="2">
        <v>3562.0</v>
      </c>
      <c r="B3563" s="2" t="s">
        <v>4303</v>
      </c>
      <c r="C3563" s="2" t="s">
        <v>4304</v>
      </c>
      <c r="D3563" s="2">
        <v>0.85</v>
      </c>
      <c r="E3563" s="2">
        <v>158.0</v>
      </c>
      <c r="F3563" s="2">
        <v>143.76</v>
      </c>
      <c r="G3563" s="4">
        <f t="shared" si="3"/>
        <v>9480232.89</v>
      </c>
      <c r="H3563" s="4">
        <f t="shared" si="1"/>
        <v>0.9932751143</v>
      </c>
      <c r="I3563" s="4" t="str">
        <f t="shared" si="2"/>
        <v>C</v>
      </c>
    </row>
    <row r="3564">
      <c r="A3564" s="2">
        <v>3563.0</v>
      </c>
      <c r="B3564" s="2">
        <v>21321.0</v>
      </c>
      <c r="C3564" s="2" t="s">
        <v>4305</v>
      </c>
      <c r="D3564" s="2">
        <v>2.55</v>
      </c>
      <c r="E3564" s="2">
        <v>58.0</v>
      </c>
      <c r="F3564" s="2">
        <v>143.25</v>
      </c>
      <c r="G3564" s="4">
        <f t="shared" si="3"/>
        <v>9480376.14</v>
      </c>
      <c r="H3564" s="4">
        <f t="shared" si="1"/>
        <v>0.9932901231</v>
      </c>
      <c r="I3564" s="4" t="str">
        <f t="shared" si="2"/>
        <v>C</v>
      </c>
    </row>
    <row r="3565">
      <c r="A3565" s="2">
        <v>3564.0</v>
      </c>
      <c r="B3565" s="2" t="s">
        <v>4306</v>
      </c>
      <c r="C3565" s="2" t="s">
        <v>4307</v>
      </c>
      <c r="D3565" s="2">
        <v>4.25</v>
      </c>
      <c r="E3565" s="2">
        <v>34.0</v>
      </c>
      <c r="F3565" s="2">
        <v>142.42</v>
      </c>
      <c r="G3565" s="4">
        <f t="shared" si="3"/>
        <v>9480518.56</v>
      </c>
      <c r="H3565" s="4">
        <f t="shared" si="1"/>
        <v>0.9933050449</v>
      </c>
      <c r="I3565" s="4" t="str">
        <f t="shared" si="2"/>
        <v>C</v>
      </c>
    </row>
    <row r="3566">
      <c r="A3566" s="2">
        <v>3565.0</v>
      </c>
      <c r="B3566" s="2" t="s">
        <v>4308</v>
      </c>
      <c r="C3566" s="2" t="s">
        <v>4309</v>
      </c>
      <c r="D3566" s="2">
        <v>9.95</v>
      </c>
      <c r="E3566" s="2">
        <v>14.0</v>
      </c>
      <c r="F3566" s="2">
        <v>142.34</v>
      </c>
      <c r="G3566" s="4">
        <f t="shared" si="3"/>
        <v>9480660.9</v>
      </c>
      <c r="H3566" s="4">
        <f t="shared" si="1"/>
        <v>0.9933199583</v>
      </c>
      <c r="I3566" s="4" t="str">
        <f t="shared" si="2"/>
        <v>C</v>
      </c>
    </row>
    <row r="3567">
      <c r="A3567" s="2">
        <v>3566.0</v>
      </c>
      <c r="B3567" s="2">
        <v>37413.0</v>
      </c>
      <c r="C3567" s="2" t="s">
        <v>4310</v>
      </c>
      <c r="D3567" s="2">
        <v>0.39</v>
      </c>
      <c r="E3567" s="2">
        <v>352.0</v>
      </c>
      <c r="F3567" s="2">
        <v>142.24</v>
      </c>
      <c r="G3567" s="4">
        <f t="shared" si="3"/>
        <v>9480803.14</v>
      </c>
      <c r="H3567" s="4">
        <f t="shared" si="1"/>
        <v>0.9933348613</v>
      </c>
      <c r="I3567" s="4" t="str">
        <f t="shared" si="2"/>
        <v>C</v>
      </c>
    </row>
    <row r="3568">
      <c r="A3568" s="2">
        <v>3567.0</v>
      </c>
      <c r="B3568" s="2">
        <v>20663.0</v>
      </c>
      <c r="C3568" s="2" t="s">
        <v>4311</v>
      </c>
      <c r="D3568" s="2">
        <v>2.51</v>
      </c>
      <c r="E3568" s="2">
        <v>287.0</v>
      </c>
      <c r="F3568" s="2">
        <v>142.21</v>
      </c>
      <c r="G3568" s="4">
        <f t="shared" si="3"/>
        <v>9480945.35</v>
      </c>
      <c r="H3568" s="4">
        <f t="shared" si="1"/>
        <v>0.9933497611</v>
      </c>
      <c r="I3568" s="4" t="str">
        <f t="shared" si="2"/>
        <v>C</v>
      </c>
    </row>
    <row r="3569">
      <c r="A3569" s="2">
        <v>3568.0</v>
      </c>
      <c r="B3569" s="2">
        <v>82093.0</v>
      </c>
      <c r="C3569" s="2" t="s">
        <v>4312</v>
      </c>
      <c r="D3569" s="2">
        <v>3.43</v>
      </c>
      <c r="E3569" s="2">
        <v>70.0</v>
      </c>
      <c r="F3569" s="2">
        <v>141.74</v>
      </c>
      <c r="G3569" s="4">
        <f t="shared" si="3"/>
        <v>9481087.09</v>
      </c>
      <c r="H3569" s="4">
        <f t="shared" si="1"/>
        <v>0.9933646117</v>
      </c>
      <c r="I3569" s="4" t="str">
        <f t="shared" si="2"/>
        <v>C</v>
      </c>
    </row>
    <row r="3570">
      <c r="A3570" s="2">
        <v>3569.0</v>
      </c>
      <c r="B3570" s="2" t="s">
        <v>4313</v>
      </c>
      <c r="C3570" s="2" t="s">
        <v>4314</v>
      </c>
      <c r="D3570" s="2">
        <v>2.55</v>
      </c>
      <c r="E3570" s="2">
        <v>56.0</v>
      </c>
      <c r="F3570" s="2">
        <v>141.7</v>
      </c>
      <c r="G3570" s="4">
        <f t="shared" si="3"/>
        <v>9481228.79</v>
      </c>
      <c r="H3570" s="4">
        <f t="shared" si="1"/>
        <v>0.993379458</v>
      </c>
      <c r="I3570" s="4" t="str">
        <f t="shared" si="2"/>
        <v>C</v>
      </c>
    </row>
    <row r="3571">
      <c r="A3571" s="2">
        <v>3570.0</v>
      </c>
      <c r="B3571" s="2">
        <v>21144.0</v>
      </c>
      <c r="C3571" s="2" t="s">
        <v>4315</v>
      </c>
      <c r="D3571" s="2">
        <v>0.38</v>
      </c>
      <c r="E3571" s="2">
        <v>266.0</v>
      </c>
      <c r="F3571" s="2">
        <v>141.46</v>
      </c>
      <c r="G3571" s="4">
        <f t="shared" si="3"/>
        <v>9481370.25</v>
      </c>
      <c r="H3571" s="4">
        <f t="shared" si="1"/>
        <v>0.9933942793</v>
      </c>
      <c r="I3571" s="4" t="str">
        <f t="shared" si="2"/>
        <v>C</v>
      </c>
    </row>
    <row r="3572">
      <c r="A3572" s="2">
        <v>3571.0</v>
      </c>
      <c r="B3572" s="2">
        <v>84977.0</v>
      </c>
      <c r="C3572" s="2" t="s">
        <v>4316</v>
      </c>
      <c r="D3572" s="2">
        <v>1.25</v>
      </c>
      <c r="E3572" s="2">
        <v>112.0</v>
      </c>
      <c r="F3572" s="2">
        <v>141.29</v>
      </c>
      <c r="G3572" s="4">
        <f t="shared" si="3"/>
        <v>9481511.54</v>
      </c>
      <c r="H3572" s="4">
        <f t="shared" si="1"/>
        <v>0.9934090827</v>
      </c>
      <c r="I3572" s="4" t="str">
        <f t="shared" si="2"/>
        <v>C</v>
      </c>
    </row>
    <row r="3573">
      <c r="A3573" s="2">
        <v>3572.0</v>
      </c>
      <c r="B3573" s="2" t="s">
        <v>4317</v>
      </c>
      <c r="C3573" s="2" t="s">
        <v>4318</v>
      </c>
      <c r="D3573" s="2">
        <v>2.55</v>
      </c>
      <c r="E3573" s="2">
        <v>52.0</v>
      </c>
      <c r="F3573" s="2">
        <v>141.18</v>
      </c>
      <c r="G3573" s="4">
        <f t="shared" si="3"/>
        <v>9481652.72</v>
      </c>
      <c r="H3573" s="4">
        <f t="shared" si="1"/>
        <v>0.9934238746</v>
      </c>
      <c r="I3573" s="4" t="str">
        <f t="shared" si="2"/>
        <v>C</v>
      </c>
    </row>
    <row r="3574">
      <c r="A3574" s="2">
        <v>3573.0</v>
      </c>
      <c r="B3574" s="2">
        <v>20980.0</v>
      </c>
      <c r="C3574" s="2" t="s">
        <v>4319</v>
      </c>
      <c r="D3574" s="2">
        <v>1.25</v>
      </c>
      <c r="E3574" s="2">
        <v>116.0</v>
      </c>
      <c r="F3574" s="2">
        <v>141.16</v>
      </c>
      <c r="G3574" s="4">
        <f t="shared" si="3"/>
        <v>9481793.88</v>
      </c>
      <c r="H3574" s="4">
        <f t="shared" si="1"/>
        <v>0.9934386644</v>
      </c>
      <c r="I3574" s="4" t="str">
        <f t="shared" si="2"/>
        <v>C</v>
      </c>
    </row>
    <row r="3575">
      <c r="A3575" s="2">
        <v>3574.0</v>
      </c>
      <c r="B3575" s="2" t="s">
        <v>4320</v>
      </c>
      <c r="C3575" s="2" t="s">
        <v>4321</v>
      </c>
      <c r="D3575" s="2">
        <v>4.25</v>
      </c>
      <c r="E3575" s="2">
        <v>74.0</v>
      </c>
      <c r="F3575" s="2">
        <v>141.02</v>
      </c>
      <c r="G3575" s="4">
        <f t="shared" si="3"/>
        <v>9481934.9</v>
      </c>
      <c r="H3575" s="4">
        <f t="shared" si="1"/>
        <v>0.9934534395</v>
      </c>
      <c r="I3575" s="4" t="str">
        <f t="shared" si="2"/>
        <v>C</v>
      </c>
    </row>
    <row r="3576">
      <c r="A3576" s="2">
        <v>3575.0</v>
      </c>
      <c r="B3576" s="2" t="s">
        <v>4322</v>
      </c>
      <c r="C3576" s="2" t="s">
        <v>4323</v>
      </c>
      <c r="D3576" s="2">
        <v>2.95</v>
      </c>
      <c r="E3576" s="2">
        <v>513.0</v>
      </c>
      <c r="F3576" s="2">
        <v>140.84</v>
      </c>
      <c r="G3576" s="4">
        <f t="shared" si="3"/>
        <v>9482075.74</v>
      </c>
      <c r="H3576" s="4">
        <f t="shared" si="1"/>
        <v>0.9934681958</v>
      </c>
      <c r="I3576" s="4" t="str">
        <f t="shared" si="2"/>
        <v>C</v>
      </c>
    </row>
    <row r="3577">
      <c r="A3577" s="2">
        <v>3576.0</v>
      </c>
      <c r="B3577" s="2" t="s">
        <v>4324</v>
      </c>
      <c r="C3577" s="2" t="s">
        <v>1077</v>
      </c>
      <c r="D3577" s="2">
        <v>2.46</v>
      </c>
      <c r="E3577" s="2">
        <v>58.0</v>
      </c>
      <c r="F3577" s="2">
        <v>140.72</v>
      </c>
      <c r="G3577" s="4">
        <f t="shared" si="3"/>
        <v>9482216.46</v>
      </c>
      <c r="H3577" s="4">
        <f t="shared" si="1"/>
        <v>0.9934829395</v>
      </c>
      <c r="I3577" s="4" t="str">
        <f t="shared" si="2"/>
        <v>C</v>
      </c>
    </row>
    <row r="3578">
      <c r="A3578" s="2">
        <v>3577.0</v>
      </c>
      <c r="B3578" s="2">
        <v>23481.0</v>
      </c>
      <c r="C3578" s="2" t="s">
        <v>4325</v>
      </c>
      <c r="D3578" s="2">
        <v>1.25</v>
      </c>
      <c r="E3578" s="2">
        <v>114.0</v>
      </c>
      <c r="F3578" s="2">
        <v>140.58</v>
      </c>
      <c r="G3578" s="4">
        <f t="shared" si="3"/>
        <v>9482357.04</v>
      </c>
      <c r="H3578" s="4">
        <f t="shared" si="1"/>
        <v>0.9934976685</v>
      </c>
      <c r="I3578" s="4" t="str">
        <f t="shared" si="2"/>
        <v>C</v>
      </c>
    </row>
    <row r="3579">
      <c r="A3579" s="2">
        <v>3578.0</v>
      </c>
      <c r="B3579" s="2" t="s">
        <v>4326</v>
      </c>
      <c r="C3579" s="2" t="s">
        <v>4327</v>
      </c>
      <c r="D3579" s="2">
        <v>7.64</v>
      </c>
      <c r="E3579" s="2">
        <v>18.0</v>
      </c>
      <c r="F3579" s="2">
        <v>140.35</v>
      </c>
      <c r="G3579" s="4">
        <f t="shared" si="3"/>
        <v>9482497.39</v>
      </c>
      <c r="H3579" s="4">
        <f t="shared" si="1"/>
        <v>0.9935123734</v>
      </c>
      <c r="I3579" s="4" t="str">
        <f t="shared" si="2"/>
        <v>C</v>
      </c>
    </row>
    <row r="3580">
      <c r="A3580" s="2">
        <v>3579.0</v>
      </c>
      <c r="B3580" s="2">
        <v>84457.0</v>
      </c>
      <c r="C3580" s="2" t="s">
        <v>4328</v>
      </c>
      <c r="D3580" s="2">
        <v>0.85</v>
      </c>
      <c r="E3580" s="2">
        <v>146.0</v>
      </c>
      <c r="F3580" s="2">
        <v>140.22</v>
      </c>
      <c r="G3580" s="4">
        <f t="shared" si="3"/>
        <v>9482637.61</v>
      </c>
      <c r="H3580" s="4">
        <f t="shared" si="1"/>
        <v>0.9935270647</v>
      </c>
      <c r="I3580" s="4" t="str">
        <f t="shared" si="2"/>
        <v>C</v>
      </c>
    </row>
    <row r="3581">
      <c r="A3581" s="2">
        <v>3580.0</v>
      </c>
      <c r="B3581" s="2">
        <v>84192.0</v>
      </c>
      <c r="C3581" s="2" t="s">
        <v>4329</v>
      </c>
      <c r="D3581" s="2">
        <v>1.25</v>
      </c>
      <c r="E3581" s="2">
        <v>116.0</v>
      </c>
      <c r="F3581" s="2">
        <v>139.93</v>
      </c>
      <c r="G3581" s="4">
        <f t="shared" si="3"/>
        <v>9482777.54</v>
      </c>
      <c r="H3581" s="4">
        <f t="shared" si="1"/>
        <v>0.9935417257</v>
      </c>
      <c r="I3581" s="4" t="str">
        <f t="shared" si="2"/>
        <v>C</v>
      </c>
    </row>
    <row r="3582">
      <c r="A3582" s="2">
        <v>3581.0</v>
      </c>
      <c r="B3582" s="2" t="s">
        <v>4330</v>
      </c>
      <c r="C3582" s="2" t="s">
        <v>4331</v>
      </c>
      <c r="D3582" s="2">
        <v>1.25</v>
      </c>
      <c r="E3582" s="2">
        <v>242.0</v>
      </c>
      <c r="F3582" s="2">
        <v>139.57</v>
      </c>
      <c r="G3582" s="4">
        <f t="shared" si="3"/>
        <v>9482917.11</v>
      </c>
      <c r="H3582" s="4">
        <f t="shared" si="1"/>
        <v>0.9935563489</v>
      </c>
      <c r="I3582" s="4" t="str">
        <f t="shared" si="2"/>
        <v>C</v>
      </c>
    </row>
    <row r="3583">
      <c r="A3583" s="2">
        <v>3582.0</v>
      </c>
      <c r="B3583" s="2" t="s">
        <v>4332</v>
      </c>
      <c r="C3583" s="2" t="s">
        <v>4333</v>
      </c>
      <c r="D3583" s="2">
        <v>1.25</v>
      </c>
      <c r="E3583" s="2">
        <v>163.0</v>
      </c>
      <c r="F3583" s="2">
        <v>139.54</v>
      </c>
      <c r="G3583" s="4">
        <f t="shared" si="3"/>
        <v>9483056.65</v>
      </c>
      <c r="H3583" s="4">
        <f t="shared" si="1"/>
        <v>0.9935709689</v>
      </c>
      <c r="I3583" s="4" t="str">
        <f t="shared" si="2"/>
        <v>C</v>
      </c>
    </row>
    <row r="3584">
      <c r="A3584" s="2">
        <v>3583.0</v>
      </c>
      <c r="B3584" s="2" t="s">
        <v>4334</v>
      </c>
      <c r="C3584" s="2" t="s">
        <v>4335</v>
      </c>
      <c r="D3584" s="2">
        <v>2.95</v>
      </c>
      <c r="E3584" s="2">
        <v>90.0</v>
      </c>
      <c r="F3584" s="2">
        <v>139.5</v>
      </c>
      <c r="G3584" s="4">
        <f t="shared" si="3"/>
        <v>9483196.15</v>
      </c>
      <c r="H3584" s="4">
        <f t="shared" si="1"/>
        <v>0.9935855848</v>
      </c>
      <c r="I3584" s="4" t="str">
        <f t="shared" si="2"/>
        <v>C</v>
      </c>
    </row>
    <row r="3585">
      <c r="A3585" s="2">
        <v>3584.0</v>
      </c>
      <c r="B3585" s="2">
        <v>90115.0</v>
      </c>
      <c r="C3585" s="2" t="s">
        <v>4336</v>
      </c>
      <c r="D3585" s="2">
        <v>2.51</v>
      </c>
      <c r="E3585" s="2">
        <v>54.0</v>
      </c>
      <c r="F3585" s="2">
        <v>139.48</v>
      </c>
      <c r="G3585" s="4">
        <f t="shared" si="3"/>
        <v>9483335.63</v>
      </c>
      <c r="H3585" s="4">
        <f t="shared" si="1"/>
        <v>0.9936001986</v>
      </c>
      <c r="I3585" s="4" t="str">
        <f t="shared" si="2"/>
        <v>C</v>
      </c>
    </row>
    <row r="3586">
      <c r="A3586" s="2">
        <v>3585.0</v>
      </c>
      <c r="B3586" s="2" t="s">
        <v>4337</v>
      </c>
      <c r="C3586" s="2" t="s">
        <v>4338</v>
      </c>
      <c r="D3586" s="2">
        <v>4.96</v>
      </c>
      <c r="E3586" s="2">
        <v>28.0</v>
      </c>
      <c r="F3586" s="2">
        <v>139.42</v>
      </c>
      <c r="G3586" s="4">
        <f t="shared" si="3"/>
        <v>9483475.05</v>
      </c>
      <c r="H3586" s="4">
        <f t="shared" si="1"/>
        <v>0.9936148061</v>
      </c>
      <c r="I3586" s="4" t="str">
        <f t="shared" si="2"/>
        <v>C</v>
      </c>
    </row>
    <row r="3587">
      <c r="A3587" s="2">
        <v>3586.0</v>
      </c>
      <c r="B3587" s="2">
        <v>21367.0</v>
      </c>
      <c r="C3587" s="2" t="s">
        <v>4339</v>
      </c>
      <c r="D3587" s="2">
        <v>2.55</v>
      </c>
      <c r="E3587" s="2">
        <v>106.0</v>
      </c>
      <c r="F3587" s="2">
        <v>139.24</v>
      </c>
      <c r="G3587" s="4">
        <f t="shared" si="3"/>
        <v>9483614.29</v>
      </c>
      <c r="H3587" s="4">
        <f t="shared" si="1"/>
        <v>0.9936293947</v>
      </c>
      <c r="I3587" s="4" t="str">
        <f t="shared" si="2"/>
        <v>C</v>
      </c>
    </row>
    <row r="3588">
      <c r="A3588" s="2">
        <v>3587.0</v>
      </c>
      <c r="B3588" s="2" t="s">
        <v>4340</v>
      </c>
      <c r="C3588" s="2" t="s">
        <v>4341</v>
      </c>
      <c r="D3588" s="2">
        <v>0.84</v>
      </c>
      <c r="E3588" s="2">
        <v>388.0</v>
      </c>
      <c r="F3588" s="2">
        <v>138.74</v>
      </c>
      <c r="G3588" s="4">
        <f t="shared" si="3"/>
        <v>9483753.03</v>
      </c>
      <c r="H3588" s="4">
        <f t="shared" si="1"/>
        <v>0.9936439309</v>
      </c>
      <c r="I3588" s="4" t="str">
        <f t="shared" si="2"/>
        <v>C</v>
      </c>
    </row>
    <row r="3589">
      <c r="A3589" s="2">
        <v>3588.0</v>
      </c>
      <c r="B3589" s="2">
        <v>21412.0</v>
      </c>
      <c r="C3589" s="2" t="s">
        <v>4342</v>
      </c>
      <c r="D3589" s="2">
        <v>0.42</v>
      </c>
      <c r="E3589" s="2">
        <v>136.0</v>
      </c>
      <c r="F3589" s="2">
        <v>138.66</v>
      </c>
      <c r="G3589" s="4">
        <f t="shared" si="3"/>
        <v>9483891.69</v>
      </c>
      <c r="H3589" s="4">
        <f t="shared" si="1"/>
        <v>0.9936584588</v>
      </c>
      <c r="I3589" s="4" t="str">
        <f t="shared" si="2"/>
        <v>C</v>
      </c>
    </row>
    <row r="3590">
      <c r="A3590" s="2">
        <v>3589.0</v>
      </c>
      <c r="B3590" s="2">
        <v>75178.0</v>
      </c>
      <c r="C3590" s="2" t="s">
        <v>4343</v>
      </c>
      <c r="D3590" s="2">
        <v>1.25</v>
      </c>
      <c r="E3590" s="2">
        <v>250.0</v>
      </c>
      <c r="F3590" s="2">
        <v>138.22</v>
      </c>
      <c r="G3590" s="4">
        <f t="shared" si="3"/>
        <v>9484029.91</v>
      </c>
      <c r="H3590" s="4">
        <f t="shared" si="1"/>
        <v>0.9936729406</v>
      </c>
      <c r="I3590" s="4" t="str">
        <f t="shared" si="2"/>
        <v>C</v>
      </c>
    </row>
    <row r="3591">
      <c r="A3591" s="2">
        <v>3590.0</v>
      </c>
      <c r="B3591" s="2" t="s">
        <v>4344</v>
      </c>
      <c r="C3591" s="2" t="s">
        <v>4345</v>
      </c>
      <c r="D3591" s="2">
        <v>12.0</v>
      </c>
      <c r="E3591" s="2">
        <v>12.0</v>
      </c>
      <c r="F3591" s="2">
        <v>138.0</v>
      </c>
      <c r="G3591" s="4">
        <f t="shared" si="3"/>
        <v>9484167.91</v>
      </c>
      <c r="H3591" s="4">
        <f t="shared" si="1"/>
        <v>0.9936873993</v>
      </c>
      <c r="I3591" s="4" t="str">
        <f t="shared" si="2"/>
        <v>C</v>
      </c>
    </row>
    <row r="3592">
      <c r="A3592" s="2">
        <v>3591.0</v>
      </c>
      <c r="B3592" s="2">
        <v>23137.0</v>
      </c>
      <c r="C3592" s="2" t="s">
        <v>4346</v>
      </c>
      <c r="D3592" s="2">
        <v>3.75</v>
      </c>
      <c r="E3592" s="2">
        <v>42.0</v>
      </c>
      <c r="F3592" s="2">
        <v>137.81</v>
      </c>
      <c r="G3592" s="4">
        <f t="shared" si="3"/>
        <v>9484305.72</v>
      </c>
      <c r="H3592" s="4">
        <f t="shared" si="1"/>
        <v>0.9937018381</v>
      </c>
      <c r="I3592" s="4" t="str">
        <f t="shared" si="2"/>
        <v>C</v>
      </c>
    </row>
    <row r="3593">
      <c r="A3593" s="2">
        <v>3592.0</v>
      </c>
      <c r="B3593" s="2" t="s">
        <v>4347</v>
      </c>
      <c r="C3593" s="2" t="s">
        <v>1672</v>
      </c>
      <c r="D3593" s="2">
        <v>2.55</v>
      </c>
      <c r="E3593" s="2">
        <v>101.0</v>
      </c>
      <c r="F3593" s="2">
        <v>137.76</v>
      </c>
      <c r="G3593" s="4">
        <f t="shared" si="3"/>
        <v>9484443.48</v>
      </c>
      <c r="H3593" s="4">
        <f t="shared" si="1"/>
        <v>0.9937162717</v>
      </c>
      <c r="I3593" s="4" t="str">
        <f t="shared" si="2"/>
        <v>C</v>
      </c>
    </row>
    <row r="3594">
      <c r="A3594" s="2">
        <v>3593.0</v>
      </c>
      <c r="B3594" s="2">
        <v>21095.0</v>
      </c>
      <c r="C3594" s="2" t="s">
        <v>4348</v>
      </c>
      <c r="D3594" s="2">
        <v>0.85</v>
      </c>
      <c r="E3594" s="2">
        <v>148.0</v>
      </c>
      <c r="F3594" s="2">
        <v>137.28</v>
      </c>
      <c r="G3594" s="4">
        <f t="shared" si="3"/>
        <v>9484580.76</v>
      </c>
      <c r="H3594" s="4">
        <f t="shared" si="1"/>
        <v>0.9937306549</v>
      </c>
      <c r="I3594" s="4" t="str">
        <f t="shared" si="2"/>
        <v>C</v>
      </c>
    </row>
    <row r="3595">
      <c r="A3595" s="2">
        <v>3594.0</v>
      </c>
      <c r="B3595" s="2">
        <v>21193.0</v>
      </c>
      <c r="C3595" s="2" t="s">
        <v>4349</v>
      </c>
      <c r="D3595" s="2">
        <v>2.1</v>
      </c>
      <c r="E3595" s="2">
        <v>56.0</v>
      </c>
      <c r="F3595" s="2">
        <v>137.18</v>
      </c>
      <c r="G3595" s="4">
        <f t="shared" si="3"/>
        <v>9484717.94</v>
      </c>
      <c r="H3595" s="4">
        <f t="shared" si="1"/>
        <v>0.9937450277</v>
      </c>
      <c r="I3595" s="4" t="str">
        <f t="shared" si="2"/>
        <v>C</v>
      </c>
    </row>
    <row r="3596">
      <c r="A3596" s="2">
        <v>3595.0</v>
      </c>
      <c r="B3596" s="2" t="s">
        <v>4350</v>
      </c>
      <c r="C3596" s="2" t="s">
        <v>4351</v>
      </c>
      <c r="D3596" s="2">
        <v>1.25</v>
      </c>
      <c r="E3596" s="2">
        <v>168.0</v>
      </c>
      <c r="F3596" s="2">
        <v>136.66</v>
      </c>
      <c r="G3596" s="4">
        <f t="shared" si="3"/>
        <v>9484854.6</v>
      </c>
      <c r="H3596" s="4">
        <f t="shared" si="1"/>
        <v>0.993759346</v>
      </c>
      <c r="I3596" s="4" t="str">
        <f t="shared" si="2"/>
        <v>C</v>
      </c>
    </row>
    <row r="3597">
      <c r="A3597" s="2">
        <v>3596.0</v>
      </c>
      <c r="B3597" s="2">
        <v>23141.0</v>
      </c>
      <c r="C3597" s="2" t="s">
        <v>4352</v>
      </c>
      <c r="D3597" s="2">
        <v>4.15</v>
      </c>
      <c r="E3597" s="2">
        <v>40.0</v>
      </c>
      <c r="F3597" s="2">
        <v>136.46</v>
      </c>
      <c r="G3597" s="4">
        <f t="shared" si="3"/>
        <v>9484991.06</v>
      </c>
      <c r="H3597" s="4">
        <f t="shared" si="1"/>
        <v>0.9937736434</v>
      </c>
      <c r="I3597" s="4" t="str">
        <f t="shared" si="2"/>
        <v>C</v>
      </c>
    </row>
    <row r="3598">
      <c r="A3598" s="2">
        <v>3597.0</v>
      </c>
      <c r="B3598" s="2" t="s">
        <v>4353</v>
      </c>
      <c r="C3598" s="2" t="s">
        <v>4354</v>
      </c>
      <c r="D3598" s="2">
        <v>3.75</v>
      </c>
      <c r="E3598" s="2">
        <v>382.0</v>
      </c>
      <c r="F3598" s="2">
        <v>136.3</v>
      </c>
      <c r="G3598" s="4">
        <f t="shared" si="3"/>
        <v>9485127.36</v>
      </c>
      <c r="H3598" s="4">
        <f t="shared" si="1"/>
        <v>0.993787924</v>
      </c>
      <c r="I3598" s="4" t="str">
        <f t="shared" si="2"/>
        <v>C</v>
      </c>
    </row>
    <row r="3599">
      <c r="A3599" s="2">
        <v>3598.0</v>
      </c>
      <c r="B3599" s="2">
        <v>22868.0</v>
      </c>
      <c r="C3599" s="2" t="s">
        <v>4355</v>
      </c>
      <c r="D3599" s="2">
        <v>1.95</v>
      </c>
      <c r="E3599" s="2">
        <v>62.0</v>
      </c>
      <c r="F3599" s="2">
        <v>136.16</v>
      </c>
      <c r="G3599" s="4">
        <f t="shared" si="3"/>
        <v>9485263.52</v>
      </c>
      <c r="H3599" s="4">
        <f t="shared" si="1"/>
        <v>0.9938021899</v>
      </c>
      <c r="I3599" s="4" t="str">
        <f t="shared" si="2"/>
        <v>C</v>
      </c>
    </row>
    <row r="3600">
      <c r="A3600" s="2">
        <v>3599.0</v>
      </c>
      <c r="B3600" s="2">
        <v>84499.0</v>
      </c>
      <c r="C3600" s="2" t="s">
        <v>4356</v>
      </c>
      <c r="D3600" s="2">
        <v>0.85</v>
      </c>
      <c r="E3600" s="2">
        <v>163.0</v>
      </c>
      <c r="F3600" s="2">
        <v>136.08</v>
      </c>
      <c r="G3600" s="4">
        <f t="shared" si="3"/>
        <v>9485399.6</v>
      </c>
      <c r="H3600" s="4">
        <f t="shared" si="1"/>
        <v>0.9938164475</v>
      </c>
      <c r="I3600" s="4" t="str">
        <f t="shared" si="2"/>
        <v>C</v>
      </c>
    </row>
    <row r="3601">
      <c r="A3601" s="2">
        <v>3600.0</v>
      </c>
      <c r="B3601" s="2">
        <v>22874.0</v>
      </c>
      <c r="C3601" s="2" t="s">
        <v>4357</v>
      </c>
      <c r="D3601" s="2">
        <v>1.95</v>
      </c>
      <c r="E3601" s="2">
        <v>63.0</v>
      </c>
      <c r="F3601" s="2">
        <v>136.01</v>
      </c>
      <c r="G3601" s="4">
        <f t="shared" si="3"/>
        <v>9485535.61</v>
      </c>
      <c r="H3601" s="4">
        <f t="shared" si="1"/>
        <v>0.9938306977</v>
      </c>
      <c r="I3601" s="4" t="str">
        <f t="shared" si="2"/>
        <v>C</v>
      </c>
    </row>
    <row r="3602">
      <c r="A3602" s="2">
        <v>3601.0</v>
      </c>
      <c r="B3602" s="2">
        <v>90032.0</v>
      </c>
      <c r="C3602" s="2" t="s">
        <v>4358</v>
      </c>
      <c r="D3602" s="2">
        <v>6.25</v>
      </c>
      <c r="E3602" s="2">
        <v>24.0</v>
      </c>
      <c r="F3602" s="2">
        <v>135.94</v>
      </c>
      <c r="G3602" s="4">
        <f t="shared" si="3"/>
        <v>9485671.55</v>
      </c>
      <c r="H3602" s="4">
        <f t="shared" si="1"/>
        <v>0.9938449406</v>
      </c>
      <c r="I3602" s="4" t="str">
        <f t="shared" si="2"/>
        <v>C</v>
      </c>
    </row>
    <row r="3603">
      <c r="A3603" s="2">
        <v>3602.0</v>
      </c>
      <c r="B3603" s="2">
        <v>16052.0</v>
      </c>
      <c r="C3603" s="2" t="s">
        <v>4359</v>
      </c>
      <c r="D3603" s="2">
        <v>0.42</v>
      </c>
      <c r="E3603" s="2">
        <v>412.0</v>
      </c>
      <c r="F3603" s="2">
        <v>135.62</v>
      </c>
      <c r="G3603" s="4">
        <f t="shared" si="3"/>
        <v>9485807.17</v>
      </c>
      <c r="H3603" s="4">
        <f t="shared" si="1"/>
        <v>0.9938591499</v>
      </c>
      <c r="I3603" s="4" t="str">
        <f t="shared" si="2"/>
        <v>C</v>
      </c>
    </row>
    <row r="3604">
      <c r="A3604" s="2">
        <v>3603.0</v>
      </c>
      <c r="B3604" s="2">
        <v>23474.0</v>
      </c>
      <c r="C3604" s="2" t="s">
        <v>4360</v>
      </c>
      <c r="D3604" s="2">
        <v>0.83</v>
      </c>
      <c r="E3604" s="2">
        <v>156.0</v>
      </c>
      <c r="F3604" s="2">
        <v>135.48</v>
      </c>
      <c r="G3604" s="4">
        <f t="shared" si="3"/>
        <v>9485942.65</v>
      </c>
      <c r="H3604" s="4">
        <f t="shared" si="1"/>
        <v>0.9938733446</v>
      </c>
      <c r="I3604" s="4" t="str">
        <f t="shared" si="2"/>
        <v>C</v>
      </c>
    </row>
    <row r="3605">
      <c r="A3605" s="2">
        <v>3604.0</v>
      </c>
      <c r="B3605" s="2">
        <v>22877.0</v>
      </c>
      <c r="C3605" s="2" t="s">
        <v>4361</v>
      </c>
      <c r="D3605" s="2">
        <v>1.95</v>
      </c>
      <c r="E3605" s="2">
        <v>64.0</v>
      </c>
      <c r="F3605" s="2">
        <v>134.84</v>
      </c>
      <c r="G3605" s="4">
        <f t="shared" si="3"/>
        <v>9486077.49</v>
      </c>
      <c r="H3605" s="4">
        <f t="shared" si="1"/>
        <v>0.9938874722</v>
      </c>
      <c r="I3605" s="4" t="str">
        <f t="shared" si="2"/>
        <v>C</v>
      </c>
    </row>
    <row r="3606">
      <c r="A3606" s="2">
        <v>3605.0</v>
      </c>
      <c r="B3606" s="2" t="s">
        <v>4362</v>
      </c>
      <c r="C3606" s="2" t="s">
        <v>4363</v>
      </c>
      <c r="D3606" s="2">
        <v>1.65</v>
      </c>
      <c r="E3606" s="2">
        <v>82.0</v>
      </c>
      <c r="F3606" s="2">
        <v>134.77</v>
      </c>
      <c r="G3606" s="4">
        <f t="shared" si="3"/>
        <v>9486212.26</v>
      </c>
      <c r="H3606" s="4">
        <f t="shared" si="1"/>
        <v>0.9939015925</v>
      </c>
      <c r="I3606" s="4" t="str">
        <f t="shared" si="2"/>
        <v>C</v>
      </c>
    </row>
    <row r="3607">
      <c r="A3607" s="2">
        <v>3606.0</v>
      </c>
      <c r="B3607" s="2" t="s">
        <v>4364</v>
      </c>
      <c r="C3607" s="2" t="s">
        <v>4365</v>
      </c>
      <c r="D3607" s="2">
        <v>5.91</v>
      </c>
      <c r="E3607" s="2">
        <v>38.0</v>
      </c>
      <c r="F3607" s="2">
        <v>134.75</v>
      </c>
      <c r="G3607" s="4">
        <f t="shared" si="3"/>
        <v>9486347.01</v>
      </c>
      <c r="H3607" s="4">
        <f t="shared" si="1"/>
        <v>0.9939157107</v>
      </c>
      <c r="I3607" s="4" t="str">
        <f t="shared" si="2"/>
        <v>C</v>
      </c>
    </row>
    <row r="3608">
      <c r="A3608" s="2">
        <v>3607.0</v>
      </c>
      <c r="B3608" s="2">
        <v>85195.0</v>
      </c>
      <c r="C3608" s="2" t="s">
        <v>4366</v>
      </c>
      <c r="D3608" s="2">
        <v>2.1</v>
      </c>
      <c r="E3608" s="2">
        <v>73.0</v>
      </c>
      <c r="F3608" s="2">
        <v>134.72</v>
      </c>
      <c r="G3608" s="4">
        <f t="shared" si="3"/>
        <v>9486481.73</v>
      </c>
      <c r="H3608" s="4">
        <f t="shared" si="1"/>
        <v>0.9939298258</v>
      </c>
      <c r="I3608" s="4" t="str">
        <f t="shared" si="2"/>
        <v>C</v>
      </c>
    </row>
    <row r="3609">
      <c r="A3609" s="2">
        <v>3608.0</v>
      </c>
      <c r="B3609" s="2" t="s">
        <v>4367</v>
      </c>
      <c r="C3609" s="2" t="s">
        <v>4368</v>
      </c>
      <c r="D3609" s="2">
        <v>4.96</v>
      </c>
      <c r="E3609" s="2">
        <v>27.0</v>
      </c>
      <c r="F3609" s="2">
        <v>134.55</v>
      </c>
      <c r="G3609" s="4">
        <f t="shared" si="3"/>
        <v>9486616.28</v>
      </c>
      <c r="H3609" s="4">
        <f t="shared" si="1"/>
        <v>0.993943923</v>
      </c>
      <c r="I3609" s="4" t="str">
        <f t="shared" si="2"/>
        <v>C</v>
      </c>
    </row>
    <row r="3610">
      <c r="A3610" s="2">
        <v>3609.0</v>
      </c>
      <c r="B3610" s="2" t="s">
        <v>4369</v>
      </c>
      <c r="C3610" s="2" t="s">
        <v>4370</v>
      </c>
      <c r="D3610" s="2">
        <v>2.1</v>
      </c>
      <c r="E3610" s="2">
        <v>64.0</v>
      </c>
      <c r="F3610" s="2">
        <v>134.4</v>
      </c>
      <c r="G3610" s="4">
        <f t="shared" si="3"/>
        <v>9486750.68</v>
      </c>
      <c r="H3610" s="4">
        <f t="shared" si="1"/>
        <v>0.9939580046</v>
      </c>
      <c r="I3610" s="4" t="str">
        <f t="shared" si="2"/>
        <v>C</v>
      </c>
    </row>
    <row r="3611">
      <c r="A3611" s="2">
        <v>3610.0</v>
      </c>
      <c r="B3611" s="2">
        <v>72793.0</v>
      </c>
      <c r="C3611" s="2" t="s">
        <v>4371</v>
      </c>
      <c r="D3611" s="2">
        <v>5.95</v>
      </c>
      <c r="E3611" s="2">
        <v>28.0</v>
      </c>
      <c r="F3611" s="2">
        <v>134.38</v>
      </c>
      <c r="G3611" s="4">
        <f t="shared" si="3"/>
        <v>9486885.06</v>
      </c>
      <c r="H3611" s="4">
        <f t="shared" si="1"/>
        <v>0.993972084</v>
      </c>
      <c r="I3611" s="4" t="str">
        <f t="shared" si="2"/>
        <v>C</v>
      </c>
    </row>
    <row r="3612">
      <c r="A3612" s="2">
        <v>3611.0</v>
      </c>
      <c r="B3612" s="2">
        <v>20818.0</v>
      </c>
      <c r="C3612" s="2" t="s">
        <v>4372</v>
      </c>
      <c r="D3612" s="2">
        <v>3.75</v>
      </c>
      <c r="E3612" s="2">
        <v>44.0</v>
      </c>
      <c r="F3612" s="2">
        <v>134.25</v>
      </c>
      <c r="G3612" s="4">
        <f t="shared" si="3"/>
        <v>9487019.31</v>
      </c>
      <c r="H3612" s="4">
        <f t="shared" si="1"/>
        <v>0.9939861498</v>
      </c>
      <c r="I3612" s="4" t="str">
        <f t="shared" si="2"/>
        <v>C</v>
      </c>
    </row>
    <row r="3613">
      <c r="A3613" s="2">
        <v>3612.0</v>
      </c>
      <c r="B3613" s="2">
        <v>22875.0</v>
      </c>
      <c r="C3613" s="2" t="s">
        <v>4373</v>
      </c>
      <c r="D3613" s="2">
        <v>1.95</v>
      </c>
      <c r="E3613" s="2">
        <v>62.0</v>
      </c>
      <c r="F3613" s="2">
        <v>134.17</v>
      </c>
      <c r="G3613" s="4">
        <f t="shared" si="3"/>
        <v>9487153.48</v>
      </c>
      <c r="H3613" s="4">
        <f t="shared" si="1"/>
        <v>0.9940002072</v>
      </c>
      <c r="I3613" s="4" t="str">
        <f t="shared" si="2"/>
        <v>C</v>
      </c>
    </row>
    <row r="3614">
      <c r="A3614" s="2">
        <v>3613.0</v>
      </c>
      <c r="B3614" s="2">
        <v>90157.0</v>
      </c>
      <c r="C3614" s="2" t="s">
        <v>4374</v>
      </c>
      <c r="D3614" s="2">
        <v>4.95</v>
      </c>
      <c r="E3614" s="2">
        <v>27.0</v>
      </c>
      <c r="F3614" s="2">
        <v>134.12</v>
      </c>
      <c r="G3614" s="4">
        <f t="shared" si="3"/>
        <v>9487287.6</v>
      </c>
      <c r="H3614" s="4">
        <f t="shared" si="1"/>
        <v>0.9940142594</v>
      </c>
      <c r="I3614" s="4" t="str">
        <f t="shared" si="2"/>
        <v>C</v>
      </c>
    </row>
    <row r="3615">
      <c r="A3615" s="2">
        <v>3614.0</v>
      </c>
      <c r="B3615" s="2">
        <v>21372.0</v>
      </c>
      <c r="C3615" s="2" t="s">
        <v>4375</v>
      </c>
      <c r="D3615" s="2">
        <v>2.46</v>
      </c>
      <c r="E3615" s="2">
        <v>78.0</v>
      </c>
      <c r="F3615" s="2">
        <v>133.5</v>
      </c>
      <c r="G3615" s="4">
        <f t="shared" si="3"/>
        <v>9487421.1</v>
      </c>
      <c r="H3615" s="4">
        <f t="shared" si="1"/>
        <v>0.9940282467</v>
      </c>
      <c r="I3615" s="4" t="str">
        <f t="shared" si="2"/>
        <v>C</v>
      </c>
    </row>
    <row r="3616">
      <c r="A3616" s="2">
        <v>3615.0</v>
      </c>
      <c r="B3616" s="2">
        <v>47481.0</v>
      </c>
      <c r="C3616" s="2" t="s">
        <v>4376</v>
      </c>
      <c r="D3616" s="2">
        <v>0.85</v>
      </c>
      <c r="E3616" s="2">
        <v>164.0</v>
      </c>
      <c r="F3616" s="2">
        <v>133.12</v>
      </c>
      <c r="G3616" s="4">
        <f t="shared" si="3"/>
        <v>9487554.22</v>
      </c>
      <c r="H3616" s="4">
        <f t="shared" si="1"/>
        <v>0.9940421941</v>
      </c>
      <c r="I3616" s="4" t="str">
        <f t="shared" si="2"/>
        <v>C</v>
      </c>
    </row>
    <row r="3617">
      <c r="A3617" s="2">
        <v>3616.0</v>
      </c>
      <c r="B3617" s="2">
        <v>21032.0</v>
      </c>
      <c r="C3617" s="2" t="s">
        <v>4377</v>
      </c>
      <c r="D3617" s="2">
        <v>1.25</v>
      </c>
      <c r="E3617" s="2">
        <v>107.0</v>
      </c>
      <c r="F3617" s="2">
        <v>132.96</v>
      </c>
      <c r="G3617" s="4">
        <f t="shared" si="3"/>
        <v>9487687.18</v>
      </c>
      <c r="H3617" s="4">
        <f t="shared" si="1"/>
        <v>0.9940561247</v>
      </c>
      <c r="I3617" s="4" t="str">
        <f t="shared" si="2"/>
        <v>C</v>
      </c>
    </row>
    <row r="3618">
      <c r="A3618" s="2">
        <v>3617.0</v>
      </c>
      <c r="B3618" s="2">
        <v>44234.0</v>
      </c>
      <c r="C3618" s="2" t="s">
        <v>4378</v>
      </c>
      <c r="D3618" s="2">
        <v>0.21</v>
      </c>
      <c r="E3618" s="2">
        <v>620.0</v>
      </c>
      <c r="F3618" s="2">
        <v>132.92</v>
      </c>
      <c r="G3618" s="4">
        <f t="shared" si="3"/>
        <v>9487820.1</v>
      </c>
      <c r="H3618" s="4">
        <f t="shared" si="1"/>
        <v>0.9940700512</v>
      </c>
      <c r="I3618" s="4" t="str">
        <f t="shared" si="2"/>
        <v>C</v>
      </c>
    </row>
    <row r="3619">
      <c r="A3619" s="2">
        <v>3618.0</v>
      </c>
      <c r="B3619" s="2">
        <v>23476.0</v>
      </c>
      <c r="C3619" s="2" t="s">
        <v>4379</v>
      </c>
      <c r="D3619" s="2">
        <v>1.25</v>
      </c>
      <c r="E3619" s="2">
        <v>102.0</v>
      </c>
      <c r="F3619" s="2">
        <v>132.36</v>
      </c>
      <c r="G3619" s="4">
        <f t="shared" si="3"/>
        <v>9487952.46</v>
      </c>
      <c r="H3619" s="4">
        <f t="shared" si="1"/>
        <v>0.994083919</v>
      </c>
      <c r="I3619" s="4" t="str">
        <f t="shared" si="2"/>
        <v>C</v>
      </c>
    </row>
    <row r="3620">
      <c r="A3620" s="2">
        <v>3619.0</v>
      </c>
      <c r="B3620" s="2" t="s">
        <v>4380</v>
      </c>
      <c r="C3620" s="2" t="s">
        <v>4381</v>
      </c>
      <c r="D3620" s="2">
        <v>1.66</v>
      </c>
      <c r="E3620" s="2">
        <v>64.0</v>
      </c>
      <c r="F3620" s="2">
        <v>131.57</v>
      </c>
      <c r="G3620" s="4">
        <f t="shared" si="3"/>
        <v>9488084.03</v>
      </c>
      <c r="H3620" s="4">
        <f t="shared" si="1"/>
        <v>0.994097704</v>
      </c>
      <c r="I3620" s="4" t="str">
        <f t="shared" si="2"/>
        <v>C</v>
      </c>
    </row>
    <row r="3621">
      <c r="A3621" s="2">
        <v>3620.0</v>
      </c>
      <c r="B3621" s="2">
        <v>22873.0</v>
      </c>
      <c r="C3621" s="2" t="s">
        <v>4382</v>
      </c>
      <c r="D3621" s="2">
        <v>1.95</v>
      </c>
      <c r="E3621" s="2">
        <v>60.0</v>
      </c>
      <c r="F3621" s="2">
        <v>131.25</v>
      </c>
      <c r="G3621" s="4">
        <f t="shared" si="3"/>
        <v>9488215.28</v>
      </c>
      <c r="H3621" s="4">
        <f t="shared" si="1"/>
        <v>0.9941114555</v>
      </c>
      <c r="I3621" s="4" t="str">
        <f t="shared" si="2"/>
        <v>C</v>
      </c>
    </row>
    <row r="3622">
      <c r="A3622" s="2">
        <v>3621.0</v>
      </c>
      <c r="B3622" s="2" t="s">
        <v>4383</v>
      </c>
      <c r="C3622" s="2" t="s">
        <v>4384</v>
      </c>
      <c r="D3622" s="2">
        <v>1.45</v>
      </c>
      <c r="E3622" s="2">
        <v>160.0</v>
      </c>
      <c r="F3622" s="2">
        <v>130.95</v>
      </c>
      <c r="G3622" s="4">
        <f t="shared" si="3"/>
        <v>9488346.23</v>
      </c>
      <c r="H3622" s="4">
        <f t="shared" si="1"/>
        <v>0.9941251756</v>
      </c>
      <c r="I3622" s="4" t="str">
        <f t="shared" si="2"/>
        <v>C</v>
      </c>
    </row>
    <row r="3623">
      <c r="A3623" s="2">
        <v>3622.0</v>
      </c>
      <c r="B3623" s="2">
        <v>21268.0</v>
      </c>
      <c r="C3623" s="2" t="s">
        <v>4385</v>
      </c>
      <c r="D3623" s="2">
        <v>0.42</v>
      </c>
      <c r="E3623" s="2">
        <v>198.0</v>
      </c>
      <c r="F3623" s="2">
        <v>130.83</v>
      </c>
      <c r="G3623" s="4">
        <f t="shared" si="3"/>
        <v>9488477.06</v>
      </c>
      <c r="H3623" s="4">
        <f t="shared" si="1"/>
        <v>0.9941388831</v>
      </c>
      <c r="I3623" s="4" t="str">
        <f t="shared" si="2"/>
        <v>C</v>
      </c>
    </row>
    <row r="3624">
      <c r="A3624" s="2">
        <v>3623.0</v>
      </c>
      <c r="B3624" s="2">
        <v>90146.0</v>
      </c>
      <c r="C3624" s="2" t="s">
        <v>4386</v>
      </c>
      <c r="D3624" s="2">
        <v>7.5</v>
      </c>
      <c r="E3624" s="2">
        <v>20.0</v>
      </c>
      <c r="F3624" s="2">
        <v>130.74</v>
      </c>
      <c r="G3624" s="4">
        <f t="shared" si="3"/>
        <v>9488607.8</v>
      </c>
      <c r="H3624" s="4">
        <f t="shared" si="1"/>
        <v>0.9941525811</v>
      </c>
      <c r="I3624" s="4" t="str">
        <f t="shared" si="2"/>
        <v>C</v>
      </c>
    </row>
    <row r="3625">
      <c r="A3625" s="2">
        <v>3624.0</v>
      </c>
      <c r="B3625" s="2">
        <v>79328.0</v>
      </c>
      <c r="C3625" s="2" t="s">
        <v>3764</v>
      </c>
      <c r="D3625" s="2">
        <v>0.38</v>
      </c>
      <c r="E3625" s="2">
        <v>297.0</v>
      </c>
      <c r="F3625" s="2">
        <v>130.38</v>
      </c>
      <c r="G3625" s="4">
        <f t="shared" si="3"/>
        <v>9488738.18</v>
      </c>
      <c r="H3625" s="4">
        <f t="shared" si="1"/>
        <v>0.9941662415</v>
      </c>
      <c r="I3625" s="4" t="str">
        <f t="shared" si="2"/>
        <v>C</v>
      </c>
    </row>
    <row r="3626">
      <c r="A3626" s="2">
        <v>3625.0</v>
      </c>
      <c r="B3626" s="2" t="s">
        <v>4387</v>
      </c>
      <c r="C3626" s="2" t="s">
        <v>4388</v>
      </c>
      <c r="D3626" s="2">
        <v>2.95</v>
      </c>
      <c r="E3626" s="2">
        <v>39.0</v>
      </c>
      <c r="F3626" s="2">
        <v>130.34</v>
      </c>
      <c r="G3626" s="4">
        <f t="shared" si="3"/>
        <v>9488868.52</v>
      </c>
      <c r="H3626" s="4">
        <f t="shared" si="1"/>
        <v>0.9941798976</v>
      </c>
      <c r="I3626" s="4" t="str">
        <f t="shared" si="2"/>
        <v>C</v>
      </c>
    </row>
    <row r="3627">
      <c r="A3627" s="2">
        <v>3626.0</v>
      </c>
      <c r="B3627" s="2" t="s">
        <v>4389</v>
      </c>
      <c r="C3627" s="2" t="s">
        <v>4390</v>
      </c>
      <c r="D3627" s="2">
        <v>1.25</v>
      </c>
      <c r="E3627" s="2">
        <v>102.0</v>
      </c>
      <c r="F3627" s="2">
        <v>129.68</v>
      </c>
      <c r="G3627" s="4">
        <f t="shared" si="3"/>
        <v>9488998.2</v>
      </c>
      <c r="H3627" s="4">
        <f t="shared" si="1"/>
        <v>0.9941934846</v>
      </c>
      <c r="I3627" s="4" t="str">
        <f t="shared" si="2"/>
        <v>C</v>
      </c>
    </row>
    <row r="3628">
      <c r="A3628" s="2">
        <v>3627.0</v>
      </c>
      <c r="B3628" s="2">
        <v>84482.0</v>
      </c>
      <c r="C3628" s="2" t="s">
        <v>4391</v>
      </c>
      <c r="D3628" s="2">
        <v>3.75</v>
      </c>
      <c r="E3628" s="2">
        <v>33.0</v>
      </c>
      <c r="F3628" s="2">
        <v>129.64</v>
      </c>
      <c r="G3628" s="4">
        <f t="shared" si="3"/>
        <v>9489127.84</v>
      </c>
      <c r="H3628" s="4">
        <f t="shared" si="1"/>
        <v>0.9942070674</v>
      </c>
      <c r="I3628" s="4" t="str">
        <f t="shared" si="2"/>
        <v>C</v>
      </c>
    </row>
    <row r="3629">
      <c r="A3629" s="2">
        <v>3628.0</v>
      </c>
      <c r="B3629" s="2">
        <v>85095.0</v>
      </c>
      <c r="C3629" s="2" t="s">
        <v>4392</v>
      </c>
      <c r="D3629" s="2">
        <v>1.28</v>
      </c>
      <c r="E3629" s="2">
        <v>87.0</v>
      </c>
      <c r="F3629" s="2">
        <v>129.54</v>
      </c>
      <c r="G3629" s="4">
        <f t="shared" si="3"/>
        <v>9489257.38</v>
      </c>
      <c r="H3629" s="4">
        <f t="shared" si="1"/>
        <v>0.9942206398</v>
      </c>
      <c r="I3629" s="4" t="str">
        <f t="shared" si="2"/>
        <v>C</v>
      </c>
    </row>
    <row r="3630">
      <c r="A3630" s="2">
        <v>3629.0</v>
      </c>
      <c r="B3630" s="2" t="s">
        <v>4393</v>
      </c>
      <c r="C3630" s="2" t="s">
        <v>4394</v>
      </c>
      <c r="D3630" s="2">
        <v>4.65</v>
      </c>
      <c r="E3630" s="2">
        <v>31.0</v>
      </c>
      <c r="F3630" s="2">
        <v>129.03</v>
      </c>
      <c r="G3630" s="4">
        <f t="shared" si="3"/>
        <v>9489386.41</v>
      </c>
      <c r="H3630" s="4">
        <f t="shared" si="1"/>
        <v>0.9942341587</v>
      </c>
      <c r="I3630" s="4" t="str">
        <f t="shared" si="2"/>
        <v>C</v>
      </c>
    </row>
    <row r="3631">
      <c r="A3631" s="2">
        <v>3630.0</v>
      </c>
      <c r="B3631" s="2" t="s">
        <v>4395</v>
      </c>
      <c r="C3631" s="2" t="s">
        <v>4396</v>
      </c>
      <c r="D3631" s="2">
        <v>10.75</v>
      </c>
      <c r="E3631" s="2">
        <v>12.0</v>
      </c>
      <c r="F3631" s="2">
        <v>128.78</v>
      </c>
      <c r="G3631" s="4">
        <f t="shared" si="3"/>
        <v>9489515.19</v>
      </c>
      <c r="H3631" s="4">
        <f t="shared" si="1"/>
        <v>0.9942476514</v>
      </c>
      <c r="I3631" s="4" t="str">
        <f t="shared" si="2"/>
        <v>C</v>
      </c>
    </row>
    <row r="3632">
      <c r="A3632" s="2">
        <v>3631.0</v>
      </c>
      <c r="B3632" s="2" t="s">
        <v>4397</v>
      </c>
      <c r="C3632" s="2" t="s">
        <v>855</v>
      </c>
      <c r="D3632" s="2">
        <v>2.08</v>
      </c>
      <c r="E3632" s="2">
        <v>55.0</v>
      </c>
      <c r="F3632" s="2">
        <v>128.7</v>
      </c>
      <c r="G3632" s="4">
        <f t="shared" si="3"/>
        <v>9489643.89</v>
      </c>
      <c r="H3632" s="4">
        <f t="shared" si="1"/>
        <v>0.9942611357</v>
      </c>
      <c r="I3632" s="4" t="str">
        <f t="shared" si="2"/>
        <v>C</v>
      </c>
    </row>
    <row r="3633">
      <c r="A3633" s="2">
        <v>3632.0</v>
      </c>
      <c r="B3633" s="2" t="s">
        <v>4398</v>
      </c>
      <c r="C3633" s="2" t="s">
        <v>4399</v>
      </c>
      <c r="D3633" s="2">
        <v>2.46</v>
      </c>
      <c r="E3633" s="2">
        <v>58.0</v>
      </c>
      <c r="F3633" s="2">
        <v>128.57</v>
      </c>
      <c r="G3633" s="4">
        <f t="shared" si="3"/>
        <v>9489772.46</v>
      </c>
      <c r="H3633" s="4">
        <f t="shared" si="1"/>
        <v>0.9942746064</v>
      </c>
      <c r="I3633" s="4" t="str">
        <f t="shared" si="2"/>
        <v>C</v>
      </c>
    </row>
    <row r="3634">
      <c r="A3634" s="2">
        <v>3633.0</v>
      </c>
      <c r="B3634" s="2">
        <v>84371.0</v>
      </c>
      <c r="C3634" s="2" t="s">
        <v>4400</v>
      </c>
      <c r="D3634" s="2">
        <v>19.95</v>
      </c>
      <c r="E3634" s="2">
        <v>15.0</v>
      </c>
      <c r="F3634" s="2">
        <v>128.55</v>
      </c>
      <c r="G3634" s="4">
        <f t="shared" si="3"/>
        <v>9489901.01</v>
      </c>
      <c r="H3634" s="4">
        <f t="shared" si="1"/>
        <v>0.994288075</v>
      </c>
      <c r="I3634" s="4" t="str">
        <f t="shared" si="2"/>
        <v>C</v>
      </c>
    </row>
    <row r="3635">
      <c r="A3635" s="2">
        <v>3634.0</v>
      </c>
      <c r="B3635" s="2">
        <v>20821.0</v>
      </c>
      <c r="C3635" s="2" t="s">
        <v>4401</v>
      </c>
      <c r="D3635" s="2">
        <v>10.17</v>
      </c>
      <c r="E3635" s="2">
        <v>18.0</v>
      </c>
      <c r="F3635" s="2">
        <v>128.36</v>
      </c>
      <c r="G3635" s="4">
        <f t="shared" si="3"/>
        <v>9490029.37</v>
      </c>
      <c r="H3635" s="4">
        <f t="shared" si="1"/>
        <v>0.9943015237</v>
      </c>
      <c r="I3635" s="4" t="str">
        <f t="shared" si="2"/>
        <v>C</v>
      </c>
    </row>
    <row r="3636">
      <c r="A3636" s="2">
        <v>3635.0</v>
      </c>
      <c r="B3636" s="2" t="s">
        <v>4402</v>
      </c>
      <c r="C3636" s="2" t="s">
        <v>4403</v>
      </c>
      <c r="D3636" s="2">
        <v>3.73</v>
      </c>
      <c r="E3636" s="2">
        <v>36.0</v>
      </c>
      <c r="F3636" s="2">
        <v>127.98</v>
      </c>
      <c r="G3636" s="4">
        <f t="shared" si="3"/>
        <v>9490157.35</v>
      </c>
      <c r="H3636" s="4">
        <f t="shared" si="1"/>
        <v>0.9943149326</v>
      </c>
      <c r="I3636" s="4" t="str">
        <f t="shared" si="2"/>
        <v>C</v>
      </c>
    </row>
    <row r="3637">
      <c r="A3637" s="2">
        <v>3636.0</v>
      </c>
      <c r="B3637" s="2">
        <v>84627.0</v>
      </c>
      <c r="C3637" s="2" t="s">
        <v>4404</v>
      </c>
      <c r="D3637" s="2">
        <v>5.95</v>
      </c>
      <c r="E3637" s="2">
        <v>22.0</v>
      </c>
      <c r="F3637" s="2">
        <v>127.92</v>
      </c>
      <c r="G3637" s="4">
        <f t="shared" si="3"/>
        <v>9490285.27</v>
      </c>
      <c r="H3637" s="4">
        <f t="shared" si="1"/>
        <v>0.9943283352</v>
      </c>
      <c r="I3637" s="4" t="str">
        <f t="shared" si="2"/>
        <v>C</v>
      </c>
    </row>
    <row r="3638">
      <c r="A3638" s="2">
        <v>3637.0</v>
      </c>
      <c r="B3638" s="2" t="s">
        <v>4405</v>
      </c>
      <c r="C3638" s="2" t="s">
        <v>4406</v>
      </c>
      <c r="D3638" s="2">
        <v>2.95</v>
      </c>
      <c r="E3638" s="2">
        <v>55.0</v>
      </c>
      <c r="F3638" s="2">
        <v>127.92</v>
      </c>
      <c r="G3638" s="4">
        <f t="shared" si="3"/>
        <v>9490413.19</v>
      </c>
      <c r="H3638" s="4">
        <f t="shared" si="1"/>
        <v>0.9943417378</v>
      </c>
      <c r="I3638" s="4" t="str">
        <f t="shared" si="2"/>
        <v>C</v>
      </c>
    </row>
    <row r="3639">
      <c r="A3639" s="2">
        <v>3638.0</v>
      </c>
      <c r="B3639" s="2" t="s">
        <v>4407</v>
      </c>
      <c r="C3639" s="2" t="s">
        <v>4408</v>
      </c>
      <c r="D3639" s="2">
        <v>2.46</v>
      </c>
      <c r="E3639" s="2">
        <v>52.0</v>
      </c>
      <c r="F3639" s="2">
        <v>127.49</v>
      </c>
      <c r="G3639" s="4">
        <f t="shared" si="3"/>
        <v>9490540.68</v>
      </c>
      <c r="H3639" s="4">
        <f t="shared" si="1"/>
        <v>0.9943550953</v>
      </c>
      <c r="I3639" s="4" t="str">
        <f t="shared" si="2"/>
        <v>C</v>
      </c>
    </row>
    <row r="3640">
      <c r="A3640" s="2">
        <v>3639.0</v>
      </c>
      <c r="B3640" s="2">
        <v>17038.0</v>
      </c>
      <c r="C3640" s="2" t="s">
        <v>4409</v>
      </c>
      <c r="D3640" s="2">
        <v>0.1</v>
      </c>
      <c r="E3640" s="2">
        <v>1280.0</v>
      </c>
      <c r="F3640" s="2">
        <v>127.26</v>
      </c>
      <c r="G3640" s="4">
        <f t="shared" si="3"/>
        <v>9490667.94</v>
      </c>
      <c r="H3640" s="4">
        <f t="shared" si="1"/>
        <v>0.9943684288</v>
      </c>
      <c r="I3640" s="4" t="str">
        <f t="shared" si="2"/>
        <v>C</v>
      </c>
    </row>
    <row r="3641">
      <c r="A3641" s="2">
        <v>3640.0</v>
      </c>
      <c r="B3641" s="2" t="s">
        <v>4410</v>
      </c>
      <c r="C3641" s="2" t="s">
        <v>419</v>
      </c>
      <c r="D3641" s="2">
        <v>10.17</v>
      </c>
      <c r="E3641" s="2">
        <v>12.0</v>
      </c>
      <c r="F3641" s="2">
        <v>127.24</v>
      </c>
      <c r="G3641" s="4">
        <f t="shared" si="3"/>
        <v>9490795.18</v>
      </c>
      <c r="H3641" s="4">
        <f t="shared" si="1"/>
        <v>0.9943817601</v>
      </c>
      <c r="I3641" s="4" t="str">
        <f t="shared" si="2"/>
        <v>C</v>
      </c>
    </row>
    <row r="3642">
      <c r="A3642" s="2">
        <v>3641.0</v>
      </c>
      <c r="B3642" s="2">
        <v>90028.0</v>
      </c>
      <c r="C3642" s="2" t="s">
        <v>4411</v>
      </c>
      <c r="D3642" s="2">
        <v>8.49</v>
      </c>
      <c r="E3642" s="2">
        <v>15.0</v>
      </c>
      <c r="F3642" s="2">
        <v>126.64</v>
      </c>
      <c r="G3642" s="4">
        <f t="shared" si="3"/>
        <v>9490921.82</v>
      </c>
      <c r="H3642" s="4">
        <f t="shared" si="1"/>
        <v>0.9943950286</v>
      </c>
      <c r="I3642" s="4" t="str">
        <f t="shared" si="2"/>
        <v>C</v>
      </c>
    </row>
    <row r="3643">
      <c r="A3643" s="2">
        <v>3642.0</v>
      </c>
      <c r="B3643" s="2">
        <v>22882.0</v>
      </c>
      <c r="C3643" s="2" t="s">
        <v>4412</v>
      </c>
      <c r="D3643" s="2">
        <v>2.17</v>
      </c>
      <c r="E3643" s="2">
        <v>62.0</v>
      </c>
      <c r="F3643" s="2">
        <v>126.56</v>
      </c>
      <c r="G3643" s="4">
        <f t="shared" si="3"/>
        <v>9491048.38</v>
      </c>
      <c r="H3643" s="4">
        <f t="shared" si="1"/>
        <v>0.9944082887</v>
      </c>
      <c r="I3643" s="4" t="str">
        <f t="shared" si="2"/>
        <v>C</v>
      </c>
    </row>
    <row r="3644">
      <c r="A3644" s="2">
        <v>3643.0</v>
      </c>
      <c r="B3644" s="2">
        <v>21493.0</v>
      </c>
      <c r="C3644" s="2" t="s">
        <v>4413</v>
      </c>
      <c r="D3644" s="2">
        <v>0.85</v>
      </c>
      <c r="E3644" s="2">
        <v>136.0</v>
      </c>
      <c r="F3644" s="2">
        <v>126.22</v>
      </c>
      <c r="G3644" s="4">
        <f t="shared" si="3"/>
        <v>9491174.6</v>
      </c>
      <c r="H3644" s="4">
        <f t="shared" si="1"/>
        <v>0.9944215132</v>
      </c>
      <c r="I3644" s="4" t="str">
        <f t="shared" si="2"/>
        <v>C</v>
      </c>
    </row>
    <row r="3645">
      <c r="A3645" s="2">
        <v>3644.0</v>
      </c>
      <c r="B3645" s="2">
        <v>79338.0</v>
      </c>
      <c r="C3645" s="2" t="s">
        <v>4414</v>
      </c>
      <c r="D3645" s="2">
        <v>1.65</v>
      </c>
      <c r="E3645" s="2">
        <v>276.0</v>
      </c>
      <c r="F3645" s="2">
        <v>126.15</v>
      </c>
      <c r="G3645" s="4">
        <f t="shared" si="3"/>
        <v>9491300.75</v>
      </c>
      <c r="H3645" s="4">
        <f t="shared" si="1"/>
        <v>0.9944347303</v>
      </c>
      <c r="I3645" s="4" t="str">
        <f t="shared" si="2"/>
        <v>C</v>
      </c>
    </row>
    <row r="3646">
      <c r="A3646" s="2">
        <v>3645.0</v>
      </c>
      <c r="B3646" s="2">
        <v>22876.0</v>
      </c>
      <c r="C3646" s="2" t="s">
        <v>4415</v>
      </c>
      <c r="D3646" s="2">
        <v>1.95</v>
      </c>
      <c r="E3646" s="2">
        <v>59.0</v>
      </c>
      <c r="F3646" s="2">
        <v>126.11</v>
      </c>
      <c r="G3646" s="4">
        <f t="shared" si="3"/>
        <v>9491426.86</v>
      </c>
      <c r="H3646" s="4">
        <f t="shared" si="1"/>
        <v>0.9944479433</v>
      </c>
      <c r="I3646" s="4" t="str">
        <f t="shared" si="2"/>
        <v>C</v>
      </c>
    </row>
    <row r="3647">
      <c r="A3647" s="2">
        <v>3646.0</v>
      </c>
      <c r="B3647" s="2">
        <v>21370.0</v>
      </c>
      <c r="C3647" s="2" t="s">
        <v>4416</v>
      </c>
      <c r="D3647" s="2">
        <v>6.35</v>
      </c>
      <c r="E3647" s="2">
        <v>27.0</v>
      </c>
      <c r="F3647" s="2">
        <v>125.98</v>
      </c>
      <c r="G3647" s="4">
        <f t="shared" si="3"/>
        <v>9491552.84</v>
      </c>
      <c r="H3647" s="4">
        <f t="shared" si="1"/>
        <v>0.9944611426</v>
      </c>
      <c r="I3647" s="4" t="str">
        <f t="shared" si="2"/>
        <v>C</v>
      </c>
    </row>
    <row r="3648">
      <c r="A3648" s="2">
        <v>3647.0</v>
      </c>
      <c r="B3648" s="2" t="s">
        <v>4417</v>
      </c>
      <c r="C3648" s="2" t="s">
        <v>4418</v>
      </c>
      <c r="D3648" s="2">
        <v>4.98</v>
      </c>
      <c r="E3648" s="2">
        <v>25.0</v>
      </c>
      <c r="F3648" s="2">
        <v>125.24</v>
      </c>
      <c r="G3648" s="4">
        <f t="shared" si="3"/>
        <v>9491678.08</v>
      </c>
      <c r="H3648" s="4">
        <f t="shared" si="1"/>
        <v>0.9944742644</v>
      </c>
      <c r="I3648" s="4" t="str">
        <f t="shared" si="2"/>
        <v>C</v>
      </c>
    </row>
    <row r="3649">
      <c r="A3649" s="2">
        <v>3648.0</v>
      </c>
      <c r="B3649" s="2">
        <v>90073.0</v>
      </c>
      <c r="C3649" s="2" t="s">
        <v>4419</v>
      </c>
      <c r="D3649" s="2">
        <v>5.04</v>
      </c>
      <c r="E3649" s="2">
        <v>25.0</v>
      </c>
      <c r="F3649" s="2">
        <v>125.17</v>
      </c>
      <c r="G3649" s="4">
        <f t="shared" si="3"/>
        <v>9491803.25</v>
      </c>
      <c r="H3649" s="4">
        <f t="shared" si="1"/>
        <v>0.9944873789</v>
      </c>
      <c r="I3649" s="4" t="str">
        <f t="shared" si="2"/>
        <v>C</v>
      </c>
    </row>
    <row r="3650">
      <c r="A3650" s="2">
        <v>3649.0</v>
      </c>
      <c r="B3650" s="2" t="s">
        <v>4420</v>
      </c>
      <c r="C3650" s="2" t="s">
        <v>4421</v>
      </c>
      <c r="D3650" s="2">
        <v>1.95</v>
      </c>
      <c r="E3650" s="2">
        <v>81.0</v>
      </c>
      <c r="F3650" s="2">
        <v>125.01</v>
      </c>
      <c r="G3650" s="4">
        <f t="shared" si="3"/>
        <v>9491928.26</v>
      </c>
      <c r="H3650" s="4">
        <f t="shared" si="1"/>
        <v>0.9945004766</v>
      </c>
      <c r="I3650" s="4" t="str">
        <f t="shared" si="2"/>
        <v>C</v>
      </c>
    </row>
    <row r="3651">
      <c r="A3651" s="2">
        <v>3650.0</v>
      </c>
      <c r="B3651" s="2">
        <v>46307.0</v>
      </c>
      <c r="C3651" s="2" t="s">
        <v>4422</v>
      </c>
      <c r="D3651" s="2">
        <v>5.91</v>
      </c>
      <c r="E3651" s="2">
        <v>26.0</v>
      </c>
      <c r="F3651" s="2">
        <v>124.66</v>
      </c>
      <c r="G3651" s="4">
        <f t="shared" si="3"/>
        <v>9492052.92</v>
      </c>
      <c r="H3651" s="4">
        <f t="shared" si="1"/>
        <v>0.9945135377</v>
      </c>
      <c r="I3651" s="4" t="str">
        <f t="shared" si="2"/>
        <v>C</v>
      </c>
    </row>
    <row r="3652">
      <c r="A3652" s="2">
        <v>3651.0</v>
      </c>
      <c r="B3652" s="2" t="s">
        <v>4423</v>
      </c>
      <c r="C3652" s="2" t="s">
        <v>4424</v>
      </c>
      <c r="D3652" s="2">
        <v>7.78</v>
      </c>
      <c r="E3652" s="2">
        <v>16.0</v>
      </c>
      <c r="F3652" s="2">
        <v>124.0</v>
      </c>
      <c r="G3652" s="4">
        <f t="shared" si="3"/>
        <v>9492176.92</v>
      </c>
      <c r="H3652" s="4">
        <f t="shared" si="1"/>
        <v>0.9945265295</v>
      </c>
      <c r="I3652" s="4" t="str">
        <f t="shared" si="2"/>
        <v>C</v>
      </c>
    </row>
    <row r="3653">
      <c r="A3653" s="2">
        <v>3652.0</v>
      </c>
      <c r="B3653" s="2" t="s">
        <v>4425</v>
      </c>
      <c r="C3653" s="2" t="s">
        <v>4426</v>
      </c>
      <c r="D3653" s="2">
        <v>4.95</v>
      </c>
      <c r="E3653" s="2">
        <v>25.0</v>
      </c>
      <c r="F3653" s="2">
        <v>123.88</v>
      </c>
      <c r="G3653" s="4">
        <f t="shared" si="3"/>
        <v>9492300.8</v>
      </c>
      <c r="H3653" s="4">
        <f t="shared" si="1"/>
        <v>0.9945395089</v>
      </c>
      <c r="I3653" s="4" t="str">
        <f t="shared" si="2"/>
        <v>C</v>
      </c>
    </row>
    <row r="3654">
      <c r="A3654" s="2">
        <v>3653.0</v>
      </c>
      <c r="B3654" s="2" t="s">
        <v>4427</v>
      </c>
      <c r="C3654" s="2" t="s">
        <v>4428</v>
      </c>
      <c r="D3654" s="2">
        <v>0.65</v>
      </c>
      <c r="E3654" s="2">
        <v>254.0</v>
      </c>
      <c r="F3654" s="2">
        <v>123.86</v>
      </c>
      <c r="G3654" s="4">
        <f t="shared" si="3"/>
        <v>9492424.66</v>
      </c>
      <c r="H3654" s="4">
        <f t="shared" si="1"/>
        <v>0.9945524861</v>
      </c>
      <c r="I3654" s="4" t="str">
        <f t="shared" si="2"/>
        <v>C</v>
      </c>
    </row>
    <row r="3655">
      <c r="A3655" s="2">
        <v>3654.0</v>
      </c>
      <c r="B3655" s="2">
        <v>23465.0</v>
      </c>
      <c r="C3655" s="2" t="s">
        <v>4429</v>
      </c>
      <c r="D3655" s="2">
        <v>8.25</v>
      </c>
      <c r="E3655" s="2">
        <v>14.0</v>
      </c>
      <c r="F3655" s="2">
        <v>123.82</v>
      </c>
      <c r="G3655" s="4">
        <f t="shared" si="3"/>
        <v>9492548.48</v>
      </c>
      <c r="H3655" s="4">
        <f t="shared" si="1"/>
        <v>0.9945654591</v>
      </c>
      <c r="I3655" s="4" t="str">
        <f t="shared" si="2"/>
        <v>C</v>
      </c>
    </row>
    <row r="3656">
      <c r="A3656" s="2">
        <v>3655.0</v>
      </c>
      <c r="B3656" s="2">
        <v>84621.0</v>
      </c>
      <c r="C3656" s="2" t="s">
        <v>4430</v>
      </c>
      <c r="D3656" s="2">
        <v>7.95</v>
      </c>
      <c r="E3656" s="2">
        <v>14.0</v>
      </c>
      <c r="F3656" s="2">
        <v>123.63</v>
      </c>
      <c r="G3656" s="4">
        <f t="shared" si="3"/>
        <v>9492672.11</v>
      </c>
      <c r="H3656" s="4">
        <f t="shared" si="1"/>
        <v>0.9945784122</v>
      </c>
      <c r="I3656" s="4" t="str">
        <f t="shared" si="2"/>
        <v>C</v>
      </c>
    </row>
    <row r="3657">
      <c r="A3657" s="2">
        <v>3656.0</v>
      </c>
      <c r="B3657" s="2" t="s">
        <v>4431</v>
      </c>
      <c r="C3657" s="2" t="s">
        <v>4432</v>
      </c>
      <c r="D3657" s="2">
        <v>7.95</v>
      </c>
      <c r="E3657" s="2">
        <v>16.0</v>
      </c>
      <c r="F3657" s="2">
        <v>123.42</v>
      </c>
      <c r="G3657" s="4">
        <f t="shared" si="3"/>
        <v>9492795.53</v>
      </c>
      <c r="H3657" s="4">
        <f t="shared" si="1"/>
        <v>0.9945913433</v>
      </c>
      <c r="I3657" s="4" t="str">
        <f t="shared" si="2"/>
        <v>C</v>
      </c>
    </row>
    <row r="3658">
      <c r="A3658" s="2">
        <v>3657.0</v>
      </c>
      <c r="B3658" s="2" t="s">
        <v>4433</v>
      </c>
      <c r="C3658" s="2" t="s">
        <v>4434</v>
      </c>
      <c r="D3658" s="2">
        <v>3.75</v>
      </c>
      <c r="E3658" s="2">
        <v>30.0</v>
      </c>
      <c r="F3658" s="2">
        <v>123.29</v>
      </c>
      <c r="G3658" s="4">
        <f t="shared" si="3"/>
        <v>9492918.82</v>
      </c>
      <c r="H3658" s="4">
        <f t="shared" si="1"/>
        <v>0.9946042608</v>
      </c>
      <c r="I3658" s="4" t="str">
        <f t="shared" si="2"/>
        <v>C</v>
      </c>
    </row>
    <row r="3659">
      <c r="A3659" s="2">
        <v>3658.0</v>
      </c>
      <c r="B3659" s="2">
        <v>90119.0</v>
      </c>
      <c r="C3659" s="2" t="s">
        <v>4435</v>
      </c>
      <c r="D3659" s="2">
        <v>2.46</v>
      </c>
      <c r="E3659" s="2">
        <v>49.0</v>
      </c>
      <c r="F3659" s="2">
        <v>122.81</v>
      </c>
      <c r="G3659" s="4">
        <f t="shared" si="3"/>
        <v>9493041.63</v>
      </c>
      <c r="H3659" s="4">
        <f t="shared" si="1"/>
        <v>0.994617128</v>
      </c>
      <c r="I3659" s="4" t="str">
        <f t="shared" si="2"/>
        <v>C</v>
      </c>
    </row>
    <row r="3660">
      <c r="A3660" s="2">
        <v>3659.0</v>
      </c>
      <c r="B3660" s="2" t="s">
        <v>4436</v>
      </c>
      <c r="C3660" s="2" t="s">
        <v>4437</v>
      </c>
      <c r="D3660" s="2">
        <v>0.42</v>
      </c>
      <c r="E3660" s="2">
        <v>276.0</v>
      </c>
      <c r="F3660" s="2">
        <v>122.04</v>
      </c>
      <c r="G3660" s="4">
        <f t="shared" si="3"/>
        <v>9493163.67</v>
      </c>
      <c r="H3660" s="4">
        <f t="shared" si="1"/>
        <v>0.9946299146</v>
      </c>
      <c r="I3660" s="4" t="str">
        <f t="shared" si="2"/>
        <v>C</v>
      </c>
    </row>
    <row r="3661">
      <c r="A3661" s="2">
        <v>3660.0</v>
      </c>
      <c r="B3661" s="2">
        <v>90096.0</v>
      </c>
      <c r="C3661" s="2" t="s">
        <v>4438</v>
      </c>
      <c r="D3661" s="2">
        <v>2.46</v>
      </c>
      <c r="E3661" s="2">
        <v>52.0</v>
      </c>
      <c r="F3661" s="2">
        <v>121.8</v>
      </c>
      <c r="G3661" s="4">
        <f t="shared" si="3"/>
        <v>9493285.47</v>
      </c>
      <c r="H3661" s="4">
        <f t="shared" si="1"/>
        <v>0.994642676</v>
      </c>
      <c r="I3661" s="4" t="str">
        <f t="shared" si="2"/>
        <v>C</v>
      </c>
    </row>
    <row r="3662">
      <c r="A3662" s="2">
        <v>3661.0</v>
      </c>
      <c r="B3662" s="2" t="s">
        <v>4439</v>
      </c>
      <c r="C3662" s="2" t="s">
        <v>4440</v>
      </c>
      <c r="D3662" s="2">
        <v>1.66</v>
      </c>
      <c r="E3662" s="2">
        <v>54.0</v>
      </c>
      <c r="F3662" s="2">
        <v>121.69</v>
      </c>
      <c r="G3662" s="4">
        <f t="shared" si="3"/>
        <v>9493407.16</v>
      </c>
      <c r="H3662" s="4">
        <f t="shared" si="1"/>
        <v>0.9946554258</v>
      </c>
      <c r="I3662" s="4" t="str">
        <f t="shared" si="2"/>
        <v>C</v>
      </c>
    </row>
    <row r="3663">
      <c r="A3663" s="2">
        <v>3662.0</v>
      </c>
      <c r="B3663" s="2" t="s">
        <v>4441</v>
      </c>
      <c r="C3663" s="2" t="s">
        <v>4442</v>
      </c>
      <c r="D3663" s="2">
        <v>0.38</v>
      </c>
      <c r="E3663" s="2">
        <v>281.0</v>
      </c>
      <c r="F3663" s="2">
        <v>121.64</v>
      </c>
      <c r="G3663" s="4">
        <f t="shared" si="3"/>
        <v>9493528.8</v>
      </c>
      <c r="H3663" s="4">
        <f t="shared" si="1"/>
        <v>0.9946681704</v>
      </c>
      <c r="I3663" s="4" t="str">
        <f t="shared" si="2"/>
        <v>C</v>
      </c>
    </row>
    <row r="3664">
      <c r="A3664" s="2">
        <v>3663.0</v>
      </c>
      <c r="B3664" s="2">
        <v>23475.0</v>
      </c>
      <c r="C3664" s="2" t="s">
        <v>4443</v>
      </c>
      <c r="D3664" s="2">
        <v>0.83</v>
      </c>
      <c r="E3664" s="2">
        <v>143.0</v>
      </c>
      <c r="F3664" s="2">
        <v>121.09</v>
      </c>
      <c r="G3664" s="4">
        <f t="shared" si="3"/>
        <v>9493649.89</v>
      </c>
      <c r="H3664" s="4">
        <f t="shared" si="1"/>
        <v>0.9946808574</v>
      </c>
      <c r="I3664" s="4" t="str">
        <f t="shared" si="2"/>
        <v>C</v>
      </c>
    </row>
    <row r="3665">
      <c r="A3665" s="2">
        <v>3664.0</v>
      </c>
      <c r="B3665" s="2" t="s">
        <v>4444</v>
      </c>
      <c r="C3665" s="2" t="s">
        <v>4445</v>
      </c>
      <c r="D3665" s="2">
        <v>12.75</v>
      </c>
      <c r="E3665" s="2">
        <v>10.0</v>
      </c>
      <c r="F3665" s="2">
        <v>120.99</v>
      </c>
      <c r="G3665" s="4">
        <f t="shared" si="3"/>
        <v>9493770.88</v>
      </c>
      <c r="H3665" s="4">
        <f t="shared" si="1"/>
        <v>0.994693534</v>
      </c>
      <c r="I3665" s="4" t="str">
        <f t="shared" si="2"/>
        <v>C</v>
      </c>
    </row>
    <row r="3666">
      <c r="A3666" s="2">
        <v>3665.0</v>
      </c>
      <c r="B3666" s="2">
        <v>23143.0</v>
      </c>
      <c r="C3666" s="2" t="s">
        <v>4446</v>
      </c>
      <c r="D3666" s="2">
        <v>10.4</v>
      </c>
      <c r="E3666" s="2">
        <v>15.0</v>
      </c>
      <c r="F3666" s="2">
        <v>119.98</v>
      </c>
      <c r="G3666" s="4">
        <f t="shared" si="3"/>
        <v>9493890.86</v>
      </c>
      <c r="H3666" s="4">
        <f t="shared" si="1"/>
        <v>0.9947061047</v>
      </c>
      <c r="I3666" s="4" t="str">
        <f t="shared" si="2"/>
        <v>C</v>
      </c>
    </row>
    <row r="3667">
      <c r="A3667" s="2">
        <v>3666.0</v>
      </c>
      <c r="B3667" s="2" t="s">
        <v>4447</v>
      </c>
      <c r="C3667" s="2" t="s">
        <v>4448</v>
      </c>
      <c r="D3667" s="2">
        <v>2.95</v>
      </c>
      <c r="E3667" s="2">
        <v>72.0</v>
      </c>
      <c r="F3667" s="2">
        <v>119.34</v>
      </c>
      <c r="G3667" s="4">
        <f t="shared" si="3"/>
        <v>9494010.2</v>
      </c>
      <c r="H3667" s="4">
        <f t="shared" si="1"/>
        <v>0.9947186083</v>
      </c>
      <c r="I3667" s="4" t="str">
        <f t="shared" si="2"/>
        <v>C</v>
      </c>
    </row>
    <row r="3668">
      <c r="A3668" s="2">
        <v>3667.0</v>
      </c>
      <c r="B3668" s="2">
        <v>84461.0</v>
      </c>
      <c r="C3668" s="2" t="s">
        <v>4449</v>
      </c>
      <c r="D3668" s="2">
        <v>2.55</v>
      </c>
      <c r="E3668" s="2">
        <v>46.0</v>
      </c>
      <c r="F3668" s="2">
        <v>119.24</v>
      </c>
      <c r="G3668" s="4">
        <f t="shared" si="3"/>
        <v>9494129.44</v>
      </c>
      <c r="H3668" s="4">
        <f t="shared" si="1"/>
        <v>0.9947311015</v>
      </c>
      <c r="I3668" s="4" t="str">
        <f t="shared" si="2"/>
        <v>C</v>
      </c>
    </row>
    <row r="3669">
      <c r="A3669" s="2">
        <v>3668.0</v>
      </c>
      <c r="B3669" s="2">
        <v>21460.0</v>
      </c>
      <c r="C3669" s="2" t="s">
        <v>4450</v>
      </c>
      <c r="D3669" s="2">
        <v>1.95</v>
      </c>
      <c r="E3669" s="2">
        <v>54.0</v>
      </c>
      <c r="F3669" s="2">
        <v>118.98</v>
      </c>
      <c r="G3669" s="4">
        <f t="shared" si="3"/>
        <v>9494248.42</v>
      </c>
      <c r="H3669" s="4">
        <f t="shared" si="1"/>
        <v>0.9947435674</v>
      </c>
      <c r="I3669" s="4" t="str">
        <f t="shared" si="2"/>
        <v>C</v>
      </c>
    </row>
    <row r="3670">
      <c r="A3670" s="2">
        <v>3669.0</v>
      </c>
      <c r="B3670" s="2">
        <v>82553.0</v>
      </c>
      <c r="C3670" s="2" t="s">
        <v>4451</v>
      </c>
      <c r="D3670" s="2">
        <v>3.36</v>
      </c>
      <c r="E3670" s="2">
        <v>57.0</v>
      </c>
      <c r="F3670" s="2">
        <v>118.86</v>
      </c>
      <c r="G3670" s="4">
        <f t="shared" si="3"/>
        <v>9494367.28</v>
      </c>
      <c r="H3670" s="4">
        <f t="shared" si="1"/>
        <v>0.9947560207</v>
      </c>
      <c r="I3670" s="4" t="str">
        <f t="shared" si="2"/>
        <v>C</v>
      </c>
    </row>
    <row r="3671">
      <c r="A3671" s="2">
        <v>3670.0</v>
      </c>
      <c r="B3671" s="2">
        <v>20855.0</v>
      </c>
      <c r="C3671" s="2" t="s">
        <v>4452</v>
      </c>
      <c r="D3671" s="2">
        <v>1.65</v>
      </c>
      <c r="E3671" s="2">
        <v>72.0</v>
      </c>
      <c r="F3671" s="2">
        <v>118.8</v>
      </c>
      <c r="G3671" s="4">
        <f t="shared" si="3"/>
        <v>9494486.08</v>
      </c>
      <c r="H3671" s="4">
        <f t="shared" si="1"/>
        <v>0.9947684678</v>
      </c>
      <c r="I3671" s="4" t="str">
        <f t="shared" si="2"/>
        <v>C</v>
      </c>
    </row>
    <row r="3672">
      <c r="A3672" s="2">
        <v>3671.0</v>
      </c>
      <c r="B3672" s="2">
        <v>37508.0</v>
      </c>
      <c r="C3672" s="2" t="s">
        <v>4453</v>
      </c>
      <c r="D3672" s="2">
        <v>2.55</v>
      </c>
      <c r="E3672" s="2">
        <v>46.0</v>
      </c>
      <c r="F3672" s="2">
        <v>118.61</v>
      </c>
      <c r="G3672" s="4">
        <f t="shared" si="3"/>
        <v>9494604.69</v>
      </c>
      <c r="H3672" s="4">
        <f t="shared" si="1"/>
        <v>0.994780895</v>
      </c>
      <c r="I3672" s="4" t="str">
        <f t="shared" si="2"/>
        <v>C</v>
      </c>
    </row>
    <row r="3673">
      <c r="A3673" s="2">
        <v>3672.0</v>
      </c>
      <c r="B3673" s="2">
        <v>23580.0</v>
      </c>
      <c r="C3673" s="2" t="s">
        <v>4454</v>
      </c>
      <c r="D3673" s="2">
        <v>1.95</v>
      </c>
      <c r="E3673" s="2">
        <v>58.0</v>
      </c>
      <c r="F3673" s="2">
        <v>118.44</v>
      </c>
      <c r="G3673" s="4">
        <f t="shared" si="3"/>
        <v>9494723.13</v>
      </c>
      <c r="H3673" s="4">
        <f t="shared" si="1"/>
        <v>0.9947933043</v>
      </c>
      <c r="I3673" s="4" t="str">
        <f t="shared" si="2"/>
        <v>C</v>
      </c>
    </row>
    <row r="3674">
      <c r="A3674" s="2">
        <v>3673.0</v>
      </c>
      <c r="B3674" s="2">
        <v>23149.0</v>
      </c>
      <c r="C3674" s="2" t="s">
        <v>4455</v>
      </c>
      <c r="D3674" s="2">
        <v>2.49</v>
      </c>
      <c r="E3674" s="2">
        <v>46.0</v>
      </c>
      <c r="F3674" s="2">
        <v>118.26</v>
      </c>
      <c r="G3674" s="4">
        <f t="shared" si="3"/>
        <v>9494841.39</v>
      </c>
      <c r="H3674" s="4">
        <f t="shared" si="1"/>
        <v>0.9948056948</v>
      </c>
      <c r="I3674" s="4" t="str">
        <f t="shared" si="2"/>
        <v>C</v>
      </c>
    </row>
    <row r="3675">
      <c r="A3675" s="2">
        <v>3674.0</v>
      </c>
      <c r="B3675" s="2">
        <v>90133.0</v>
      </c>
      <c r="C3675" s="2" t="s">
        <v>4456</v>
      </c>
      <c r="D3675" s="2">
        <v>5.09</v>
      </c>
      <c r="E3675" s="2">
        <v>24.0</v>
      </c>
      <c r="F3675" s="2">
        <v>118.23</v>
      </c>
      <c r="G3675" s="4">
        <f t="shared" si="3"/>
        <v>9494959.62</v>
      </c>
      <c r="H3675" s="4">
        <f t="shared" si="1"/>
        <v>0.9948180822</v>
      </c>
      <c r="I3675" s="4" t="str">
        <f t="shared" si="2"/>
        <v>C</v>
      </c>
    </row>
    <row r="3676">
      <c r="A3676" s="2">
        <v>3675.0</v>
      </c>
      <c r="B3676" s="2" t="s">
        <v>4457</v>
      </c>
      <c r="C3676" s="2" t="s">
        <v>4458</v>
      </c>
      <c r="D3676" s="2">
        <v>2.95</v>
      </c>
      <c r="E3676" s="2">
        <v>38.0</v>
      </c>
      <c r="F3676" s="2">
        <v>118.22</v>
      </c>
      <c r="G3676" s="4">
        <f t="shared" si="3"/>
        <v>9495077.84</v>
      </c>
      <c r="H3676" s="4">
        <f t="shared" si="1"/>
        <v>0.9948304685</v>
      </c>
      <c r="I3676" s="4" t="str">
        <f t="shared" si="2"/>
        <v>C</v>
      </c>
    </row>
    <row r="3677">
      <c r="A3677" s="2">
        <v>3676.0</v>
      </c>
      <c r="B3677" s="2">
        <v>20891.0</v>
      </c>
      <c r="C3677" s="2" t="s">
        <v>4459</v>
      </c>
      <c r="D3677" s="2">
        <v>7.95</v>
      </c>
      <c r="E3677" s="2">
        <v>342.0</v>
      </c>
      <c r="F3677" s="2">
        <v>118.16</v>
      </c>
      <c r="G3677" s="4">
        <f t="shared" si="3"/>
        <v>9495196</v>
      </c>
      <c r="H3677" s="4">
        <f t="shared" si="1"/>
        <v>0.9948428485</v>
      </c>
      <c r="I3677" s="4" t="str">
        <f t="shared" si="2"/>
        <v>C</v>
      </c>
    </row>
    <row r="3678">
      <c r="A3678" s="2">
        <v>3677.0</v>
      </c>
      <c r="B3678" s="2" t="s">
        <v>4460</v>
      </c>
      <c r="C3678" s="2" t="s">
        <v>4461</v>
      </c>
      <c r="D3678" s="2">
        <v>1.66</v>
      </c>
      <c r="E3678" s="2">
        <v>753.0</v>
      </c>
      <c r="F3678" s="2">
        <v>117.94</v>
      </c>
      <c r="G3678" s="4">
        <f t="shared" si="3"/>
        <v>9495313.94</v>
      </c>
      <c r="H3678" s="4">
        <f t="shared" si="1"/>
        <v>0.9948552054</v>
      </c>
      <c r="I3678" s="4" t="str">
        <f t="shared" si="2"/>
        <v>C</v>
      </c>
    </row>
    <row r="3679">
      <c r="A3679" s="2">
        <v>3678.0</v>
      </c>
      <c r="B3679" s="2">
        <v>37483.0</v>
      </c>
      <c r="C3679" s="2" t="s">
        <v>4462</v>
      </c>
      <c r="D3679" s="2">
        <v>2.55</v>
      </c>
      <c r="E3679" s="2">
        <v>72.0</v>
      </c>
      <c r="F3679" s="2">
        <v>117.72</v>
      </c>
      <c r="G3679" s="4">
        <f t="shared" si="3"/>
        <v>9495431.66</v>
      </c>
      <c r="H3679" s="4">
        <f t="shared" si="1"/>
        <v>0.9948675393</v>
      </c>
      <c r="I3679" s="4" t="str">
        <f t="shared" si="2"/>
        <v>C</v>
      </c>
    </row>
    <row r="3680">
      <c r="A3680" s="2">
        <v>3679.0</v>
      </c>
      <c r="B3680" s="2" t="s">
        <v>4463</v>
      </c>
      <c r="C3680" s="2" t="s">
        <v>4464</v>
      </c>
      <c r="D3680" s="2">
        <v>2.95</v>
      </c>
      <c r="E3680" s="2">
        <v>52.0</v>
      </c>
      <c r="F3680" s="2">
        <v>117.5</v>
      </c>
      <c r="G3680" s="4">
        <f t="shared" si="3"/>
        <v>9495549.16</v>
      </c>
      <c r="H3680" s="4">
        <f t="shared" si="1"/>
        <v>0.9948798502</v>
      </c>
      <c r="I3680" s="4" t="str">
        <f t="shared" si="2"/>
        <v>C</v>
      </c>
    </row>
    <row r="3681">
      <c r="A3681" s="2">
        <v>3680.0</v>
      </c>
      <c r="B3681" s="2">
        <v>20736.0</v>
      </c>
      <c r="C3681" s="2" t="s">
        <v>4465</v>
      </c>
      <c r="D3681" s="2">
        <v>0.85</v>
      </c>
      <c r="E3681" s="2">
        <v>146.0</v>
      </c>
      <c r="F3681" s="2">
        <v>117.18</v>
      </c>
      <c r="G3681" s="4">
        <f t="shared" si="3"/>
        <v>9495666.34</v>
      </c>
      <c r="H3681" s="4">
        <f t="shared" si="1"/>
        <v>0.9948921275</v>
      </c>
      <c r="I3681" s="4" t="str">
        <f t="shared" si="2"/>
        <v>C</v>
      </c>
    </row>
    <row r="3682">
      <c r="A3682" s="2">
        <v>3681.0</v>
      </c>
      <c r="B3682" s="2" t="s">
        <v>4466</v>
      </c>
      <c r="C3682" s="2" t="s">
        <v>1925</v>
      </c>
      <c r="D3682" s="2">
        <v>8.29</v>
      </c>
      <c r="E3682" s="2">
        <v>14.0</v>
      </c>
      <c r="F3682" s="2">
        <v>117.14</v>
      </c>
      <c r="G3682" s="4">
        <f t="shared" si="3"/>
        <v>9495783.48</v>
      </c>
      <c r="H3682" s="4">
        <f t="shared" si="1"/>
        <v>0.9949044007</v>
      </c>
      <c r="I3682" s="4" t="str">
        <f t="shared" si="2"/>
        <v>C</v>
      </c>
    </row>
    <row r="3683">
      <c r="A3683" s="2">
        <v>3682.0</v>
      </c>
      <c r="B3683" s="2">
        <v>22880.0</v>
      </c>
      <c r="C3683" s="2" t="s">
        <v>4467</v>
      </c>
      <c r="D3683" s="2">
        <v>4.13</v>
      </c>
      <c r="E3683" s="2">
        <v>56.0</v>
      </c>
      <c r="F3683" s="2">
        <v>117.08</v>
      </c>
      <c r="G3683" s="4">
        <f t="shared" si="3"/>
        <v>9495900.56</v>
      </c>
      <c r="H3683" s="4">
        <f t="shared" si="1"/>
        <v>0.9949166675</v>
      </c>
      <c r="I3683" s="4" t="str">
        <f t="shared" si="2"/>
        <v>C</v>
      </c>
    </row>
    <row r="3684">
      <c r="A3684" s="2">
        <v>3683.0</v>
      </c>
      <c r="B3684" s="2" t="s">
        <v>4468</v>
      </c>
      <c r="C3684" s="2" t="s">
        <v>2854</v>
      </c>
      <c r="D3684" s="2">
        <v>7.62</v>
      </c>
      <c r="E3684" s="2">
        <v>16.0</v>
      </c>
      <c r="F3684" s="2">
        <v>116.99</v>
      </c>
      <c r="G3684" s="4">
        <f t="shared" si="3"/>
        <v>9496017.55</v>
      </c>
      <c r="H3684" s="4">
        <f t="shared" si="1"/>
        <v>0.994928925</v>
      </c>
      <c r="I3684" s="4" t="str">
        <f t="shared" si="2"/>
        <v>C</v>
      </c>
    </row>
    <row r="3685">
      <c r="A3685" s="2">
        <v>3684.0</v>
      </c>
      <c r="B3685" s="2">
        <v>23036.0</v>
      </c>
      <c r="C3685" s="2" t="s">
        <v>4469</v>
      </c>
      <c r="D3685" s="2">
        <v>1.25</v>
      </c>
      <c r="E3685" s="2">
        <v>92.0</v>
      </c>
      <c r="F3685" s="2">
        <v>116.84</v>
      </c>
      <c r="G3685" s="4">
        <f t="shared" si="3"/>
        <v>9496134.39</v>
      </c>
      <c r="H3685" s="4">
        <f t="shared" si="1"/>
        <v>0.9949411667</v>
      </c>
      <c r="I3685" s="4" t="str">
        <f t="shared" si="2"/>
        <v>C</v>
      </c>
    </row>
    <row r="3686">
      <c r="A3686" s="2">
        <v>3685.0</v>
      </c>
      <c r="B3686" s="2" t="s">
        <v>4470</v>
      </c>
      <c r="C3686" s="2" t="s">
        <v>4471</v>
      </c>
      <c r="D3686" s="2">
        <v>4.24</v>
      </c>
      <c r="E3686" s="2">
        <v>28.0</v>
      </c>
      <c r="F3686" s="2">
        <v>116.72</v>
      </c>
      <c r="G3686" s="4">
        <f t="shared" si="3"/>
        <v>9496251.11</v>
      </c>
      <c r="H3686" s="4">
        <f t="shared" si="1"/>
        <v>0.9949533958</v>
      </c>
      <c r="I3686" s="4" t="str">
        <f t="shared" si="2"/>
        <v>C</v>
      </c>
    </row>
    <row r="3687">
      <c r="A3687" s="2">
        <v>3686.0</v>
      </c>
      <c r="B3687" s="2">
        <v>84629.0</v>
      </c>
      <c r="C3687" s="2" t="s">
        <v>4472</v>
      </c>
      <c r="D3687" s="2">
        <v>13.45</v>
      </c>
      <c r="E3687" s="2">
        <v>12.0</v>
      </c>
      <c r="F3687" s="2">
        <v>116.42</v>
      </c>
      <c r="G3687" s="4">
        <f t="shared" si="3"/>
        <v>9496367.53</v>
      </c>
      <c r="H3687" s="4">
        <f t="shared" si="1"/>
        <v>0.9949655935</v>
      </c>
      <c r="I3687" s="4" t="str">
        <f t="shared" si="2"/>
        <v>C</v>
      </c>
    </row>
    <row r="3688">
      <c r="A3688" s="2">
        <v>3687.0</v>
      </c>
      <c r="B3688" s="2" t="s">
        <v>4473</v>
      </c>
      <c r="C3688" s="2" t="s">
        <v>2096</v>
      </c>
      <c r="D3688" s="2">
        <v>11.02</v>
      </c>
      <c r="E3688" s="2">
        <v>10.0</v>
      </c>
      <c r="F3688" s="2">
        <v>116.31</v>
      </c>
      <c r="G3688" s="4">
        <f t="shared" si="3"/>
        <v>9496483.84</v>
      </c>
      <c r="H3688" s="4">
        <f t="shared" si="1"/>
        <v>0.9949777797</v>
      </c>
      <c r="I3688" s="4" t="str">
        <f t="shared" si="2"/>
        <v>C</v>
      </c>
    </row>
    <row r="3689">
      <c r="A3689" s="2">
        <v>3688.0</v>
      </c>
      <c r="B3689" s="2">
        <v>35991.0</v>
      </c>
      <c r="C3689" s="2" t="s">
        <v>4474</v>
      </c>
      <c r="D3689" s="2">
        <v>0.42</v>
      </c>
      <c r="E3689" s="2">
        <v>202.0</v>
      </c>
      <c r="F3689" s="2">
        <v>116.25</v>
      </c>
      <c r="G3689" s="4">
        <f t="shared" si="3"/>
        <v>9496600.09</v>
      </c>
      <c r="H3689" s="4">
        <f t="shared" si="1"/>
        <v>0.9949899596</v>
      </c>
      <c r="I3689" s="4" t="str">
        <f t="shared" si="2"/>
        <v>C</v>
      </c>
    </row>
    <row r="3690">
      <c r="A3690" s="2">
        <v>3689.0</v>
      </c>
      <c r="B3690" s="2" t="s">
        <v>4475</v>
      </c>
      <c r="C3690" s="2" t="s">
        <v>4476</v>
      </c>
      <c r="D3690" s="2">
        <v>0.42</v>
      </c>
      <c r="E3690" s="2">
        <v>262.0</v>
      </c>
      <c r="F3690" s="2">
        <v>116.18</v>
      </c>
      <c r="G3690" s="4">
        <f t="shared" si="3"/>
        <v>9496716.27</v>
      </c>
      <c r="H3690" s="4">
        <f t="shared" si="1"/>
        <v>0.9950021321</v>
      </c>
      <c r="I3690" s="4" t="str">
        <f t="shared" si="2"/>
        <v>C</v>
      </c>
    </row>
    <row r="3691">
      <c r="A3691" s="2">
        <v>3690.0</v>
      </c>
      <c r="B3691" s="2">
        <v>23447.0</v>
      </c>
      <c r="C3691" s="2" t="s">
        <v>4477</v>
      </c>
      <c r="D3691" s="2">
        <v>1.65</v>
      </c>
      <c r="E3691" s="2">
        <v>79.0</v>
      </c>
      <c r="F3691" s="2">
        <v>115.95</v>
      </c>
      <c r="G3691" s="4">
        <f t="shared" si="3"/>
        <v>9496832.22</v>
      </c>
      <c r="H3691" s="4">
        <f t="shared" si="1"/>
        <v>0.9950142806</v>
      </c>
      <c r="I3691" s="4" t="str">
        <f t="shared" si="2"/>
        <v>C</v>
      </c>
    </row>
    <row r="3692">
      <c r="A3692" s="2">
        <v>3691.0</v>
      </c>
      <c r="B3692" s="2">
        <v>21226.0</v>
      </c>
      <c r="C3692" s="2" t="s">
        <v>4478</v>
      </c>
      <c r="D3692" s="2">
        <v>1.25</v>
      </c>
      <c r="E3692" s="2">
        <v>107.0</v>
      </c>
      <c r="F3692" s="2">
        <v>115.9</v>
      </c>
      <c r="G3692" s="4">
        <f t="shared" si="3"/>
        <v>9496948.12</v>
      </c>
      <c r="H3692" s="4">
        <f t="shared" si="1"/>
        <v>0.9950264238</v>
      </c>
      <c r="I3692" s="4" t="str">
        <f t="shared" si="2"/>
        <v>C</v>
      </c>
    </row>
    <row r="3693">
      <c r="A3693" s="2">
        <v>3692.0</v>
      </c>
      <c r="B3693" s="2" t="s">
        <v>4479</v>
      </c>
      <c r="C3693" s="2" t="s">
        <v>4480</v>
      </c>
      <c r="D3693" s="2">
        <v>9.15</v>
      </c>
      <c r="E3693" s="2">
        <v>12.0</v>
      </c>
      <c r="F3693" s="2">
        <v>115.64</v>
      </c>
      <c r="G3693" s="4">
        <f t="shared" si="3"/>
        <v>9497063.76</v>
      </c>
      <c r="H3693" s="4">
        <f t="shared" si="1"/>
        <v>0.9950385398</v>
      </c>
      <c r="I3693" s="4" t="str">
        <f t="shared" si="2"/>
        <v>C</v>
      </c>
    </row>
    <row r="3694">
      <c r="A3694" s="2">
        <v>3693.0</v>
      </c>
      <c r="B3694" s="2" t="s">
        <v>4481</v>
      </c>
      <c r="C3694" s="2" t="s">
        <v>4482</v>
      </c>
      <c r="D3694" s="2">
        <v>1.95</v>
      </c>
      <c r="E3694" s="2">
        <v>48.0</v>
      </c>
      <c r="F3694" s="2">
        <v>115.3</v>
      </c>
      <c r="G3694" s="4">
        <f t="shared" si="3"/>
        <v>9497179.06</v>
      </c>
      <c r="H3694" s="4">
        <f t="shared" si="1"/>
        <v>0.9950506202</v>
      </c>
      <c r="I3694" s="4" t="str">
        <f t="shared" si="2"/>
        <v>C</v>
      </c>
    </row>
    <row r="3695">
      <c r="A3695" s="2">
        <v>3694.0</v>
      </c>
      <c r="B3695" s="2" t="s">
        <v>4483</v>
      </c>
      <c r="C3695" s="2" t="s">
        <v>4484</v>
      </c>
      <c r="D3695" s="2">
        <v>7.64</v>
      </c>
      <c r="E3695" s="2">
        <v>20.0</v>
      </c>
      <c r="F3695" s="2">
        <v>115.2</v>
      </c>
      <c r="G3695" s="4">
        <f t="shared" si="3"/>
        <v>9497294.26</v>
      </c>
      <c r="H3695" s="4">
        <f t="shared" si="1"/>
        <v>0.9950626901</v>
      </c>
      <c r="I3695" s="4" t="str">
        <f t="shared" si="2"/>
        <v>C</v>
      </c>
    </row>
    <row r="3696">
      <c r="A3696" s="2">
        <v>3695.0</v>
      </c>
      <c r="B3696" s="2">
        <v>23446.0</v>
      </c>
      <c r="C3696" s="2" t="s">
        <v>4485</v>
      </c>
      <c r="D3696" s="2">
        <v>1.65</v>
      </c>
      <c r="E3696" s="2">
        <v>78.0</v>
      </c>
      <c r="F3696" s="2">
        <v>115.12</v>
      </c>
      <c r="G3696" s="4">
        <f t="shared" si="3"/>
        <v>9497409.38</v>
      </c>
      <c r="H3696" s="4">
        <f t="shared" si="1"/>
        <v>0.9950747516</v>
      </c>
      <c r="I3696" s="4" t="str">
        <f t="shared" si="2"/>
        <v>C</v>
      </c>
    </row>
    <row r="3697">
      <c r="A3697" s="2">
        <v>3696.0</v>
      </c>
      <c r="B3697" s="2">
        <v>90170.0</v>
      </c>
      <c r="C3697" s="2" t="s">
        <v>4486</v>
      </c>
      <c r="D3697" s="2">
        <v>1.65</v>
      </c>
      <c r="E3697" s="2">
        <v>69.0</v>
      </c>
      <c r="F3697" s="2">
        <v>114.89</v>
      </c>
      <c r="G3697" s="4">
        <f t="shared" si="3"/>
        <v>9497524.27</v>
      </c>
      <c r="H3697" s="4">
        <f t="shared" si="1"/>
        <v>0.995086789</v>
      </c>
      <c r="I3697" s="4" t="str">
        <f t="shared" si="2"/>
        <v>C</v>
      </c>
    </row>
    <row r="3698">
      <c r="A3698" s="2">
        <v>3697.0</v>
      </c>
      <c r="B3698" s="2" t="s">
        <v>4487</v>
      </c>
      <c r="C3698" s="2" t="s">
        <v>4488</v>
      </c>
      <c r="D3698" s="2">
        <v>12.75</v>
      </c>
      <c r="E3698" s="2">
        <v>9.0</v>
      </c>
      <c r="F3698" s="2">
        <v>114.75</v>
      </c>
      <c r="G3698" s="4">
        <f t="shared" si="3"/>
        <v>9497639.02</v>
      </c>
      <c r="H3698" s="4">
        <f t="shared" si="1"/>
        <v>0.9950988117</v>
      </c>
      <c r="I3698" s="4" t="str">
        <f t="shared" si="2"/>
        <v>C</v>
      </c>
    </row>
    <row r="3699">
      <c r="A3699" s="2">
        <v>3698.0</v>
      </c>
      <c r="B3699" s="2" t="s">
        <v>4489</v>
      </c>
      <c r="C3699" s="2" t="s">
        <v>4490</v>
      </c>
      <c r="D3699" s="2">
        <v>4.95</v>
      </c>
      <c r="E3699" s="2">
        <v>23.0</v>
      </c>
      <c r="F3699" s="2">
        <v>114.5</v>
      </c>
      <c r="G3699" s="4">
        <f t="shared" si="3"/>
        <v>9497753.52</v>
      </c>
      <c r="H3699" s="4">
        <f t="shared" si="1"/>
        <v>0.9951108082</v>
      </c>
      <c r="I3699" s="4" t="str">
        <f t="shared" si="2"/>
        <v>C</v>
      </c>
    </row>
    <row r="3700">
      <c r="A3700" s="2">
        <v>3699.0</v>
      </c>
      <c r="B3700" s="2">
        <v>21639.0</v>
      </c>
      <c r="C3700" s="2" t="s">
        <v>4491</v>
      </c>
      <c r="D3700" s="2">
        <v>0.85</v>
      </c>
      <c r="E3700" s="2">
        <v>130.0</v>
      </c>
      <c r="F3700" s="2">
        <v>114.32</v>
      </c>
      <c r="G3700" s="4">
        <f t="shared" si="3"/>
        <v>9497867.84</v>
      </c>
      <c r="H3700" s="4">
        <f t="shared" si="1"/>
        <v>0.9951227859</v>
      </c>
      <c r="I3700" s="4" t="str">
        <f t="shared" si="2"/>
        <v>C</v>
      </c>
    </row>
    <row r="3701">
      <c r="A3701" s="2">
        <v>3700.0</v>
      </c>
      <c r="B3701" s="2" t="s">
        <v>4492</v>
      </c>
      <c r="C3701" s="2" t="s">
        <v>4493</v>
      </c>
      <c r="D3701" s="2">
        <v>6.35</v>
      </c>
      <c r="E3701" s="2">
        <v>18.0</v>
      </c>
      <c r="F3701" s="2">
        <v>114.3</v>
      </c>
      <c r="G3701" s="4">
        <f t="shared" si="3"/>
        <v>9497982.14</v>
      </c>
      <c r="H3701" s="4">
        <f t="shared" si="1"/>
        <v>0.9951347615</v>
      </c>
      <c r="I3701" s="4" t="str">
        <f t="shared" si="2"/>
        <v>C</v>
      </c>
    </row>
    <row r="3702">
      <c r="A3702" s="2">
        <v>3701.0</v>
      </c>
      <c r="B3702" s="2" t="s">
        <v>4494</v>
      </c>
      <c r="C3702" s="2" t="s">
        <v>4495</v>
      </c>
      <c r="D3702" s="2">
        <v>0.42</v>
      </c>
      <c r="E3702" s="2">
        <v>508.0</v>
      </c>
      <c r="F3702" s="2">
        <v>114.0</v>
      </c>
      <c r="G3702" s="4">
        <f t="shared" si="3"/>
        <v>9498096.14</v>
      </c>
      <c r="H3702" s="4">
        <f t="shared" si="1"/>
        <v>0.9951467057</v>
      </c>
      <c r="I3702" s="4" t="str">
        <f t="shared" si="2"/>
        <v>C</v>
      </c>
    </row>
    <row r="3703">
      <c r="A3703" s="2">
        <v>3702.0</v>
      </c>
      <c r="B3703" s="2" t="s">
        <v>4496</v>
      </c>
      <c r="C3703" s="2" t="s">
        <v>4497</v>
      </c>
      <c r="D3703" s="2">
        <v>2.1</v>
      </c>
      <c r="E3703" s="2">
        <v>52.0</v>
      </c>
      <c r="F3703" s="2">
        <v>113.77</v>
      </c>
      <c r="G3703" s="4">
        <f t="shared" si="3"/>
        <v>9498209.91</v>
      </c>
      <c r="H3703" s="4">
        <f t="shared" si="1"/>
        <v>0.9951586257</v>
      </c>
      <c r="I3703" s="4" t="str">
        <f t="shared" si="2"/>
        <v>C</v>
      </c>
    </row>
    <row r="3704">
      <c r="A3704" s="2">
        <v>3703.0</v>
      </c>
      <c r="B3704" s="2" t="s">
        <v>4498</v>
      </c>
      <c r="C3704" s="2" t="s">
        <v>4499</v>
      </c>
      <c r="D3704" s="2">
        <v>1.65</v>
      </c>
      <c r="E3704" s="2">
        <v>247.0</v>
      </c>
      <c r="F3704" s="2">
        <v>113.74</v>
      </c>
      <c r="G3704" s="4">
        <f t="shared" si="3"/>
        <v>9498323.65</v>
      </c>
      <c r="H3704" s="4">
        <f t="shared" si="1"/>
        <v>0.9951705426</v>
      </c>
      <c r="I3704" s="4" t="str">
        <f t="shared" si="2"/>
        <v>C</v>
      </c>
    </row>
    <row r="3705">
      <c r="A3705" s="2">
        <v>3704.0</v>
      </c>
      <c r="B3705" s="2" t="s">
        <v>4500</v>
      </c>
      <c r="C3705" s="2" t="s">
        <v>4501</v>
      </c>
      <c r="D3705" s="2">
        <v>4.43</v>
      </c>
      <c r="E3705" s="2">
        <v>81.0</v>
      </c>
      <c r="F3705" s="2">
        <v>113.66</v>
      </c>
      <c r="G3705" s="4">
        <f t="shared" si="3"/>
        <v>9498437.31</v>
      </c>
      <c r="H3705" s="4">
        <f t="shared" si="1"/>
        <v>0.9951824512</v>
      </c>
      <c r="I3705" s="4" t="str">
        <f t="shared" si="2"/>
        <v>C</v>
      </c>
    </row>
    <row r="3706">
      <c r="A3706" s="2">
        <v>3705.0</v>
      </c>
      <c r="B3706" s="2" t="s">
        <v>4502</v>
      </c>
      <c r="C3706" s="2" t="s">
        <v>4503</v>
      </c>
      <c r="D3706" s="2">
        <v>1.95</v>
      </c>
      <c r="E3706" s="2">
        <v>55.0</v>
      </c>
      <c r="F3706" s="2">
        <v>113.25</v>
      </c>
      <c r="G3706" s="4">
        <f t="shared" si="3"/>
        <v>9498550.56</v>
      </c>
      <c r="H3706" s="4">
        <f t="shared" si="1"/>
        <v>0.9951943167</v>
      </c>
      <c r="I3706" s="4" t="str">
        <f t="shared" si="2"/>
        <v>C</v>
      </c>
    </row>
    <row r="3707">
      <c r="A3707" s="2">
        <v>3706.0</v>
      </c>
      <c r="B3707" s="2">
        <v>23003.0</v>
      </c>
      <c r="C3707" s="2" t="s">
        <v>4504</v>
      </c>
      <c r="D3707" s="2">
        <v>0.42</v>
      </c>
      <c r="E3707" s="2">
        <v>271.0</v>
      </c>
      <c r="F3707" s="2">
        <v>113.1</v>
      </c>
      <c r="G3707" s="4">
        <f t="shared" si="3"/>
        <v>9498663.66</v>
      </c>
      <c r="H3707" s="4">
        <f t="shared" si="1"/>
        <v>0.9952061666</v>
      </c>
      <c r="I3707" s="4" t="str">
        <f t="shared" si="2"/>
        <v>C</v>
      </c>
    </row>
    <row r="3708">
      <c r="A3708" s="2">
        <v>3707.0</v>
      </c>
      <c r="B3708" s="2">
        <v>90155.0</v>
      </c>
      <c r="C3708" s="2" t="s">
        <v>4505</v>
      </c>
      <c r="D3708" s="2">
        <v>7.5</v>
      </c>
      <c r="E3708" s="2">
        <v>15.0</v>
      </c>
      <c r="F3708" s="2">
        <v>113.08</v>
      </c>
      <c r="G3708" s="4">
        <f t="shared" si="3"/>
        <v>9498776.74</v>
      </c>
      <c r="H3708" s="4">
        <f t="shared" si="1"/>
        <v>0.9952180143</v>
      </c>
      <c r="I3708" s="4" t="str">
        <f t="shared" si="2"/>
        <v>C</v>
      </c>
    </row>
    <row r="3709">
      <c r="A3709" s="2">
        <v>3708.0</v>
      </c>
      <c r="B3709" s="2" t="s">
        <v>4506</v>
      </c>
      <c r="C3709" s="2" t="s">
        <v>4507</v>
      </c>
      <c r="D3709" s="2">
        <v>20.0</v>
      </c>
      <c r="E3709" s="2">
        <v>6.0</v>
      </c>
      <c r="F3709" s="2">
        <v>112.98</v>
      </c>
      <c r="G3709" s="4">
        <f t="shared" si="3"/>
        <v>9498889.72</v>
      </c>
      <c r="H3709" s="4">
        <f t="shared" si="1"/>
        <v>0.9952298516</v>
      </c>
      <c r="I3709" s="4" t="str">
        <f t="shared" si="2"/>
        <v>C</v>
      </c>
    </row>
    <row r="3710">
      <c r="A3710" s="2">
        <v>3709.0</v>
      </c>
      <c r="B3710" s="2">
        <v>90116.0</v>
      </c>
      <c r="C3710" s="2" t="s">
        <v>4508</v>
      </c>
      <c r="D3710" s="2">
        <v>2.46</v>
      </c>
      <c r="E3710" s="2">
        <v>53.0</v>
      </c>
      <c r="F3710" s="2">
        <v>112.76</v>
      </c>
      <c r="G3710" s="4">
        <f t="shared" si="3"/>
        <v>9499002.48</v>
      </c>
      <c r="H3710" s="4">
        <f t="shared" si="1"/>
        <v>0.9952416659</v>
      </c>
      <c r="I3710" s="4" t="str">
        <f t="shared" si="2"/>
        <v>C</v>
      </c>
    </row>
    <row r="3711">
      <c r="A3711" s="2">
        <v>3710.0</v>
      </c>
      <c r="B3711" s="2">
        <v>21369.0</v>
      </c>
      <c r="C3711" s="2" t="s">
        <v>4509</v>
      </c>
      <c r="D3711" s="2">
        <v>1.25</v>
      </c>
      <c r="E3711" s="2">
        <v>66.0</v>
      </c>
      <c r="F3711" s="2">
        <v>112.68</v>
      </c>
      <c r="G3711" s="4">
        <f t="shared" si="3"/>
        <v>9499115.16</v>
      </c>
      <c r="H3711" s="4">
        <f t="shared" si="1"/>
        <v>0.9952534717</v>
      </c>
      <c r="I3711" s="4" t="str">
        <f t="shared" si="2"/>
        <v>C</v>
      </c>
    </row>
    <row r="3712">
      <c r="A3712" s="2">
        <v>3711.0</v>
      </c>
      <c r="B3712" s="2" t="s">
        <v>4510</v>
      </c>
      <c r="C3712" s="2" t="s">
        <v>4511</v>
      </c>
      <c r="D3712" s="2">
        <v>2.95</v>
      </c>
      <c r="E3712" s="2">
        <v>38.0</v>
      </c>
      <c r="F3712" s="2">
        <v>112.19</v>
      </c>
      <c r="G3712" s="4">
        <f t="shared" si="3"/>
        <v>9499227.35</v>
      </c>
      <c r="H3712" s="4">
        <f t="shared" si="1"/>
        <v>0.9952652262</v>
      </c>
      <c r="I3712" s="4" t="str">
        <f t="shared" si="2"/>
        <v>C</v>
      </c>
    </row>
    <row r="3713">
      <c r="A3713" s="2">
        <v>3712.0</v>
      </c>
      <c r="B3713" s="2" t="s">
        <v>4512</v>
      </c>
      <c r="C3713" s="2" t="s">
        <v>4513</v>
      </c>
      <c r="D3713" s="2">
        <v>1.25</v>
      </c>
      <c r="E3713" s="2">
        <v>39.0</v>
      </c>
      <c r="F3713" s="2">
        <v>112.05</v>
      </c>
      <c r="G3713" s="4">
        <f t="shared" si="3"/>
        <v>9499339.4</v>
      </c>
      <c r="H3713" s="4">
        <f t="shared" si="1"/>
        <v>0.9952769661</v>
      </c>
      <c r="I3713" s="4" t="str">
        <f t="shared" si="2"/>
        <v>C</v>
      </c>
    </row>
    <row r="3714">
      <c r="A3714" s="2">
        <v>3713.0</v>
      </c>
      <c r="B3714" s="2" t="s">
        <v>4514</v>
      </c>
      <c r="C3714" s="2" t="s">
        <v>4515</v>
      </c>
      <c r="D3714" s="2">
        <v>2.1</v>
      </c>
      <c r="E3714" s="2">
        <v>68.0</v>
      </c>
      <c r="F3714" s="2">
        <v>111.87</v>
      </c>
      <c r="G3714" s="4">
        <f t="shared" si="3"/>
        <v>9499451.27</v>
      </c>
      <c r="H3714" s="4">
        <f t="shared" si="1"/>
        <v>0.9952886871</v>
      </c>
      <c r="I3714" s="4" t="str">
        <f t="shared" si="2"/>
        <v>C</v>
      </c>
    </row>
    <row r="3715">
      <c r="A3715" s="2">
        <v>3714.0</v>
      </c>
      <c r="B3715" s="2">
        <v>82585.0</v>
      </c>
      <c r="C3715" s="2" t="s">
        <v>4516</v>
      </c>
      <c r="D3715" s="2">
        <v>1.25</v>
      </c>
      <c r="E3715" s="2">
        <v>76.0</v>
      </c>
      <c r="F3715" s="2">
        <v>111.08</v>
      </c>
      <c r="G3715" s="4">
        <f t="shared" si="3"/>
        <v>9499562.35</v>
      </c>
      <c r="H3715" s="4">
        <f t="shared" si="1"/>
        <v>0.9953003253</v>
      </c>
      <c r="I3715" s="4" t="str">
        <f t="shared" si="2"/>
        <v>C</v>
      </c>
    </row>
    <row r="3716">
      <c r="A3716" s="2">
        <v>3715.0</v>
      </c>
      <c r="B3716" s="2" t="s">
        <v>4517</v>
      </c>
      <c r="C3716" s="2" t="s">
        <v>4518</v>
      </c>
      <c r="D3716" s="2">
        <v>0.42</v>
      </c>
      <c r="E3716" s="2">
        <v>508.0</v>
      </c>
      <c r="F3716" s="2">
        <v>110.74</v>
      </c>
      <c r="G3716" s="4">
        <f t="shared" si="3"/>
        <v>9499673.09</v>
      </c>
      <c r="H3716" s="4">
        <f t="shared" si="1"/>
        <v>0.9953119279</v>
      </c>
      <c r="I3716" s="4" t="str">
        <f t="shared" si="2"/>
        <v>C</v>
      </c>
    </row>
    <row r="3717">
      <c r="A3717" s="2">
        <v>3716.0</v>
      </c>
      <c r="B3717" s="2" t="s">
        <v>4519</v>
      </c>
      <c r="C3717" s="2" t="s">
        <v>4520</v>
      </c>
      <c r="D3717" s="2">
        <v>2.48</v>
      </c>
      <c r="E3717" s="2">
        <v>168.0</v>
      </c>
      <c r="F3717" s="2">
        <v>110.7</v>
      </c>
      <c r="G3717" s="4">
        <f t="shared" si="3"/>
        <v>9499783.79</v>
      </c>
      <c r="H3717" s="4">
        <f t="shared" si="1"/>
        <v>0.9953235263</v>
      </c>
      <c r="I3717" s="4" t="str">
        <f t="shared" si="2"/>
        <v>C</v>
      </c>
    </row>
    <row r="3718">
      <c r="A3718" s="2">
        <v>3717.0</v>
      </c>
      <c r="B3718" s="2">
        <v>21102.0</v>
      </c>
      <c r="C3718" s="2" t="s">
        <v>4521</v>
      </c>
      <c r="D3718" s="2">
        <v>2.55</v>
      </c>
      <c r="E3718" s="2">
        <v>41.0</v>
      </c>
      <c r="F3718" s="2">
        <v>110.54</v>
      </c>
      <c r="G3718" s="4">
        <f t="shared" si="3"/>
        <v>9499894.33</v>
      </c>
      <c r="H3718" s="4">
        <f t="shared" si="1"/>
        <v>0.9953351079</v>
      </c>
      <c r="I3718" s="4" t="str">
        <f t="shared" si="2"/>
        <v>C</v>
      </c>
    </row>
    <row r="3719">
      <c r="A3719" s="2">
        <v>3718.0</v>
      </c>
      <c r="B3719" s="2" t="s">
        <v>4522</v>
      </c>
      <c r="C3719" s="2" t="s">
        <v>4523</v>
      </c>
      <c r="D3719" s="2">
        <v>1.27</v>
      </c>
      <c r="E3719" s="2">
        <v>128.0</v>
      </c>
      <c r="F3719" s="2">
        <v>110.52</v>
      </c>
      <c r="G3719" s="4">
        <f t="shared" si="3"/>
        <v>9500004.85</v>
      </c>
      <c r="H3719" s="4">
        <f t="shared" si="1"/>
        <v>0.9953466875</v>
      </c>
      <c r="I3719" s="4" t="str">
        <f t="shared" si="2"/>
        <v>C</v>
      </c>
    </row>
    <row r="3720">
      <c r="A3720" s="2">
        <v>3719.0</v>
      </c>
      <c r="B3720" s="2" t="s">
        <v>4524</v>
      </c>
      <c r="C3720" s="2" t="s">
        <v>1083</v>
      </c>
      <c r="D3720" s="2">
        <v>8.47</v>
      </c>
      <c r="E3720" s="2">
        <v>13.0</v>
      </c>
      <c r="F3720" s="2">
        <v>110.47</v>
      </c>
      <c r="G3720" s="4">
        <f t="shared" si="3"/>
        <v>9500115.32</v>
      </c>
      <c r="H3720" s="4">
        <f t="shared" si="1"/>
        <v>0.9953582618</v>
      </c>
      <c r="I3720" s="4" t="str">
        <f t="shared" si="2"/>
        <v>C</v>
      </c>
    </row>
    <row r="3721">
      <c r="A3721" s="2">
        <v>3720.0</v>
      </c>
      <c r="B3721" s="2" t="s">
        <v>4525</v>
      </c>
      <c r="C3721" s="2" t="s">
        <v>4526</v>
      </c>
      <c r="D3721" s="2">
        <v>1.25</v>
      </c>
      <c r="E3721" s="2">
        <v>67.0</v>
      </c>
      <c r="F3721" s="2">
        <v>110.33</v>
      </c>
      <c r="G3721" s="4">
        <f t="shared" si="3"/>
        <v>9500225.65</v>
      </c>
      <c r="H3721" s="4">
        <f t="shared" si="1"/>
        <v>0.9953698214</v>
      </c>
      <c r="I3721" s="4" t="str">
        <f t="shared" si="2"/>
        <v>C</v>
      </c>
    </row>
    <row r="3722">
      <c r="A3722" s="2">
        <v>3721.0</v>
      </c>
      <c r="B3722" s="2" t="s">
        <v>4527</v>
      </c>
      <c r="C3722" s="2" t="s">
        <v>4528</v>
      </c>
      <c r="D3722" s="2">
        <v>1.95</v>
      </c>
      <c r="E3722" s="2">
        <v>56.0</v>
      </c>
      <c r="F3722" s="2">
        <v>110.18</v>
      </c>
      <c r="G3722" s="4">
        <f t="shared" si="3"/>
        <v>9500335.83</v>
      </c>
      <c r="H3722" s="4">
        <f t="shared" si="1"/>
        <v>0.9953813653</v>
      </c>
      <c r="I3722" s="4" t="str">
        <f t="shared" si="2"/>
        <v>C</v>
      </c>
    </row>
    <row r="3723">
      <c r="A3723" s="2">
        <v>3722.0</v>
      </c>
      <c r="B3723" s="2" t="s">
        <v>4529</v>
      </c>
      <c r="C3723" s="2" t="s">
        <v>4530</v>
      </c>
      <c r="D3723" s="2">
        <v>9.95</v>
      </c>
      <c r="E3723" s="2">
        <v>11.0</v>
      </c>
      <c r="F3723" s="2">
        <v>110.1</v>
      </c>
      <c r="G3723" s="4">
        <f t="shared" si="3"/>
        <v>9500445.93</v>
      </c>
      <c r="H3723" s="4">
        <f t="shared" si="1"/>
        <v>0.9953929009</v>
      </c>
      <c r="I3723" s="4" t="str">
        <f t="shared" si="2"/>
        <v>C</v>
      </c>
    </row>
    <row r="3724">
      <c r="A3724" s="2">
        <v>3723.0</v>
      </c>
      <c r="B3724" s="2" t="s">
        <v>4531</v>
      </c>
      <c r="C3724" s="2" t="s">
        <v>4532</v>
      </c>
      <c r="D3724" s="2">
        <v>5.95</v>
      </c>
      <c r="E3724" s="2">
        <v>18.0</v>
      </c>
      <c r="F3724" s="2">
        <v>110.01</v>
      </c>
      <c r="G3724" s="4">
        <f t="shared" si="3"/>
        <v>9500555.94</v>
      </c>
      <c r="H3724" s="4">
        <f t="shared" si="1"/>
        <v>0.995404427</v>
      </c>
      <c r="I3724" s="4" t="str">
        <f t="shared" si="2"/>
        <v>C</v>
      </c>
    </row>
    <row r="3725">
      <c r="A3725" s="2">
        <v>3724.0</v>
      </c>
      <c r="B3725" s="2" t="s">
        <v>4533</v>
      </c>
      <c r="C3725" s="2" t="s">
        <v>4534</v>
      </c>
      <c r="D3725" s="2">
        <v>0.29</v>
      </c>
      <c r="E3725" s="2">
        <v>481.0</v>
      </c>
      <c r="F3725" s="2">
        <v>109.73</v>
      </c>
      <c r="G3725" s="4">
        <f t="shared" si="3"/>
        <v>9500665.67</v>
      </c>
      <c r="H3725" s="4">
        <f t="shared" si="1"/>
        <v>0.9954159237</v>
      </c>
      <c r="I3725" s="4" t="str">
        <f t="shared" si="2"/>
        <v>C</v>
      </c>
    </row>
    <row r="3726">
      <c r="A3726" s="2">
        <v>3725.0</v>
      </c>
      <c r="B3726" s="2" t="s">
        <v>4535</v>
      </c>
      <c r="C3726" s="2" t="s">
        <v>4536</v>
      </c>
      <c r="D3726" s="2">
        <v>9.95</v>
      </c>
      <c r="E3726" s="2">
        <v>11.0</v>
      </c>
      <c r="F3726" s="2">
        <v>109.45</v>
      </c>
      <c r="G3726" s="4">
        <f t="shared" si="3"/>
        <v>9500775.12</v>
      </c>
      <c r="H3726" s="4">
        <f t="shared" si="1"/>
        <v>0.9954273912</v>
      </c>
      <c r="I3726" s="4" t="str">
        <f t="shared" si="2"/>
        <v>C</v>
      </c>
    </row>
    <row r="3727">
      <c r="A3727" s="2">
        <v>3726.0</v>
      </c>
      <c r="B3727" s="2" t="s">
        <v>4537</v>
      </c>
      <c r="C3727" s="2" t="s">
        <v>4538</v>
      </c>
      <c r="D3727" s="2">
        <v>0.38</v>
      </c>
      <c r="E3727" s="2">
        <v>288.0</v>
      </c>
      <c r="F3727" s="2">
        <v>109.44</v>
      </c>
      <c r="G3727" s="4">
        <f t="shared" si="3"/>
        <v>9500884.56</v>
      </c>
      <c r="H3727" s="4">
        <f t="shared" si="1"/>
        <v>0.9954388576</v>
      </c>
      <c r="I3727" s="4" t="str">
        <f t="shared" si="2"/>
        <v>C</v>
      </c>
    </row>
    <row r="3728">
      <c r="A3728" s="2">
        <v>3727.0</v>
      </c>
      <c r="B3728" s="2">
        <v>22881.0</v>
      </c>
      <c r="C3728" s="2" t="s">
        <v>4539</v>
      </c>
      <c r="D3728" s="2">
        <v>4.13</v>
      </c>
      <c r="E3728" s="2">
        <v>56.0</v>
      </c>
      <c r="F3728" s="2">
        <v>109.41</v>
      </c>
      <c r="G3728" s="4">
        <f t="shared" si="3"/>
        <v>9500993.97</v>
      </c>
      <c r="H3728" s="4">
        <f t="shared" si="1"/>
        <v>0.9954503208</v>
      </c>
      <c r="I3728" s="4" t="str">
        <f t="shared" si="2"/>
        <v>C</v>
      </c>
    </row>
    <row r="3729">
      <c r="A3729" s="2">
        <v>3728.0</v>
      </c>
      <c r="B3729" s="2">
        <v>22884.0</v>
      </c>
      <c r="C3729" s="2" t="s">
        <v>4540</v>
      </c>
      <c r="D3729" s="2">
        <v>4.13</v>
      </c>
      <c r="E3729" s="2">
        <v>55.0</v>
      </c>
      <c r="F3729" s="2">
        <v>108.63</v>
      </c>
      <c r="G3729" s="4">
        <f t="shared" si="3"/>
        <v>9501102.6</v>
      </c>
      <c r="H3729" s="4">
        <f t="shared" si="1"/>
        <v>0.9954617023</v>
      </c>
      <c r="I3729" s="4" t="str">
        <f t="shared" si="2"/>
        <v>C</v>
      </c>
    </row>
    <row r="3730">
      <c r="A3730" s="2">
        <v>3729.0</v>
      </c>
      <c r="B3730" s="2">
        <v>72781.0</v>
      </c>
      <c r="C3730" s="2" t="s">
        <v>3963</v>
      </c>
      <c r="D3730" s="2">
        <v>2.1</v>
      </c>
      <c r="E3730" s="2">
        <v>58.0</v>
      </c>
      <c r="F3730" s="2">
        <v>108.45</v>
      </c>
      <c r="G3730" s="4">
        <f t="shared" si="3"/>
        <v>9501211.05</v>
      </c>
      <c r="H3730" s="4">
        <f t="shared" si="1"/>
        <v>0.995473065</v>
      </c>
      <c r="I3730" s="4" t="str">
        <f t="shared" si="2"/>
        <v>C</v>
      </c>
    </row>
    <row r="3731">
      <c r="A3731" s="2">
        <v>3730.0</v>
      </c>
      <c r="B3731" s="2" t="s">
        <v>4541</v>
      </c>
      <c r="C3731" s="2" t="s">
        <v>4542</v>
      </c>
      <c r="D3731" s="2">
        <v>2.11</v>
      </c>
      <c r="E3731" s="2">
        <v>53.0</v>
      </c>
      <c r="F3731" s="2">
        <v>108.44</v>
      </c>
      <c r="G3731" s="4">
        <f t="shared" si="3"/>
        <v>9501319.49</v>
      </c>
      <c r="H3731" s="4">
        <f t="shared" si="1"/>
        <v>0.9954844266</v>
      </c>
      <c r="I3731" s="4" t="str">
        <f t="shared" si="2"/>
        <v>C</v>
      </c>
    </row>
    <row r="3732">
      <c r="A3732" s="2">
        <v>3731.0</v>
      </c>
      <c r="B3732" s="2" t="s">
        <v>4543</v>
      </c>
      <c r="C3732" s="2" t="s">
        <v>4544</v>
      </c>
      <c r="D3732" s="2">
        <v>0.38</v>
      </c>
      <c r="E3732" s="2">
        <v>210.0</v>
      </c>
      <c r="F3732" s="2">
        <v>108.35</v>
      </c>
      <c r="G3732" s="4">
        <f t="shared" si="3"/>
        <v>9501427.84</v>
      </c>
      <c r="H3732" s="4">
        <f t="shared" si="1"/>
        <v>0.9954957788</v>
      </c>
      <c r="I3732" s="4" t="str">
        <f t="shared" si="2"/>
        <v>C</v>
      </c>
    </row>
    <row r="3733">
      <c r="A3733" s="2">
        <v>3732.0</v>
      </c>
      <c r="B3733" s="2">
        <v>84725.0</v>
      </c>
      <c r="C3733" s="2" t="s">
        <v>4545</v>
      </c>
      <c r="D3733" s="2">
        <v>1.65</v>
      </c>
      <c r="E3733" s="2">
        <v>67.0</v>
      </c>
      <c r="F3733" s="2">
        <v>108.25</v>
      </c>
      <c r="G3733" s="4">
        <f t="shared" si="3"/>
        <v>9501536.09</v>
      </c>
      <c r="H3733" s="4">
        <f t="shared" si="1"/>
        <v>0.9955071205</v>
      </c>
      <c r="I3733" s="4" t="str">
        <f t="shared" si="2"/>
        <v>C</v>
      </c>
    </row>
    <row r="3734">
      <c r="A3734" s="2">
        <v>3733.0</v>
      </c>
      <c r="B3734" s="2">
        <v>35793.0</v>
      </c>
      <c r="C3734" s="2" t="s">
        <v>4546</v>
      </c>
      <c r="D3734" s="2">
        <v>2.95</v>
      </c>
      <c r="E3734" s="2">
        <v>54.0</v>
      </c>
      <c r="F3734" s="2">
        <v>108.16</v>
      </c>
      <c r="G3734" s="4">
        <f t="shared" si="3"/>
        <v>9501644.25</v>
      </c>
      <c r="H3734" s="4">
        <f t="shared" si="1"/>
        <v>0.9955184528</v>
      </c>
      <c r="I3734" s="4" t="str">
        <f t="shared" si="2"/>
        <v>C</v>
      </c>
    </row>
    <row r="3735">
      <c r="A3735" s="2">
        <v>3734.0</v>
      </c>
      <c r="B3735" s="2">
        <v>84807.0</v>
      </c>
      <c r="C3735" s="2" t="s">
        <v>4547</v>
      </c>
      <c r="D3735" s="2">
        <v>1.69</v>
      </c>
      <c r="E3735" s="2">
        <v>116.0</v>
      </c>
      <c r="F3735" s="2">
        <v>107.96</v>
      </c>
      <c r="G3735" s="4">
        <f t="shared" si="3"/>
        <v>9501752.21</v>
      </c>
      <c r="H3735" s="4">
        <f t="shared" si="1"/>
        <v>0.9955297641</v>
      </c>
      <c r="I3735" s="4" t="str">
        <f t="shared" si="2"/>
        <v>C</v>
      </c>
    </row>
    <row r="3736">
      <c r="A3736" s="2">
        <v>3735.0</v>
      </c>
      <c r="B3736" s="2" t="s">
        <v>4548</v>
      </c>
      <c r="C3736" s="2" t="s">
        <v>4549</v>
      </c>
      <c r="D3736" s="2">
        <v>7.95</v>
      </c>
      <c r="E3736" s="2">
        <v>14.0</v>
      </c>
      <c r="F3736" s="2">
        <v>107.88</v>
      </c>
      <c r="G3736" s="4">
        <f t="shared" si="3"/>
        <v>9501860.09</v>
      </c>
      <c r="H3736" s="4">
        <f t="shared" si="1"/>
        <v>0.995541067</v>
      </c>
      <c r="I3736" s="4" t="str">
        <f t="shared" si="2"/>
        <v>C</v>
      </c>
    </row>
    <row r="3737">
      <c r="A3737" s="2">
        <v>3736.0</v>
      </c>
      <c r="B3737" s="2" t="s">
        <v>4550</v>
      </c>
      <c r="C3737" s="2" t="s">
        <v>4551</v>
      </c>
      <c r="D3737" s="2">
        <v>2.95</v>
      </c>
      <c r="E3737" s="2">
        <v>36.0</v>
      </c>
      <c r="F3737" s="2">
        <v>107.68</v>
      </c>
      <c r="G3737" s="4">
        <f t="shared" si="3"/>
        <v>9501967.77</v>
      </c>
      <c r="H3737" s="4">
        <f t="shared" si="1"/>
        <v>0.995552349</v>
      </c>
      <c r="I3737" s="4" t="str">
        <f t="shared" si="2"/>
        <v>C</v>
      </c>
    </row>
    <row r="3738">
      <c r="A3738" s="2">
        <v>3737.0</v>
      </c>
      <c r="B3738" s="2">
        <v>21368.0</v>
      </c>
      <c r="C3738" s="2" t="s">
        <v>4552</v>
      </c>
      <c r="D3738" s="2">
        <v>0.75</v>
      </c>
      <c r="E3738" s="2">
        <v>102.0</v>
      </c>
      <c r="F3738" s="2">
        <v>107.67</v>
      </c>
      <c r="G3738" s="4">
        <f t="shared" si="3"/>
        <v>9502075.44</v>
      </c>
      <c r="H3738" s="4">
        <f t="shared" si="1"/>
        <v>0.99556363</v>
      </c>
      <c r="I3738" s="4" t="str">
        <f t="shared" si="2"/>
        <v>C</v>
      </c>
    </row>
    <row r="3739">
      <c r="A3739" s="2">
        <v>3738.0</v>
      </c>
      <c r="B3739" s="2">
        <v>21543.0</v>
      </c>
      <c r="C3739" s="2" t="s">
        <v>4553</v>
      </c>
      <c r="D3739" s="2">
        <v>0.85</v>
      </c>
      <c r="E3739" s="2">
        <v>142.0</v>
      </c>
      <c r="F3739" s="2">
        <v>107.5</v>
      </c>
      <c r="G3739" s="4">
        <f t="shared" si="3"/>
        <v>9502182.94</v>
      </c>
      <c r="H3739" s="4">
        <f t="shared" si="1"/>
        <v>0.9955748931</v>
      </c>
      <c r="I3739" s="4" t="str">
        <f t="shared" si="2"/>
        <v>C</v>
      </c>
    </row>
    <row r="3740">
      <c r="A3740" s="2">
        <v>3739.0</v>
      </c>
      <c r="B3740" s="2">
        <v>48179.0</v>
      </c>
      <c r="C3740" s="2" t="s">
        <v>4554</v>
      </c>
      <c r="D3740" s="2">
        <v>6.75</v>
      </c>
      <c r="E3740" s="2">
        <v>17.0</v>
      </c>
      <c r="F3740" s="2">
        <v>107.24</v>
      </c>
      <c r="G3740" s="4">
        <f t="shared" si="3"/>
        <v>9502290.18</v>
      </c>
      <c r="H3740" s="4">
        <f t="shared" si="1"/>
        <v>0.995586129</v>
      </c>
      <c r="I3740" s="4" t="str">
        <f t="shared" si="2"/>
        <v>C</v>
      </c>
    </row>
    <row r="3741">
      <c r="A3741" s="2">
        <v>3740.0</v>
      </c>
      <c r="B3741" s="2" t="s">
        <v>4555</v>
      </c>
      <c r="C3741" s="2" t="s">
        <v>4556</v>
      </c>
      <c r="D3741" s="2">
        <v>1.25</v>
      </c>
      <c r="E3741" s="2">
        <v>86.0</v>
      </c>
      <c r="F3741" s="2">
        <v>106.88</v>
      </c>
      <c r="G3741" s="4">
        <f t="shared" si="3"/>
        <v>9502397.06</v>
      </c>
      <c r="H3741" s="4">
        <f t="shared" si="1"/>
        <v>0.9955973272</v>
      </c>
      <c r="I3741" s="4" t="str">
        <f t="shared" si="2"/>
        <v>C</v>
      </c>
    </row>
    <row r="3742">
      <c r="A3742" s="2">
        <v>3741.0</v>
      </c>
      <c r="B3742" s="2" t="s">
        <v>4557</v>
      </c>
      <c r="C3742" s="2" t="s">
        <v>4558</v>
      </c>
      <c r="D3742" s="2">
        <v>0.85</v>
      </c>
      <c r="E3742" s="2">
        <v>106.0</v>
      </c>
      <c r="F3742" s="2">
        <v>106.82</v>
      </c>
      <c r="G3742" s="4">
        <f t="shared" si="3"/>
        <v>9502503.88</v>
      </c>
      <c r="H3742" s="4">
        <f t="shared" si="1"/>
        <v>0.995608519</v>
      </c>
      <c r="I3742" s="4" t="str">
        <f t="shared" si="2"/>
        <v>C</v>
      </c>
    </row>
    <row r="3743">
      <c r="A3743" s="2">
        <v>3742.0</v>
      </c>
      <c r="B3743" s="2" t="s">
        <v>4559</v>
      </c>
      <c r="C3743" s="2" t="s">
        <v>4560</v>
      </c>
      <c r="D3743" s="2">
        <v>5.51</v>
      </c>
      <c r="E3743" s="2">
        <v>20.0</v>
      </c>
      <c r="F3743" s="2">
        <v>106.69</v>
      </c>
      <c r="G3743" s="4">
        <f t="shared" si="3"/>
        <v>9502610.57</v>
      </c>
      <c r="H3743" s="4">
        <f t="shared" si="1"/>
        <v>0.9956196973</v>
      </c>
      <c r="I3743" s="4" t="str">
        <f t="shared" si="2"/>
        <v>C</v>
      </c>
    </row>
    <row r="3744">
      <c r="A3744" s="2">
        <v>3743.0</v>
      </c>
      <c r="B3744" s="2" t="s">
        <v>4561</v>
      </c>
      <c r="C3744" s="2" t="s">
        <v>4562</v>
      </c>
      <c r="D3744" s="2">
        <v>1.95</v>
      </c>
      <c r="E3744" s="2">
        <v>50.0</v>
      </c>
      <c r="F3744" s="2">
        <v>106.68</v>
      </c>
      <c r="G3744" s="4">
        <f t="shared" si="3"/>
        <v>9502717.25</v>
      </c>
      <c r="H3744" s="4">
        <f t="shared" si="1"/>
        <v>0.9956308745</v>
      </c>
      <c r="I3744" s="4" t="str">
        <f t="shared" si="2"/>
        <v>C</v>
      </c>
    </row>
    <row r="3745">
      <c r="A3745" s="2">
        <v>3744.0</v>
      </c>
      <c r="B3745" s="2">
        <v>21400.0</v>
      </c>
      <c r="C3745" s="2" t="s">
        <v>4563</v>
      </c>
      <c r="D3745" s="2">
        <v>0.42</v>
      </c>
      <c r="E3745" s="2">
        <v>539.0</v>
      </c>
      <c r="F3745" s="2">
        <v>106.54</v>
      </c>
      <c r="G3745" s="4">
        <f t="shared" si="3"/>
        <v>9502823.79</v>
      </c>
      <c r="H3745" s="4">
        <f t="shared" si="1"/>
        <v>0.9956420371</v>
      </c>
      <c r="I3745" s="4" t="str">
        <f t="shared" si="2"/>
        <v>C</v>
      </c>
    </row>
    <row r="3746">
      <c r="A3746" s="2">
        <v>3745.0</v>
      </c>
      <c r="B3746" s="2" t="s">
        <v>4564</v>
      </c>
      <c r="C3746" s="2" t="s">
        <v>4565</v>
      </c>
      <c r="D3746" s="2">
        <v>3.75</v>
      </c>
      <c r="E3746" s="2">
        <v>74.0</v>
      </c>
      <c r="F3746" s="2">
        <v>106.42</v>
      </c>
      <c r="G3746" s="4">
        <f t="shared" si="3"/>
        <v>9502930.21</v>
      </c>
      <c r="H3746" s="4">
        <f t="shared" si="1"/>
        <v>0.995653187</v>
      </c>
      <c r="I3746" s="4" t="str">
        <f t="shared" si="2"/>
        <v>C</v>
      </c>
    </row>
    <row r="3747">
      <c r="A3747" s="2">
        <v>3746.0</v>
      </c>
      <c r="B3747" s="2" t="s">
        <v>4566</v>
      </c>
      <c r="C3747" s="2" t="s">
        <v>4567</v>
      </c>
      <c r="D3747" s="2">
        <v>4.25</v>
      </c>
      <c r="E3747" s="2">
        <v>25.0</v>
      </c>
      <c r="F3747" s="2">
        <v>106.25</v>
      </c>
      <c r="G3747" s="4">
        <f t="shared" si="3"/>
        <v>9503036.46</v>
      </c>
      <c r="H3747" s="4">
        <f t="shared" si="1"/>
        <v>0.9956643192</v>
      </c>
      <c r="I3747" s="4" t="str">
        <f t="shared" si="2"/>
        <v>C</v>
      </c>
    </row>
    <row r="3748">
      <c r="A3748" s="2">
        <v>3747.0</v>
      </c>
      <c r="B3748" s="2" t="s">
        <v>4568</v>
      </c>
      <c r="C3748" s="2" t="s">
        <v>4569</v>
      </c>
      <c r="D3748" s="2">
        <v>4.25</v>
      </c>
      <c r="E3748" s="2">
        <v>25.0</v>
      </c>
      <c r="F3748" s="2">
        <v>106.23</v>
      </c>
      <c r="G3748" s="4">
        <f t="shared" si="3"/>
        <v>9503142.69</v>
      </c>
      <c r="H3748" s="4">
        <f t="shared" si="1"/>
        <v>0.9956754493</v>
      </c>
      <c r="I3748" s="4" t="str">
        <f t="shared" si="2"/>
        <v>C</v>
      </c>
    </row>
    <row r="3749">
      <c r="A3749" s="2">
        <v>3748.0</v>
      </c>
      <c r="B3749" s="2" t="s">
        <v>4570</v>
      </c>
      <c r="C3749" s="2" t="s">
        <v>2188</v>
      </c>
      <c r="D3749" s="2">
        <v>3.29</v>
      </c>
      <c r="E3749" s="2">
        <v>32.0</v>
      </c>
      <c r="F3749" s="2">
        <v>106.22</v>
      </c>
      <c r="G3749" s="4">
        <f t="shared" si="3"/>
        <v>9503248.91</v>
      </c>
      <c r="H3749" s="4">
        <f t="shared" si="1"/>
        <v>0.9956865783</v>
      </c>
      <c r="I3749" s="4" t="str">
        <f t="shared" si="2"/>
        <v>C</v>
      </c>
    </row>
    <row r="3750">
      <c r="A3750" s="2">
        <v>3749.0</v>
      </c>
      <c r="B3750" s="2" t="s">
        <v>4571</v>
      </c>
      <c r="C3750" s="2" t="s">
        <v>4572</v>
      </c>
      <c r="D3750" s="2">
        <v>4.25</v>
      </c>
      <c r="E3750" s="2">
        <v>19.0</v>
      </c>
      <c r="F3750" s="2">
        <v>106.21</v>
      </c>
      <c r="G3750" s="4">
        <f t="shared" si="3"/>
        <v>9503355.12</v>
      </c>
      <c r="H3750" s="4">
        <f t="shared" si="1"/>
        <v>0.9956977062</v>
      </c>
      <c r="I3750" s="4" t="str">
        <f t="shared" si="2"/>
        <v>C</v>
      </c>
    </row>
    <row r="3751">
      <c r="A3751" s="2">
        <v>3750.0</v>
      </c>
      <c r="B3751" s="2" t="s">
        <v>4573</v>
      </c>
      <c r="C3751" s="2" t="s">
        <v>4574</v>
      </c>
      <c r="D3751" s="2">
        <v>4.65</v>
      </c>
      <c r="E3751" s="2">
        <v>54.0</v>
      </c>
      <c r="F3751" s="2">
        <v>105.71</v>
      </c>
      <c r="G3751" s="4">
        <f t="shared" si="3"/>
        <v>9503460.83</v>
      </c>
      <c r="H3751" s="4">
        <f t="shared" si="1"/>
        <v>0.9957087818</v>
      </c>
      <c r="I3751" s="4" t="str">
        <f t="shared" si="2"/>
        <v>C</v>
      </c>
    </row>
    <row r="3752">
      <c r="A3752" s="2">
        <v>3751.0</v>
      </c>
      <c r="B3752" s="2" t="s">
        <v>4575</v>
      </c>
      <c r="C3752" s="2" t="s">
        <v>4576</v>
      </c>
      <c r="D3752" s="2">
        <v>3.75</v>
      </c>
      <c r="E3752" s="2">
        <v>28.0</v>
      </c>
      <c r="F3752" s="2">
        <v>105.58</v>
      </c>
      <c r="G3752" s="4">
        <f t="shared" si="3"/>
        <v>9503566.41</v>
      </c>
      <c r="H3752" s="4">
        <f t="shared" si="1"/>
        <v>0.9957198438</v>
      </c>
      <c r="I3752" s="4" t="str">
        <f t="shared" si="2"/>
        <v>C</v>
      </c>
    </row>
    <row r="3753">
      <c r="A3753" s="2">
        <v>3752.0</v>
      </c>
      <c r="B3753" s="2">
        <v>22883.0</v>
      </c>
      <c r="C3753" s="2" t="s">
        <v>4577</v>
      </c>
      <c r="D3753" s="2">
        <v>4.13</v>
      </c>
      <c r="E3753" s="2">
        <v>54.0</v>
      </c>
      <c r="F3753" s="2">
        <v>105.55</v>
      </c>
      <c r="G3753" s="4">
        <f t="shared" si="3"/>
        <v>9503671.96</v>
      </c>
      <c r="H3753" s="4">
        <f t="shared" si="1"/>
        <v>0.9957309026</v>
      </c>
      <c r="I3753" s="4" t="str">
        <f t="shared" si="2"/>
        <v>C</v>
      </c>
    </row>
    <row r="3754">
      <c r="A3754" s="2">
        <v>3753.0</v>
      </c>
      <c r="B3754" s="2" t="s">
        <v>4578</v>
      </c>
      <c r="C3754" s="2" t="s">
        <v>4579</v>
      </c>
      <c r="D3754" s="2">
        <v>1.49</v>
      </c>
      <c r="E3754" s="2">
        <v>102.0</v>
      </c>
      <c r="F3754" s="2">
        <v>105.36</v>
      </c>
      <c r="G3754" s="4">
        <f t="shared" si="3"/>
        <v>9503777.32</v>
      </c>
      <c r="H3754" s="4">
        <f t="shared" si="1"/>
        <v>0.9957419415</v>
      </c>
      <c r="I3754" s="4" t="str">
        <f t="shared" si="2"/>
        <v>C</v>
      </c>
    </row>
    <row r="3755">
      <c r="A3755" s="2">
        <v>3754.0</v>
      </c>
      <c r="B3755" s="2" t="s">
        <v>4580</v>
      </c>
      <c r="C3755" s="2" t="s">
        <v>4581</v>
      </c>
      <c r="D3755" s="2">
        <v>2.95</v>
      </c>
      <c r="E3755" s="2">
        <v>44.0</v>
      </c>
      <c r="F3755" s="2">
        <v>105.14</v>
      </c>
      <c r="G3755" s="4">
        <f t="shared" si="3"/>
        <v>9503882.46</v>
      </c>
      <c r="H3755" s="4">
        <f t="shared" si="1"/>
        <v>0.9957529574</v>
      </c>
      <c r="I3755" s="4" t="str">
        <f t="shared" si="2"/>
        <v>C</v>
      </c>
    </row>
    <row r="3756">
      <c r="A3756" s="2">
        <v>3755.0</v>
      </c>
      <c r="B3756" s="2">
        <v>20827.0</v>
      </c>
      <c r="C3756" s="2" t="s">
        <v>4582</v>
      </c>
      <c r="D3756" s="2">
        <v>2.12</v>
      </c>
      <c r="E3756" s="2">
        <v>86.0</v>
      </c>
      <c r="F3756" s="2">
        <v>104.68</v>
      </c>
      <c r="G3756" s="4">
        <f t="shared" si="3"/>
        <v>9503987.14</v>
      </c>
      <c r="H3756" s="4">
        <f t="shared" si="1"/>
        <v>0.9957639251</v>
      </c>
      <c r="I3756" s="4" t="str">
        <f t="shared" si="2"/>
        <v>C</v>
      </c>
    </row>
    <row r="3757">
      <c r="A3757" s="2">
        <v>3756.0</v>
      </c>
      <c r="B3757" s="2" t="s">
        <v>4583</v>
      </c>
      <c r="C3757" s="2" t="s">
        <v>4584</v>
      </c>
      <c r="D3757" s="2">
        <v>2.1</v>
      </c>
      <c r="E3757" s="2">
        <v>151.0</v>
      </c>
      <c r="F3757" s="2">
        <v>104.48</v>
      </c>
      <c r="G3757" s="4">
        <f t="shared" si="3"/>
        <v>9504091.62</v>
      </c>
      <c r="H3757" s="4">
        <f t="shared" si="1"/>
        <v>0.9957748718</v>
      </c>
      <c r="I3757" s="4" t="str">
        <f t="shared" si="2"/>
        <v>C</v>
      </c>
    </row>
    <row r="3758">
      <c r="A3758" s="2">
        <v>3757.0</v>
      </c>
      <c r="B3758" s="2">
        <v>20814.0</v>
      </c>
      <c r="C3758" s="2" t="s">
        <v>4585</v>
      </c>
      <c r="D3758" s="2">
        <v>1.25</v>
      </c>
      <c r="E3758" s="2">
        <v>94.0</v>
      </c>
      <c r="F3758" s="2">
        <v>104.44</v>
      </c>
      <c r="G3758" s="4">
        <f t="shared" si="3"/>
        <v>9504196.06</v>
      </c>
      <c r="H3758" s="4">
        <f t="shared" si="1"/>
        <v>0.9957858143</v>
      </c>
      <c r="I3758" s="4" t="str">
        <f t="shared" si="2"/>
        <v>C</v>
      </c>
    </row>
    <row r="3759">
      <c r="A3759" s="2">
        <v>3758.0</v>
      </c>
      <c r="B3759" s="2">
        <v>22885.0</v>
      </c>
      <c r="C3759" s="2" t="s">
        <v>4586</v>
      </c>
      <c r="D3759" s="2">
        <v>4.13</v>
      </c>
      <c r="E3759" s="2">
        <v>56.0</v>
      </c>
      <c r="F3759" s="2">
        <v>104.16</v>
      </c>
      <c r="G3759" s="4">
        <f t="shared" si="3"/>
        <v>9504300.22</v>
      </c>
      <c r="H3759" s="4">
        <f t="shared" si="1"/>
        <v>0.9957967275</v>
      </c>
      <c r="I3759" s="4" t="str">
        <f t="shared" si="2"/>
        <v>C</v>
      </c>
    </row>
    <row r="3760">
      <c r="A3760" s="2">
        <v>3759.0</v>
      </c>
      <c r="B3760" s="2" t="s">
        <v>4587</v>
      </c>
      <c r="C3760" s="2" t="s">
        <v>4588</v>
      </c>
      <c r="D3760" s="2">
        <v>2.95</v>
      </c>
      <c r="E3760" s="2">
        <v>17.0</v>
      </c>
      <c r="F3760" s="2">
        <v>104.15</v>
      </c>
      <c r="G3760" s="4">
        <f t="shared" si="3"/>
        <v>9504404.37</v>
      </c>
      <c r="H3760" s="4">
        <f t="shared" si="1"/>
        <v>0.9958076396</v>
      </c>
      <c r="I3760" s="4" t="str">
        <f t="shared" si="2"/>
        <v>C</v>
      </c>
    </row>
    <row r="3761">
      <c r="A3761" s="2">
        <v>3760.0</v>
      </c>
      <c r="B3761" s="2">
        <v>90056.0</v>
      </c>
      <c r="C3761" s="2" t="s">
        <v>4589</v>
      </c>
      <c r="D3761" s="2">
        <v>11.05</v>
      </c>
      <c r="E3761" s="2">
        <v>10.0</v>
      </c>
      <c r="F3761" s="2">
        <v>103.97</v>
      </c>
      <c r="G3761" s="4">
        <f t="shared" si="3"/>
        <v>9504508.34</v>
      </c>
      <c r="H3761" s="4">
        <f t="shared" si="1"/>
        <v>0.9958185329</v>
      </c>
      <c r="I3761" s="4" t="str">
        <f t="shared" si="2"/>
        <v>C</v>
      </c>
    </row>
    <row r="3762">
      <c r="A3762" s="2">
        <v>3761.0</v>
      </c>
      <c r="B3762" s="2" t="s">
        <v>4590</v>
      </c>
      <c r="C3762" s="2" t="s">
        <v>4591</v>
      </c>
      <c r="D3762" s="2">
        <v>8.5</v>
      </c>
      <c r="E3762" s="2">
        <v>14.0</v>
      </c>
      <c r="F3762" s="2">
        <v>103.93</v>
      </c>
      <c r="G3762" s="4">
        <f t="shared" si="3"/>
        <v>9504612.27</v>
      </c>
      <c r="H3762" s="4">
        <f t="shared" si="1"/>
        <v>0.995829422</v>
      </c>
      <c r="I3762" s="4" t="str">
        <f t="shared" si="2"/>
        <v>C</v>
      </c>
    </row>
    <row r="3763">
      <c r="A3763" s="2">
        <v>3762.0</v>
      </c>
      <c r="B3763" s="2">
        <v>37485.0</v>
      </c>
      <c r="C3763" s="2" t="s">
        <v>4592</v>
      </c>
      <c r="D3763" s="2">
        <v>4.65</v>
      </c>
      <c r="E3763" s="2">
        <v>24.0</v>
      </c>
      <c r="F3763" s="2">
        <v>103.84</v>
      </c>
      <c r="G3763" s="4">
        <f t="shared" si="3"/>
        <v>9504716.11</v>
      </c>
      <c r="H3763" s="4">
        <f t="shared" si="1"/>
        <v>0.9958403016</v>
      </c>
      <c r="I3763" s="4" t="str">
        <f t="shared" si="2"/>
        <v>C</v>
      </c>
    </row>
    <row r="3764">
      <c r="A3764" s="2">
        <v>3763.0</v>
      </c>
      <c r="B3764" s="2">
        <v>90087.0</v>
      </c>
      <c r="C3764" s="2" t="s">
        <v>4593</v>
      </c>
      <c r="D3764" s="2">
        <v>1.63</v>
      </c>
      <c r="E3764" s="2">
        <v>130.0</v>
      </c>
      <c r="F3764" s="2">
        <v>103.53</v>
      </c>
      <c r="G3764" s="4">
        <f t="shared" si="3"/>
        <v>9504819.64</v>
      </c>
      <c r="H3764" s="4">
        <f t="shared" si="1"/>
        <v>0.9958511488</v>
      </c>
      <c r="I3764" s="4" t="str">
        <f t="shared" si="2"/>
        <v>C</v>
      </c>
    </row>
    <row r="3765">
      <c r="A3765" s="2">
        <v>3764.0</v>
      </c>
      <c r="B3765" s="2" t="s">
        <v>4594</v>
      </c>
      <c r="C3765" s="2" t="s">
        <v>4595</v>
      </c>
      <c r="D3765" s="2">
        <v>4.24</v>
      </c>
      <c r="E3765" s="2">
        <v>26.0</v>
      </c>
      <c r="F3765" s="2">
        <v>103.52</v>
      </c>
      <c r="G3765" s="4">
        <f t="shared" si="3"/>
        <v>9504923.16</v>
      </c>
      <c r="H3765" s="4">
        <f t="shared" si="1"/>
        <v>0.9958619949</v>
      </c>
      <c r="I3765" s="4" t="str">
        <f t="shared" si="2"/>
        <v>C</v>
      </c>
    </row>
    <row r="3766">
      <c r="A3766" s="2">
        <v>3765.0</v>
      </c>
      <c r="B3766" s="2">
        <v>84690.0</v>
      </c>
      <c r="C3766" s="2" t="s">
        <v>4596</v>
      </c>
      <c r="D3766" s="2">
        <v>7.95</v>
      </c>
      <c r="E3766" s="2">
        <v>13.0</v>
      </c>
      <c r="F3766" s="2">
        <v>103.35</v>
      </c>
      <c r="G3766" s="4">
        <f t="shared" si="3"/>
        <v>9505026.51</v>
      </c>
      <c r="H3766" s="4">
        <f t="shared" si="1"/>
        <v>0.9958728233</v>
      </c>
      <c r="I3766" s="4" t="str">
        <f t="shared" si="2"/>
        <v>C</v>
      </c>
    </row>
    <row r="3767">
      <c r="A3767" s="2">
        <v>3766.0</v>
      </c>
      <c r="B3767" s="2">
        <v>20836.0</v>
      </c>
      <c r="C3767" s="2" t="s">
        <v>2811</v>
      </c>
      <c r="D3767" s="2">
        <v>0.83</v>
      </c>
      <c r="E3767" s="2">
        <v>100.0</v>
      </c>
      <c r="F3767" s="2">
        <v>102.32</v>
      </c>
      <c r="G3767" s="4">
        <f t="shared" si="3"/>
        <v>9505128.83</v>
      </c>
      <c r="H3767" s="4">
        <f t="shared" si="1"/>
        <v>0.9958835437</v>
      </c>
      <c r="I3767" s="4" t="str">
        <f t="shared" si="2"/>
        <v>C</v>
      </c>
    </row>
    <row r="3768">
      <c r="A3768" s="2">
        <v>3767.0</v>
      </c>
      <c r="B3768" s="2" t="s">
        <v>4597</v>
      </c>
      <c r="C3768" s="2" t="s">
        <v>4598</v>
      </c>
      <c r="D3768" s="2">
        <v>1.65</v>
      </c>
      <c r="E3768" s="2">
        <v>240.0</v>
      </c>
      <c r="F3768" s="2">
        <v>102.18</v>
      </c>
      <c r="G3768" s="4">
        <f t="shared" si="3"/>
        <v>9505231.01</v>
      </c>
      <c r="H3768" s="4">
        <f t="shared" si="1"/>
        <v>0.9958942494</v>
      </c>
      <c r="I3768" s="4" t="str">
        <f t="shared" si="2"/>
        <v>C</v>
      </c>
    </row>
    <row r="3769">
      <c r="A3769" s="2">
        <v>3768.0</v>
      </c>
      <c r="B3769" s="2" t="s">
        <v>4599</v>
      </c>
      <c r="C3769" s="2" t="s">
        <v>4600</v>
      </c>
      <c r="D3769" s="2">
        <v>8.49</v>
      </c>
      <c r="E3769" s="2">
        <v>12.0</v>
      </c>
      <c r="F3769" s="2">
        <v>101.87</v>
      </c>
      <c r="G3769" s="4">
        <f t="shared" si="3"/>
        <v>9505332.88</v>
      </c>
      <c r="H3769" s="4">
        <f t="shared" si="1"/>
        <v>0.9959049227</v>
      </c>
      <c r="I3769" s="4" t="str">
        <f t="shared" si="2"/>
        <v>C</v>
      </c>
    </row>
    <row r="3770">
      <c r="A3770" s="2">
        <v>3769.0</v>
      </c>
      <c r="B3770" s="2" t="s">
        <v>4601</v>
      </c>
      <c r="C3770" s="2" t="s">
        <v>4602</v>
      </c>
      <c r="D3770" s="2">
        <v>0.38</v>
      </c>
      <c r="E3770" s="2">
        <v>264.0</v>
      </c>
      <c r="F3770" s="2">
        <v>101.62</v>
      </c>
      <c r="G3770" s="4">
        <f t="shared" si="3"/>
        <v>9505434.5</v>
      </c>
      <c r="H3770" s="4">
        <f t="shared" si="1"/>
        <v>0.9959155697</v>
      </c>
      <c r="I3770" s="4" t="str">
        <f t="shared" si="2"/>
        <v>C</v>
      </c>
    </row>
    <row r="3771">
      <c r="A3771" s="2">
        <v>3770.0</v>
      </c>
      <c r="B3771" s="2">
        <v>20890.0</v>
      </c>
      <c r="C3771" s="2" t="s">
        <v>4603</v>
      </c>
      <c r="D3771" s="2">
        <v>2.02</v>
      </c>
      <c r="E3771" s="2">
        <v>302.0</v>
      </c>
      <c r="F3771" s="2">
        <v>101.31</v>
      </c>
      <c r="G3771" s="4">
        <f t="shared" si="3"/>
        <v>9505535.81</v>
      </c>
      <c r="H3771" s="4">
        <f t="shared" si="1"/>
        <v>0.9959261843</v>
      </c>
      <c r="I3771" s="4" t="str">
        <f t="shared" si="2"/>
        <v>C</v>
      </c>
    </row>
    <row r="3772">
      <c r="A3772" s="2">
        <v>3771.0</v>
      </c>
      <c r="B3772" s="2">
        <v>37506.0</v>
      </c>
      <c r="C3772" s="2" t="s">
        <v>4604</v>
      </c>
      <c r="D3772" s="2">
        <v>5.95</v>
      </c>
      <c r="E3772" s="2">
        <v>17.0</v>
      </c>
      <c r="F3772" s="2">
        <v>101.15</v>
      </c>
      <c r="G3772" s="4">
        <f t="shared" si="3"/>
        <v>9505636.96</v>
      </c>
      <c r="H3772" s="4">
        <f t="shared" si="1"/>
        <v>0.9959367821</v>
      </c>
      <c r="I3772" s="4" t="str">
        <f t="shared" si="2"/>
        <v>C</v>
      </c>
    </row>
    <row r="3773">
      <c r="A3773" s="2">
        <v>3772.0</v>
      </c>
      <c r="B3773" s="2">
        <v>48103.0</v>
      </c>
      <c r="C3773" s="2" t="s">
        <v>4605</v>
      </c>
      <c r="D3773" s="2">
        <v>7.49</v>
      </c>
      <c r="E3773" s="2">
        <v>18.0</v>
      </c>
      <c r="F3773" s="2">
        <v>100.86</v>
      </c>
      <c r="G3773" s="4">
        <f t="shared" si="3"/>
        <v>9505737.82</v>
      </c>
      <c r="H3773" s="4">
        <f t="shared" si="1"/>
        <v>0.9959473495</v>
      </c>
      <c r="I3773" s="4" t="str">
        <f t="shared" si="2"/>
        <v>C</v>
      </c>
    </row>
    <row r="3774">
      <c r="A3774" s="2">
        <v>3773.0</v>
      </c>
      <c r="B3774" s="2" t="s">
        <v>4606</v>
      </c>
      <c r="C3774" s="2" t="s">
        <v>4607</v>
      </c>
      <c r="D3774" s="2">
        <v>0.65</v>
      </c>
      <c r="E3774" s="2">
        <v>146.0</v>
      </c>
      <c r="F3774" s="2">
        <v>100.62</v>
      </c>
      <c r="G3774" s="4">
        <f t="shared" si="3"/>
        <v>9505838.44</v>
      </c>
      <c r="H3774" s="4">
        <f t="shared" si="1"/>
        <v>0.9959578918</v>
      </c>
      <c r="I3774" s="4" t="str">
        <f t="shared" si="2"/>
        <v>C</v>
      </c>
    </row>
    <row r="3775">
      <c r="A3775" s="2">
        <v>3774.0</v>
      </c>
      <c r="B3775" s="2">
        <v>20672.0</v>
      </c>
      <c r="C3775" s="2" t="s">
        <v>4608</v>
      </c>
      <c r="D3775" s="2">
        <v>1.25</v>
      </c>
      <c r="E3775" s="2">
        <v>69.0</v>
      </c>
      <c r="F3775" s="2">
        <v>100.5</v>
      </c>
      <c r="G3775" s="4">
        <f t="shared" si="3"/>
        <v>9505938.94</v>
      </c>
      <c r="H3775" s="4">
        <f t="shared" si="1"/>
        <v>0.9959684215</v>
      </c>
      <c r="I3775" s="4" t="str">
        <f t="shared" si="2"/>
        <v>C</v>
      </c>
    </row>
    <row r="3776">
      <c r="A3776" s="2">
        <v>3775.0</v>
      </c>
      <c r="B3776" s="2">
        <v>90144.0</v>
      </c>
      <c r="C3776" s="2" t="s">
        <v>4609</v>
      </c>
      <c r="D3776" s="2">
        <v>3.75</v>
      </c>
      <c r="E3776" s="2">
        <v>26.0</v>
      </c>
      <c r="F3776" s="2">
        <v>99.72</v>
      </c>
      <c r="G3776" s="4">
        <f t="shared" si="3"/>
        <v>9506038.66</v>
      </c>
      <c r="H3776" s="4">
        <f t="shared" si="1"/>
        <v>0.9959788695</v>
      </c>
      <c r="I3776" s="4" t="str">
        <f t="shared" si="2"/>
        <v>C</v>
      </c>
    </row>
    <row r="3777">
      <c r="A3777" s="2">
        <v>3776.0</v>
      </c>
      <c r="B3777" s="2">
        <v>90085.0</v>
      </c>
      <c r="C3777" s="2" t="s">
        <v>4610</v>
      </c>
      <c r="D3777" s="2">
        <v>0.85</v>
      </c>
      <c r="E3777" s="2">
        <v>110.0</v>
      </c>
      <c r="F3777" s="2">
        <v>99.52</v>
      </c>
      <c r="G3777" s="4">
        <f t="shared" si="3"/>
        <v>9506138.18</v>
      </c>
      <c r="H3777" s="4">
        <f t="shared" si="1"/>
        <v>0.9959892966</v>
      </c>
      <c r="I3777" s="4" t="str">
        <f t="shared" si="2"/>
        <v>C</v>
      </c>
    </row>
    <row r="3778">
      <c r="A3778" s="2">
        <v>3777.0</v>
      </c>
      <c r="B3778" s="2">
        <v>79403.0</v>
      </c>
      <c r="C3778" s="2" t="s">
        <v>4611</v>
      </c>
      <c r="D3778" s="2">
        <v>0.85</v>
      </c>
      <c r="E3778" s="2">
        <v>108.0</v>
      </c>
      <c r="F3778" s="2">
        <v>99.51</v>
      </c>
      <c r="G3778" s="4">
        <f t="shared" si="3"/>
        <v>9506237.69</v>
      </c>
      <c r="H3778" s="4">
        <f t="shared" si="1"/>
        <v>0.9959997226</v>
      </c>
      <c r="I3778" s="4" t="str">
        <f t="shared" si="2"/>
        <v>C</v>
      </c>
    </row>
    <row r="3779">
      <c r="A3779" s="2">
        <v>3778.0</v>
      </c>
      <c r="B3779" s="2" t="s">
        <v>4612</v>
      </c>
      <c r="C3779" s="2" t="s">
        <v>4613</v>
      </c>
      <c r="D3779" s="2">
        <v>5.95</v>
      </c>
      <c r="E3779" s="2">
        <v>16.0</v>
      </c>
      <c r="F3779" s="2">
        <v>99.49</v>
      </c>
      <c r="G3779" s="4">
        <f t="shared" si="3"/>
        <v>9506337.18</v>
      </c>
      <c r="H3779" s="4">
        <f t="shared" si="1"/>
        <v>0.9960101465</v>
      </c>
      <c r="I3779" s="4" t="str">
        <f t="shared" si="2"/>
        <v>C</v>
      </c>
    </row>
    <row r="3780">
      <c r="A3780" s="2">
        <v>3779.0</v>
      </c>
      <c r="B3780" s="2" t="s">
        <v>4614</v>
      </c>
      <c r="C3780" s="2" t="s">
        <v>1396</v>
      </c>
      <c r="D3780" s="2">
        <v>11.02</v>
      </c>
      <c r="E3780" s="2">
        <v>9.0</v>
      </c>
      <c r="F3780" s="2">
        <v>99.42</v>
      </c>
      <c r="G3780" s="4">
        <f t="shared" si="3"/>
        <v>9506436.6</v>
      </c>
      <c r="H3780" s="4">
        <f t="shared" si="1"/>
        <v>0.996020563</v>
      </c>
      <c r="I3780" s="4" t="str">
        <f t="shared" si="2"/>
        <v>C</v>
      </c>
    </row>
    <row r="3781">
      <c r="A3781" s="2">
        <v>3780.0</v>
      </c>
      <c r="B3781" s="2" t="s">
        <v>4615</v>
      </c>
      <c r="C3781" s="2" t="s">
        <v>4562</v>
      </c>
      <c r="D3781" s="2">
        <v>5.55</v>
      </c>
      <c r="E3781" s="2">
        <v>170.0</v>
      </c>
      <c r="F3781" s="2">
        <v>99.1</v>
      </c>
      <c r="G3781" s="4">
        <f t="shared" si="3"/>
        <v>9506535.7</v>
      </c>
      <c r="H3781" s="4">
        <f t="shared" si="1"/>
        <v>0.9960309461</v>
      </c>
      <c r="I3781" s="4" t="str">
        <f t="shared" si="2"/>
        <v>C</v>
      </c>
    </row>
    <row r="3782">
      <c r="A3782" s="2">
        <v>3781.0</v>
      </c>
      <c r="B3782" s="2" t="s">
        <v>4616</v>
      </c>
      <c r="C3782" s="2" t="s">
        <v>4617</v>
      </c>
      <c r="D3782" s="2">
        <v>1.65</v>
      </c>
      <c r="E3782" s="2">
        <v>264.0</v>
      </c>
      <c r="F3782" s="2">
        <v>99.06</v>
      </c>
      <c r="G3782" s="4">
        <f t="shared" si="3"/>
        <v>9506634.76</v>
      </c>
      <c r="H3782" s="4">
        <f t="shared" si="1"/>
        <v>0.9960413249</v>
      </c>
      <c r="I3782" s="4" t="str">
        <f t="shared" si="2"/>
        <v>C</v>
      </c>
    </row>
    <row r="3783">
      <c r="A3783" s="2">
        <v>3782.0</v>
      </c>
      <c r="B3783" s="2">
        <v>84855.0</v>
      </c>
      <c r="C3783" s="2" t="s">
        <v>4618</v>
      </c>
      <c r="D3783" s="2">
        <v>4.95</v>
      </c>
      <c r="E3783" s="2">
        <v>18.0</v>
      </c>
      <c r="F3783" s="2">
        <v>98.35</v>
      </c>
      <c r="G3783" s="4">
        <f t="shared" si="3"/>
        <v>9506733.11</v>
      </c>
      <c r="H3783" s="4">
        <f t="shared" si="1"/>
        <v>0.9960516293</v>
      </c>
      <c r="I3783" s="4" t="str">
        <f t="shared" si="2"/>
        <v>C</v>
      </c>
    </row>
    <row r="3784">
      <c r="A3784" s="2">
        <v>3783.0</v>
      </c>
      <c r="B3784" s="2" t="s">
        <v>4619</v>
      </c>
      <c r="C3784" s="2" t="s">
        <v>4620</v>
      </c>
      <c r="D3784" s="2">
        <v>5.94</v>
      </c>
      <c r="E3784" s="2">
        <v>16.0</v>
      </c>
      <c r="F3784" s="2">
        <v>98.16</v>
      </c>
      <c r="G3784" s="4">
        <f t="shared" si="3"/>
        <v>9506831.27</v>
      </c>
      <c r="H3784" s="4">
        <f t="shared" si="1"/>
        <v>0.9960619139</v>
      </c>
      <c r="I3784" s="4" t="str">
        <f t="shared" si="2"/>
        <v>C</v>
      </c>
    </row>
    <row r="3785">
      <c r="A3785" s="2">
        <v>3784.0</v>
      </c>
      <c r="B3785" s="2">
        <v>90090.0</v>
      </c>
      <c r="C3785" s="2" t="s">
        <v>4621</v>
      </c>
      <c r="D3785" s="2">
        <v>0.85</v>
      </c>
      <c r="E3785" s="2">
        <v>113.0</v>
      </c>
      <c r="F3785" s="2">
        <v>98.14</v>
      </c>
      <c r="G3785" s="4">
        <f t="shared" si="3"/>
        <v>9506929.41</v>
      </c>
      <c r="H3785" s="4">
        <f t="shared" si="1"/>
        <v>0.9960721963</v>
      </c>
      <c r="I3785" s="4" t="str">
        <f t="shared" si="2"/>
        <v>C</v>
      </c>
    </row>
    <row r="3786">
      <c r="A3786" s="2">
        <v>3785.0</v>
      </c>
      <c r="B3786" s="2">
        <v>90029.0</v>
      </c>
      <c r="C3786" s="2" t="s">
        <v>4622</v>
      </c>
      <c r="D3786" s="2">
        <v>8.5</v>
      </c>
      <c r="E3786" s="2">
        <v>12.0</v>
      </c>
      <c r="F3786" s="2">
        <v>97.57</v>
      </c>
      <c r="G3786" s="4">
        <f t="shared" si="3"/>
        <v>9507026.98</v>
      </c>
      <c r="H3786" s="4">
        <f t="shared" si="1"/>
        <v>0.9960824191</v>
      </c>
      <c r="I3786" s="4" t="str">
        <f t="shared" si="2"/>
        <v>C</v>
      </c>
    </row>
    <row r="3787">
      <c r="A3787" s="2">
        <v>3786.0</v>
      </c>
      <c r="B3787" s="2" t="s">
        <v>4623</v>
      </c>
      <c r="C3787" s="2" t="s">
        <v>4624</v>
      </c>
      <c r="D3787" s="2">
        <v>1.45</v>
      </c>
      <c r="E3787" s="2">
        <v>64.0</v>
      </c>
      <c r="F3787" s="2">
        <v>97.48</v>
      </c>
      <c r="G3787" s="4">
        <f t="shared" si="3"/>
        <v>9507124.46</v>
      </c>
      <c r="H3787" s="4">
        <f t="shared" si="1"/>
        <v>0.9960926324</v>
      </c>
      <c r="I3787" s="4" t="str">
        <f t="shared" si="2"/>
        <v>C</v>
      </c>
    </row>
    <row r="3788">
      <c r="A3788" s="2">
        <v>3787.0</v>
      </c>
      <c r="B3788" s="2">
        <v>23697.0</v>
      </c>
      <c r="C3788" s="2" t="s">
        <v>4625</v>
      </c>
      <c r="D3788" s="2">
        <v>0.42</v>
      </c>
      <c r="E3788" s="2">
        <v>228.0</v>
      </c>
      <c r="F3788" s="2">
        <v>97.29</v>
      </c>
      <c r="G3788" s="4">
        <f t="shared" si="3"/>
        <v>9507221.75</v>
      </c>
      <c r="H3788" s="4">
        <f t="shared" si="1"/>
        <v>0.9961028258</v>
      </c>
      <c r="I3788" s="4" t="str">
        <f t="shared" si="2"/>
        <v>C</v>
      </c>
    </row>
    <row r="3789">
      <c r="A3789" s="2">
        <v>3788.0</v>
      </c>
      <c r="B3789" s="2" t="s">
        <v>4626</v>
      </c>
      <c r="C3789" s="2" t="s">
        <v>4627</v>
      </c>
      <c r="D3789" s="2">
        <v>6.75</v>
      </c>
      <c r="E3789" s="2">
        <v>14.0</v>
      </c>
      <c r="F3789" s="2">
        <v>96.98</v>
      </c>
      <c r="G3789" s="4">
        <f t="shared" si="3"/>
        <v>9507318.73</v>
      </c>
      <c r="H3789" s="4">
        <f t="shared" si="1"/>
        <v>0.9961129867</v>
      </c>
      <c r="I3789" s="4" t="str">
        <f t="shared" si="2"/>
        <v>C</v>
      </c>
    </row>
    <row r="3790">
      <c r="A3790" s="2">
        <v>3789.0</v>
      </c>
      <c r="B3790" s="2" t="s">
        <v>4628</v>
      </c>
      <c r="C3790" s="2" t="s">
        <v>4629</v>
      </c>
      <c r="D3790" s="2">
        <v>0.38</v>
      </c>
      <c r="E3790" s="2">
        <v>194.0</v>
      </c>
      <c r="F3790" s="2">
        <v>96.53</v>
      </c>
      <c r="G3790" s="4">
        <f t="shared" si="3"/>
        <v>9507415.26</v>
      </c>
      <c r="H3790" s="4">
        <f t="shared" si="1"/>
        <v>0.9961231004</v>
      </c>
      <c r="I3790" s="4" t="str">
        <f t="shared" si="2"/>
        <v>C</v>
      </c>
    </row>
    <row r="3791">
      <c r="A3791" s="2">
        <v>3790.0</v>
      </c>
      <c r="B3791" s="2">
        <v>21582.0</v>
      </c>
      <c r="C3791" s="2" t="s">
        <v>4630</v>
      </c>
      <c r="D3791" s="2">
        <v>1.65</v>
      </c>
      <c r="E3791" s="2">
        <v>58.0</v>
      </c>
      <c r="F3791" s="2">
        <v>96.52</v>
      </c>
      <c r="G3791" s="4">
        <f t="shared" si="3"/>
        <v>9507511.78</v>
      </c>
      <c r="H3791" s="4">
        <f t="shared" si="1"/>
        <v>0.9961332132</v>
      </c>
      <c r="I3791" s="4" t="str">
        <f t="shared" si="2"/>
        <v>C</v>
      </c>
    </row>
    <row r="3792">
      <c r="A3792" s="2">
        <v>3791.0</v>
      </c>
      <c r="B3792" s="2">
        <v>84893.0</v>
      </c>
      <c r="C3792" s="2" t="s">
        <v>4631</v>
      </c>
      <c r="D3792" s="2">
        <v>5.95</v>
      </c>
      <c r="E3792" s="2">
        <v>17.0</v>
      </c>
      <c r="F3792" s="2">
        <v>96.15</v>
      </c>
      <c r="G3792" s="4">
        <f t="shared" si="3"/>
        <v>9507607.93</v>
      </c>
      <c r="H3792" s="4">
        <f t="shared" si="1"/>
        <v>0.9961432871</v>
      </c>
      <c r="I3792" s="4" t="str">
        <f t="shared" si="2"/>
        <v>C</v>
      </c>
    </row>
    <row r="3793">
      <c r="A3793" s="2">
        <v>3792.0</v>
      </c>
      <c r="B3793" s="2" t="s">
        <v>4632</v>
      </c>
      <c r="C3793" s="2" t="s">
        <v>4633</v>
      </c>
      <c r="D3793" s="2">
        <v>2.1</v>
      </c>
      <c r="E3793" s="2">
        <v>33.0</v>
      </c>
      <c r="F3793" s="2">
        <v>96.13</v>
      </c>
      <c r="G3793" s="4">
        <f t="shared" si="3"/>
        <v>9507704.06</v>
      </c>
      <c r="H3793" s="4">
        <f t="shared" si="1"/>
        <v>0.996153359</v>
      </c>
      <c r="I3793" s="4" t="str">
        <f t="shared" si="2"/>
        <v>C</v>
      </c>
    </row>
    <row r="3794">
      <c r="A3794" s="2">
        <v>3793.0</v>
      </c>
      <c r="B3794" s="2" t="s">
        <v>4634</v>
      </c>
      <c r="C3794" s="2" t="s">
        <v>4635</v>
      </c>
      <c r="D3794" s="2">
        <v>2.51</v>
      </c>
      <c r="E3794" s="2">
        <v>60.0</v>
      </c>
      <c r="F3794" s="2">
        <v>96.08</v>
      </c>
      <c r="G3794" s="4">
        <f t="shared" si="3"/>
        <v>9507800.14</v>
      </c>
      <c r="H3794" s="4">
        <f t="shared" si="1"/>
        <v>0.9961634256</v>
      </c>
      <c r="I3794" s="4" t="str">
        <f t="shared" si="2"/>
        <v>C</v>
      </c>
    </row>
    <row r="3795">
      <c r="A3795" s="2">
        <v>3794.0</v>
      </c>
      <c r="B3795" s="2" t="s">
        <v>4636</v>
      </c>
      <c r="C3795" s="2" t="s">
        <v>4637</v>
      </c>
      <c r="D3795" s="2">
        <v>8.07</v>
      </c>
      <c r="E3795" s="2">
        <v>12.0</v>
      </c>
      <c r="F3795" s="2">
        <v>96.08</v>
      </c>
      <c r="G3795" s="4">
        <f t="shared" si="3"/>
        <v>9507896.22</v>
      </c>
      <c r="H3795" s="4">
        <f t="shared" si="1"/>
        <v>0.9961734922</v>
      </c>
      <c r="I3795" s="4" t="str">
        <f t="shared" si="2"/>
        <v>C</v>
      </c>
    </row>
    <row r="3796">
      <c r="A3796" s="2">
        <v>3795.0</v>
      </c>
      <c r="B3796" s="2" t="s">
        <v>4638</v>
      </c>
      <c r="C3796" s="2" t="s">
        <v>4639</v>
      </c>
      <c r="D3796" s="2">
        <v>1.25</v>
      </c>
      <c r="E3796" s="2">
        <v>70.0</v>
      </c>
      <c r="F3796" s="2">
        <v>96.05</v>
      </c>
      <c r="G3796" s="4">
        <f t="shared" si="3"/>
        <v>9507992.27</v>
      </c>
      <c r="H3796" s="4">
        <f t="shared" si="1"/>
        <v>0.9961835557</v>
      </c>
      <c r="I3796" s="4" t="str">
        <f t="shared" si="2"/>
        <v>C</v>
      </c>
    </row>
    <row r="3797">
      <c r="A3797" s="2">
        <v>3796.0</v>
      </c>
      <c r="B3797" s="2" t="s">
        <v>4640</v>
      </c>
      <c r="C3797" s="2" t="s">
        <v>4641</v>
      </c>
      <c r="D3797" s="2">
        <v>0.83</v>
      </c>
      <c r="E3797" s="2">
        <v>151.0</v>
      </c>
      <c r="F3797" s="2">
        <v>95.86</v>
      </c>
      <c r="G3797" s="4">
        <f t="shared" si="3"/>
        <v>9508088.13</v>
      </c>
      <c r="H3797" s="4">
        <f t="shared" si="1"/>
        <v>0.9961935992</v>
      </c>
      <c r="I3797" s="4" t="str">
        <f t="shared" si="2"/>
        <v>C</v>
      </c>
    </row>
    <row r="3798">
      <c r="A3798" s="2">
        <v>3797.0</v>
      </c>
      <c r="B3798" s="2" t="s">
        <v>4642</v>
      </c>
      <c r="C3798" s="2" t="s">
        <v>4643</v>
      </c>
      <c r="D3798" s="2">
        <v>11.95</v>
      </c>
      <c r="E3798" s="2">
        <v>8.0</v>
      </c>
      <c r="F3798" s="2">
        <v>95.7</v>
      </c>
      <c r="G3798" s="4">
        <f t="shared" si="3"/>
        <v>9508183.83</v>
      </c>
      <c r="H3798" s="4">
        <f t="shared" si="1"/>
        <v>0.996203626</v>
      </c>
      <c r="I3798" s="4" t="str">
        <f t="shared" si="2"/>
        <v>C</v>
      </c>
    </row>
    <row r="3799">
      <c r="A3799" s="2">
        <v>3798.0</v>
      </c>
      <c r="B3799" s="2">
        <v>90094.0</v>
      </c>
      <c r="C3799" s="2" t="s">
        <v>4644</v>
      </c>
      <c r="D3799" s="2">
        <v>2.55</v>
      </c>
      <c r="E3799" s="2">
        <v>38.0</v>
      </c>
      <c r="F3799" s="2">
        <v>95.08</v>
      </c>
      <c r="G3799" s="4">
        <f t="shared" si="3"/>
        <v>9508278.91</v>
      </c>
      <c r="H3799" s="4">
        <f t="shared" si="1"/>
        <v>0.9962135879</v>
      </c>
      <c r="I3799" s="4" t="str">
        <f t="shared" si="2"/>
        <v>C</v>
      </c>
    </row>
    <row r="3800">
      <c r="A3800" s="2">
        <v>3799.0</v>
      </c>
      <c r="B3800" s="2">
        <v>84744.0</v>
      </c>
      <c r="C3800" s="2" t="s">
        <v>4645</v>
      </c>
      <c r="D3800" s="2">
        <v>1.25</v>
      </c>
      <c r="E3800" s="2">
        <v>75.0</v>
      </c>
      <c r="F3800" s="2">
        <v>95.01</v>
      </c>
      <c r="G3800" s="4">
        <f t="shared" si="3"/>
        <v>9508373.92</v>
      </c>
      <c r="H3800" s="4">
        <f t="shared" si="1"/>
        <v>0.9962235424</v>
      </c>
      <c r="I3800" s="4" t="str">
        <f t="shared" si="2"/>
        <v>C</v>
      </c>
    </row>
    <row r="3801">
      <c r="A3801" s="2">
        <v>3800.0</v>
      </c>
      <c r="B3801" s="2">
        <v>85128.0</v>
      </c>
      <c r="C3801" s="2" t="s">
        <v>4646</v>
      </c>
      <c r="D3801" s="2">
        <v>2.56</v>
      </c>
      <c r="E3801" s="2">
        <v>84.0</v>
      </c>
      <c r="F3801" s="2">
        <v>94.48</v>
      </c>
      <c r="G3801" s="4">
        <f t="shared" si="3"/>
        <v>9508468.4</v>
      </c>
      <c r="H3801" s="4">
        <f t="shared" si="1"/>
        <v>0.9962334414</v>
      </c>
      <c r="I3801" s="4" t="str">
        <f t="shared" si="2"/>
        <v>C</v>
      </c>
    </row>
    <row r="3802">
      <c r="A3802" s="2">
        <v>3801.0</v>
      </c>
      <c r="B3802" s="2" t="s">
        <v>4647</v>
      </c>
      <c r="C3802" s="2" t="s">
        <v>4648</v>
      </c>
      <c r="D3802" s="2">
        <v>8.95</v>
      </c>
      <c r="E3802" s="2">
        <v>10.0</v>
      </c>
      <c r="F3802" s="2">
        <v>94.36</v>
      </c>
      <c r="G3802" s="4">
        <f t="shared" si="3"/>
        <v>9508562.76</v>
      </c>
      <c r="H3802" s="4">
        <f t="shared" si="1"/>
        <v>0.9962433278</v>
      </c>
      <c r="I3802" s="4" t="str">
        <f t="shared" si="2"/>
        <v>C</v>
      </c>
    </row>
    <row r="3803">
      <c r="A3803" s="2">
        <v>3802.0</v>
      </c>
      <c r="B3803" s="2">
        <v>90159.0</v>
      </c>
      <c r="C3803" s="2" t="s">
        <v>4649</v>
      </c>
      <c r="D3803" s="2">
        <v>4.95</v>
      </c>
      <c r="E3803" s="2">
        <v>19.0</v>
      </c>
      <c r="F3803" s="2">
        <v>94.29</v>
      </c>
      <c r="G3803" s="4">
        <f t="shared" si="3"/>
        <v>9508657.05</v>
      </c>
      <c r="H3803" s="4">
        <f t="shared" si="1"/>
        <v>0.9962532069</v>
      </c>
      <c r="I3803" s="4" t="str">
        <f t="shared" si="2"/>
        <v>C</v>
      </c>
    </row>
    <row r="3804">
      <c r="A3804" s="2">
        <v>3803.0</v>
      </c>
      <c r="B3804" s="2" t="s">
        <v>4650</v>
      </c>
      <c r="C3804" s="2" t="s">
        <v>4651</v>
      </c>
      <c r="D3804" s="2">
        <v>2.95</v>
      </c>
      <c r="E3804" s="2">
        <v>32.0</v>
      </c>
      <c r="F3804" s="2">
        <v>94.04</v>
      </c>
      <c r="G3804" s="4">
        <f t="shared" si="3"/>
        <v>9508751.09</v>
      </c>
      <c r="H3804" s="4">
        <f t="shared" si="1"/>
        <v>0.9962630597</v>
      </c>
      <c r="I3804" s="4" t="str">
        <f t="shared" si="2"/>
        <v>C</v>
      </c>
    </row>
    <row r="3805">
      <c r="A3805" s="2">
        <v>3804.0</v>
      </c>
      <c r="B3805" s="2">
        <v>20837.0</v>
      </c>
      <c r="C3805" s="2" t="s">
        <v>3031</v>
      </c>
      <c r="D3805" s="2">
        <v>0.83</v>
      </c>
      <c r="E3805" s="2">
        <v>82.0</v>
      </c>
      <c r="F3805" s="2">
        <v>94.04</v>
      </c>
      <c r="G3805" s="4">
        <f t="shared" si="3"/>
        <v>9508845.13</v>
      </c>
      <c r="H3805" s="4">
        <f t="shared" si="1"/>
        <v>0.9962729126</v>
      </c>
      <c r="I3805" s="4" t="str">
        <f t="shared" si="2"/>
        <v>C</v>
      </c>
    </row>
    <row r="3806">
      <c r="A3806" s="2">
        <v>3805.0</v>
      </c>
      <c r="B3806" s="2" t="s">
        <v>4652</v>
      </c>
      <c r="C3806" s="2" t="s">
        <v>1327</v>
      </c>
      <c r="D3806" s="2">
        <v>3.29</v>
      </c>
      <c r="E3806" s="2">
        <v>28.0</v>
      </c>
      <c r="F3806" s="2">
        <v>93.38</v>
      </c>
      <c r="G3806" s="4">
        <f t="shared" si="3"/>
        <v>9508938.51</v>
      </c>
      <c r="H3806" s="4">
        <f t="shared" si="1"/>
        <v>0.9962826963</v>
      </c>
      <c r="I3806" s="4" t="str">
        <f t="shared" si="2"/>
        <v>C</v>
      </c>
    </row>
    <row r="3807">
      <c r="A3807" s="2">
        <v>3806.0</v>
      </c>
      <c r="B3807" s="2" t="s">
        <v>4653</v>
      </c>
      <c r="C3807" s="2" t="s">
        <v>4654</v>
      </c>
      <c r="D3807" s="2">
        <v>2.92</v>
      </c>
      <c r="E3807" s="2">
        <v>59.0</v>
      </c>
      <c r="F3807" s="2">
        <v>93.28</v>
      </c>
      <c r="G3807" s="4">
        <f t="shared" si="3"/>
        <v>9509031.79</v>
      </c>
      <c r="H3807" s="4">
        <f t="shared" si="1"/>
        <v>0.9962924696</v>
      </c>
      <c r="I3807" s="4" t="str">
        <f t="shared" si="2"/>
        <v>C</v>
      </c>
    </row>
    <row r="3808">
      <c r="A3808" s="2">
        <v>3807.0</v>
      </c>
      <c r="B3808" s="2" t="s">
        <v>4655</v>
      </c>
      <c r="C3808" s="2" t="s">
        <v>1420</v>
      </c>
      <c r="D3808" s="2">
        <v>2.46</v>
      </c>
      <c r="E3808" s="2">
        <v>38.0</v>
      </c>
      <c r="F3808" s="2">
        <v>92.85</v>
      </c>
      <c r="G3808" s="4">
        <f t="shared" si="3"/>
        <v>9509124.64</v>
      </c>
      <c r="H3808" s="4">
        <f t="shared" si="1"/>
        <v>0.9963021978</v>
      </c>
      <c r="I3808" s="4" t="str">
        <f t="shared" si="2"/>
        <v>C</v>
      </c>
    </row>
    <row r="3809">
      <c r="A3809" s="2">
        <v>3808.0</v>
      </c>
      <c r="B3809" s="2" t="s">
        <v>4656</v>
      </c>
      <c r="C3809" s="2" t="s">
        <v>4657</v>
      </c>
      <c r="D3809" s="2">
        <v>3.75</v>
      </c>
      <c r="E3809" s="2">
        <v>37.0</v>
      </c>
      <c r="F3809" s="2">
        <v>92.83</v>
      </c>
      <c r="G3809" s="4">
        <f t="shared" si="3"/>
        <v>9509217.47</v>
      </c>
      <c r="H3809" s="4">
        <f t="shared" si="1"/>
        <v>0.9963119239</v>
      </c>
      <c r="I3809" s="4" t="str">
        <f t="shared" si="2"/>
        <v>C</v>
      </c>
    </row>
    <row r="3810">
      <c r="A3810" s="2">
        <v>3809.0</v>
      </c>
      <c r="B3810" s="2" t="s">
        <v>4658</v>
      </c>
      <c r="C3810" s="2" t="s">
        <v>1904</v>
      </c>
      <c r="D3810" s="2">
        <v>3.29</v>
      </c>
      <c r="E3810" s="2">
        <v>28.0</v>
      </c>
      <c r="F3810" s="2">
        <v>92.82</v>
      </c>
      <c r="G3810" s="4">
        <f t="shared" si="3"/>
        <v>9509310.29</v>
      </c>
      <c r="H3810" s="4">
        <f t="shared" si="1"/>
        <v>0.996321649</v>
      </c>
      <c r="I3810" s="4" t="str">
        <f t="shared" si="2"/>
        <v>C</v>
      </c>
    </row>
    <row r="3811">
      <c r="A3811" s="2">
        <v>3810.0</v>
      </c>
      <c r="B3811" s="2" t="s">
        <v>4659</v>
      </c>
      <c r="C3811" s="2" t="s">
        <v>4660</v>
      </c>
      <c r="D3811" s="2">
        <v>0.85</v>
      </c>
      <c r="E3811" s="2">
        <v>90.0</v>
      </c>
      <c r="F3811" s="2">
        <v>92.62</v>
      </c>
      <c r="G3811" s="4">
        <f t="shared" si="3"/>
        <v>9509402.91</v>
      </c>
      <c r="H3811" s="4">
        <f t="shared" si="1"/>
        <v>0.9963313531</v>
      </c>
      <c r="I3811" s="4" t="str">
        <f t="shared" si="2"/>
        <v>C</v>
      </c>
    </row>
    <row r="3812">
      <c r="A3812" s="2">
        <v>3811.0</v>
      </c>
      <c r="B3812" s="2">
        <v>20968.0</v>
      </c>
      <c r="C3812" s="2" t="s">
        <v>4661</v>
      </c>
      <c r="D3812" s="2">
        <v>3.75</v>
      </c>
      <c r="E3812" s="2">
        <v>22.0</v>
      </c>
      <c r="F3812" s="2">
        <v>92.56</v>
      </c>
      <c r="G3812" s="4">
        <f t="shared" si="3"/>
        <v>9509495.47</v>
      </c>
      <c r="H3812" s="4">
        <f t="shared" si="1"/>
        <v>0.9963410509</v>
      </c>
      <c r="I3812" s="4" t="str">
        <f t="shared" si="2"/>
        <v>C</v>
      </c>
    </row>
    <row r="3813">
      <c r="A3813" s="2">
        <v>3812.0</v>
      </c>
      <c r="B3813" s="2" t="s">
        <v>4662</v>
      </c>
      <c r="C3813" s="2" t="s">
        <v>4663</v>
      </c>
      <c r="D3813" s="2">
        <v>2.1</v>
      </c>
      <c r="E3813" s="2">
        <v>80.0</v>
      </c>
      <c r="F3813" s="2">
        <v>92.38</v>
      </c>
      <c r="G3813" s="4">
        <f t="shared" si="3"/>
        <v>9509587.85</v>
      </c>
      <c r="H3813" s="4">
        <f t="shared" si="1"/>
        <v>0.9963507298</v>
      </c>
      <c r="I3813" s="4" t="str">
        <f t="shared" si="2"/>
        <v>C</v>
      </c>
    </row>
    <row r="3814">
      <c r="A3814" s="2">
        <v>3813.0</v>
      </c>
      <c r="B3814" s="2">
        <v>23416.0</v>
      </c>
      <c r="C3814" s="2" t="s">
        <v>4664</v>
      </c>
      <c r="D3814" s="2">
        <v>1.65</v>
      </c>
      <c r="E3814" s="2">
        <v>66.0</v>
      </c>
      <c r="F3814" s="2">
        <v>92.34</v>
      </c>
      <c r="G3814" s="4">
        <f t="shared" si="3"/>
        <v>9509680.19</v>
      </c>
      <c r="H3814" s="4">
        <f t="shared" si="1"/>
        <v>0.9963604046</v>
      </c>
      <c r="I3814" s="4" t="str">
        <f t="shared" si="2"/>
        <v>C</v>
      </c>
    </row>
    <row r="3815">
      <c r="A3815" s="2">
        <v>3814.0</v>
      </c>
      <c r="B3815" s="2">
        <v>20957.0</v>
      </c>
      <c r="C3815" s="2" t="s">
        <v>4665</v>
      </c>
      <c r="D3815" s="2">
        <v>1.45</v>
      </c>
      <c r="E3815" s="2">
        <v>63.0</v>
      </c>
      <c r="F3815" s="2">
        <v>92.3</v>
      </c>
      <c r="G3815" s="4">
        <f t="shared" si="3"/>
        <v>9509772.49</v>
      </c>
      <c r="H3815" s="4">
        <f t="shared" si="1"/>
        <v>0.9963700752</v>
      </c>
      <c r="I3815" s="4" t="str">
        <f t="shared" si="2"/>
        <v>C</v>
      </c>
    </row>
    <row r="3816">
      <c r="A3816" s="2">
        <v>3815.0</v>
      </c>
      <c r="B3816" s="2" t="s">
        <v>4666</v>
      </c>
      <c r="C3816" s="2" t="s">
        <v>4667</v>
      </c>
      <c r="D3816" s="2">
        <v>1.69</v>
      </c>
      <c r="E3816" s="2">
        <v>54.0</v>
      </c>
      <c r="F3816" s="2">
        <v>92.1</v>
      </c>
      <c r="G3816" s="4">
        <f t="shared" si="3"/>
        <v>9509864.59</v>
      </c>
      <c r="H3816" s="4">
        <f t="shared" si="1"/>
        <v>0.9963797248</v>
      </c>
      <c r="I3816" s="4" t="str">
        <f t="shared" si="2"/>
        <v>C</v>
      </c>
    </row>
    <row r="3817">
      <c r="A3817" s="2">
        <v>3816.0</v>
      </c>
      <c r="B3817" s="2" t="s">
        <v>4668</v>
      </c>
      <c r="C3817" s="2" t="s">
        <v>4669</v>
      </c>
      <c r="D3817" s="2">
        <v>3.75</v>
      </c>
      <c r="E3817" s="2">
        <v>26.0</v>
      </c>
      <c r="F3817" s="2">
        <v>91.99</v>
      </c>
      <c r="G3817" s="4">
        <f t="shared" si="3"/>
        <v>9509956.58</v>
      </c>
      <c r="H3817" s="4">
        <f t="shared" si="1"/>
        <v>0.9963893629</v>
      </c>
      <c r="I3817" s="4" t="str">
        <f t="shared" si="2"/>
        <v>C</v>
      </c>
    </row>
    <row r="3818">
      <c r="A3818" s="2">
        <v>3817.0</v>
      </c>
      <c r="B3818" s="2">
        <v>21018.0</v>
      </c>
      <c r="C3818" s="2" t="s">
        <v>4670</v>
      </c>
      <c r="D3818" s="2">
        <v>0.85</v>
      </c>
      <c r="E3818" s="2">
        <v>107.0</v>
      </c>
      <c r="F3818" s="2">
        <v>91.78</v>
      </c>
      <c r="G3818" s="4">
        <f t="shared" si="3"/>
        <v>9510048.36</v>
      </c>
      <c r="H3818" s="4">
        <f t="shared" si="1"/>
        <v>0.996398979</v>
      </c>
      <c r="I3818" s="4" t="str">
        <f t="shared" si="2"/>
        <v>C</v>
      </c>
    </row>
    <row r="3819">
      <c r="A3819" s="2">
        <v>3818.0</v>
      </c>
      <c r="B3819" s="2" t="s">
        <v>4671</v>
      </c>
      <c r="C3819" s="2" t="s">
        <v>4672</v>
      </c>
      <c r="D3819" s="2">
        <v>1.66</v>
      </c>
      <c r="E3819" s="2">
        <v>40.0</v>
      </c>
      <c r="F3819" s="2">
        <v>91.63</v>
      </c>
      <c r="G3819" s="4">
        <f t="shared" si="3"/>
        <v>9510139.99</v>
      </c>
      <c r="H3819" s="4">
        <f t="shared" si="1"/>
        <v>0.9964085793</v>
      </c>
      <c r="I3819" s="4" t="str">
        <f t="shared" si="2"/>
        <v>C</v>
      </c>
    </row>
    <row r="3820">
      <c r="A3820" s="2">
        <v>3819.0</v>
      </c>
      <c r="B3820" s="2">
        <v>90086.0</v>
      </c>
      <c r="C3820" s="2" t="s">
        <v>4673</v>
      </c>
      <c r="D3820" s="2">
        <v>1.63</v>
      </c>
      <c r="E3820" s="2">
        <v>108.0</v>
      </c>
      <c r="F3820" s="2">
        <v>91.4</v>
      </c>
      <c r="G3820" s="4">
        <f t="shared" si="3"/>
        <v>9510231.39</v>
      </c>
      <c r="H3820" s="4">
        <f t="shared" si="1"/>
        <v>0.9964181556</v>
      </c>
      <c r="I3820" s="4" t="str">
        <f t="shared" si="2"/>
        <v>C</v>
      </c>
    </row>
    <row r="3821">
      <c r="A3821" s="2">
        <v>3820.0</v>
      </c>
      <c r="B3821" s="2" t="s">
        <v>4674</v>
      </c>
      <c r="C3821" s="2" t="s">
        <v>4675</v>
      </c>
      <c r="D3821" s="2">
        <v>1.25</v>
      </c>
      <c r="E3821" s="2">
        <v>86.0</v>
      </c>
      <c r="F3821" s="2">
        <v>91.32</v>
      </c>
      <c r="G3821" s="4">
        <f t="shared" si="3"/>
        <v>9510322.71</v>
      </c>
      <c r="H3821" s="4">
        <f t="shared" si="1"/>
        <v>0.9964277235</v>
      </c>
      <c r="I3821" s="4" t="str">
        <f t="shared" si="2"/>
        <v>C</v>
      </c>
    </row>
    <row r="3822">
      <c r="A3822" s="2">
        <v>3821.0</v>
      </c>
      <c r="B3822" s="2" t="s">
        <v>4676</v>
      </c>
      <c r="C3822" s="2" t="s">
        <v>4677</v>
      </c>
      <c r="D3822" s="2">
        <v>0.85</v>
      </c>
      <c r="E3822" s="2">
        <v>92.0</v>
      </c>
      <c r="F3822" s="2">
        <v>91.3</v>
      </c>
      <c r="G3822" s="4">
        <f t="shared" si="3"/>
        <v>9510414.01</v>
      </c>
      <c r="H3822" s="4">
        <f t="shared" si="1"/>
        <v>0.9964372893</v>
      </c>
      <c r="I3822" s="4" t="str">
        <f t="shared" si="2"/>
        <v>C</v>
      </c>
    </row>
    <row r="3823">
      <c r="A3823" s="2">
        <v>3822.0</v>
      </c>
      <c r="B3823" s="2" t="s">
        <v>4678</v>
      </c>
      <c r="C3823" s="2" t="s">
        <v>4679</v>
      </c>
      <c r="D3823" s="2">
        <v>4.24</v>
      </c>
      <c r="E3823" s="2">
        <v>22.0</v>
      </c>
      <c r="F3823" s="2">
        <v>91.14</v>
      </c>
      <c r="G3823" s="4">
        <f t="shared" si="3"/>
        <v>9510505.15</v>
      </c>
      <c r="H3823" s="4">
        <f t="shared" si="1"/>
        <v>0.9964468384</v>
      </c>
      <c r="I3823" s="4" t="str">
        <f t="shared" si="2"/>
        <v>C</v>
      </c>
    </row>
    <row r="3824">
      <c r="A3824" s="2">
        <v>3823.0</v>
      </c>
      <c r="B3824" s="2">
        <v>20796.0</v>
      </c>
      <c r="C3824" s="2" t="s">
        <v>4680</v>
      </c>
      <c r="D3824" s="2">
        <v>1.65</v>
      </c>
      <c r="E3824" s="2">
        <v>50.0</v>
      </c>
      <c r="F3824" s="2">
        <v>91.08</v>
      </c>
      <c r="G3824" s="4">
        <f t="shared" si="3"/>
        <v>9510596.23</v>
      </c>
      <c r="H3824" s="4">
        <f t="shared" si="1"/>
        <v>0.9964563811</v>
      </c>
      <c r="I3824" s="4" t="str">
        <f t="shared" si="2"/>
        <v>C</v>
      </c>
    </row>
    <row r="3825">
      <c r="A3825" s="2">
        <v>3824.0</v>
      </c>
      <c r="B3825" s="2" t="s">
        <v>4681</v>
      </c>
      <c r="C3825" s="2" t="s">
        <v>4682</v>
      </c>
      <c r="D3825" s="2">
        <v>0.83</v>
      </c>
      <c r="E3825" s="2">
        <v>176.0</v>
      </c>
      <c r="F3825" s="2">
        <v>90.94</v>
      </c>
      <c r="G3825" s="4">
        <f t="shared" si="3"/>
        <v>9510687.17</v>
      </c>
      <c r="H3825" s="4">
        <f t="shared" si="1"/>
        <v>0.9964659092</v>
      </c>
      <c r="I3825" s="4" t="str">
        <f t="shared" si="2"/>
        <v>C</v>
      </c>
    </row>
    <row r="3826">
      <c r="A3826" s="2">
        <v>3825.0</v>
      </c>
      <c r="B3826" s="2">
        <v>84464.0</v>
      </c>
      <c r="C3826" s="2" t="s">
        <v>4683</v>
      </c>
      <c r="D3826" s="2">
        <v>2.55</v>
      </c>
      <c r="E3826" s="2">
        <v>42.0</v>
      </c>
      <c r="F3826" s="2">
        <v>90.82</v>
      </c>
      <c r="G3826" s="4">
        <f t="shared" si="3"/>
        <v>9510777.99</v>
      </c>
      <c r="H3826" s="4">
        <f t="shared" si="1"/>
        <v>0.9964754247</v>
      </c>
      <c r="I3826" s="4" t="str">
        <f t="shared" si="2"/>
        <v>C</v>
      </c>
    </row>
    <row r="3827">
      <c r="A3827" s="2">
        <v>3826.0</v>
      </c>
      <c r="B3827" s="2" t="s">
        <v>4684</v>
      </c>
      <c r="C3827" s="2" t="s">
        <v>4685</v>
      </c>
      <c r="D3827" s="2">
        <v>1.25</v>
      </c>
      <c r="E3827" s="2">
        <v>561.0</v>
      </c>
      <c r="F3827" s="2">
        <v>90.75</v>
      </c>
      <c r="G3827" s="4">
        <f t="shared" si="3"/>
        <v>9510868.74</v>
      </c>
      <c r="H3827" s="4">
        <f t="shared" si="1"/>
        <v>0.9964849329</v>
      </c>
      <c r="I3827" s="4" t="str">
        <f t="shared" si="2"/>
        <v>C</v>
      </c>
    </row>
    <row r="3828">
      <c r="A3828" s="2">
        <v>3827.0</v>
      </c>
      <c r="B3828" s="2" t="s">
        <v>4686</v>
      </c>
      <c r="C3828" s="2" t="s">
        <v>4687</v>
      </c>
      <c r="D3828" s="2">
        <v>0.83</v>
      </c>
      <c r="E3828" s="2">
        <v>154.0</v>
      </c>
      <c r="F3828" s="2">
        <v>90.49</v>
      </c>
      <c r="G3828" s="4">
        <f t="shared" si="3"/>
        <v>9510959.23</v>
      </c>
      <c r="H3828" s="4">
        <f t="shared" si="1"/>
        <v>0.9964944138</v>
      </c>
      <c r="I3828" s="4" t="str">
        <f t="shared" si="2"/>
        <v>C</v>
      </c>
    </row>
    <row r="3829">
      <c r="A3829" s="2">
        <v>3828.0</v>
      </c>
      <c r="B3829" s="2">
        <v>22330.0</v>
      </c>
      <c r="C3829" s="2" t="s">
        <v>4688</v>
      </c>
      <c r="D3829" s="2">
        <v>1.45</v>
      </c>
      <c r="E3829" s="2">
        <v>58.0</v>
      </c>
      <c r="F3829" s="2">
        <v>90.25</v>
      </c>
      <c r="G3829" s="4">
        <f t="shared" si="3"/>
        <v>9511049.48</v>
      </c>
      <c r="H3829" s="4">
        <f t="shared" si="1"/>
        <v>0.9965038696</v>
      </c>
      <c r="I3829" s="4" t="str">
        <f t="shared" si="2"/>
        <v>C</v>
      </c>
    </row>
    <row r="3830">
      <c r="A3830" s="2">
        <v>3829.0</v>
      </c>
      <c r="B3830" s="2" t="s">
        <v>4689</v>
      </c>
      <c r="C3830" s="2" t="s">
        <v>4690</v>
      </c>
      <c r="D3830" s="2">
        <v>0.38</v>
      </c>
      <c r="E3830" s="2">
        <v>204.0</v>
      </c>
      <c r="F3830" s="2">
        <v>90.02</v>
      </c>
      <c r="G3830" s="4">
        <f t="shared" si="3"/>
        <v>9511139.5</v>
      </c>
      <c r="H3830" s="4">
        <f t="shared" si="1"/>
        <v>0.9965133013</v>
      </c>
      <c r="I3830" s="4" t="str">
        <f t="shared" si="2"/>
        <v>C</v>
      </c>
    </row>
    <row r="3831">
      <c r="A3831" s="2">
        <v>3830.0</v>
      </c>
      <c r="B3831" s="2" t="s">
        <v>4691</v>
      </c>
      <c r="C3831" s="2" t="s">
        <v>4692</v>
      </c>
      <c r="D3831" s="2">
        <v>9.95</v>
      </c>
      <c r="E3831" s="2">
        <v>9.0</v>
      </c>
      <c r="F3831" s="2">
        <v>89.94</v>
      </c>
      <c r="G3831" s="4">
        <f t="shared" si="3"/>
        <v>9511229.44</v>
      </c>
      <c r="H3831" s="4">
        <f t="shared" si="1"/>
        <v>0.9965227246</v>
      </c>
      <c r="I3831" s="4" t="str">
        <f t="shared" si="2"/>
        <v>C</v>
      </c>
    </row>
    <row r="3832">
      <c r="A3832" s="2">
        <v>3831.0</v>
      </c>
      <c r="B3832" s="2" t="s">
        <v>4693</v>
      </c>
      <c r="C3832" s="2" t="s">
        <v>4694</v>
      </c>
      <c r="D3832" s="2">
        <v>1.25</v>
      </c>
      <c r="E3832" s="2">
        <v>120.0</v>
      </c>
      <c r="F3832" s="2">
        <v>89.94</v>
      </c>
      <c r="G3832" s="4">
        <f t="shared" si="3"/>
        <v>9511319.38</v>
      </c>
      <c r="H3832" s="4">
        <f t="shared" si="1"/>
        <v>0.9965321479</v>
      </c>
      <c r="I3832" s="4" t="str">
        <f t="shared" si="2"/>
        <v>C</v>
      </c>
    </row>
    <row r="3833">
      <c r="A3833" s="2">
        <v>3832.0</v>
      </c>
      <c r="B3833" s="2">
        <v>84962.0</v>
      </c>
      <c r="C3833" s="2" t="s">
        <v>4695</v>
      </c>
      <c r="D3833" s="2">
        <v>59.95</v>
      </c>
      <c r="E3833" s="2">
        <v>2.0</v>
      </c>
      <c r="F3833" s="2">
        <v>89.93</v>
      </c>
      <c r="G3833" s="4">
        <f t="shared" si="3"/>
        <v>9511409.31</v>
      </c>
      <c r="H3833" s="4">
        <f t="shared" si="1"/>
        <v>0.9965415702</v>
      </c>
      <c r="I3833" s="4" t="str">
        <f t="shared" si="2"/>
        <v>C</v>
      </c>
    </row>
    <row r="3834">
      <c r="A3834" s="2">
        <v>3833.0</v>
      </c>
      <c r="B3834" s="2" t="s">
        <v>4696</v>
      </c>
      <c r="C3834" s="2" t="s">
        <v>4697</v>
      </c>
      <c r="D3834" s="2">
        <v>2.55</v>
      </c>
      <c r="E3834" s="2">
        <v>75.0</v>
      </c>
      <c r="F3834" s="2">
        <v>89.88</v>
      </c>
      <c r="G3834" s="4">
        <f t="shared" si="3"/>
        <v>9511499.19</v>
      </c>
      <c r="H3834" s="4">
        <f t="shared" si="1"/>
        <v>0.9965509872</v>
      </c>
      <c r="I3834" s="4" t="str">
        <f t="shared" si="2"/>
        <v>C</v>
      </c>
    </row>
    <row r="3835">
      <c r="A3835" s="2">
        <v>3834.0</v>
      </c>
      <c r="B3835" s="2">
        <v>21310.0</v>
      </c>
      <c r="C3835" s="2" t="s">
        <v>4698</v>
      </c>
      <c r="D3835" s="2">
        <v>29.95</v>
      </c>
      <c r="E3835" s="2">
        <v>3.0</v>
      </c>
      <c r="F3835" s="2">
        <v>89.85</v>
      </c>
      <c r="G3835" s="4">
        <f t="shared" si="3"/>
        <v>9511589.04</v>
      </c>
      <c r="H3835" s="4">
        <f t="shared" si="1"/>
        <v>0.9965604011</v>
      </c>
      <c r="I3835" s="4" t="str">
        <f t="shared" si="2"/>
        <v>C</v>
      </c>
    </row>
    <row r="3836">
      <c r="A3836" s="2">
        <v>3835.0</v>
      </c>
      <c r="B3836" s="2" t="s">
        <v>4699</v>
      </c>
      <c r="C3836" s="2" t="s">
        <v>4700</v>
      </c>
      <c r="D3836" s="2">
        <v>3.16</v>
      </c>
      <c r="E3836" s="2">
        <v>130.0</v>
      </c>
      <c r="F3836" s="2">
        <v>89.78</v>
      </c>
      <c r="G3836" s="4">
        <f t="shared" si="3"/>
        <v>9511678.82</v>
      </c>
      <c r="H3836" s="4">
        <f t="shared" si="1"/>
        <v>0.9965698076</v>
      </c>
      <c r="I3836" s="4" t="str">
        <f t="shared" si="2"/>
        <v>C</v>
      </c>
    </row>
    <row r="3837">
      <c r="A3837" s="2">
        <v>3836.0</v>
      </c>
      <c r="B3837" s="2" t="s">
        <v>4701</v>
      </c>
      <c r="C3837" s="2" t="s">
        <v>4702</v>
      </c>
      <c r="D3837" s="2">
        <v>8.5</v>
      </c>
      <c r="E3837" s="2">
        <v>10.0</v>
      </c>
      <c r="F3837" s="2">
        <v>89.24</v>
      </c>
      <c r="G3837" s="4">
        <f t="shared" si="3"/>
        <v>9511768.06</v>
      </c>
      <c r="H3837" s="4">
        <f t="shared" si="1"/>
        <v>0.9965791576</v>
      </c>
      <c r="I3837" s="4" t="str">
        <f t="shared" si="2"/>
        <v>C</v>
      </c>
    </row>
    <row r="3838">
      <c r="A3838" s="2">
        <v>3837.0</v>
      </c>
      <c r="B3838" s="2" t="s">
        <v>4703</v>
      </c>
      <c r="C3838" s="2" t="s">
        <v>4704</v>
      </c>
      <c r="D3838" s="2">
        <v>4.15</v>
      </c>
      <c r="E3838" s="2">
        <v>23.0</v>
      </c>
      <c r="F3838" s="2">
        <v>89.06</v>
      </c>
      <c r="G3838" s="4">
        <f t="shared" si="3"/>
        <v>9511857.12</v>
      </c>
      <c r="H3838" s="4">
        <f t="shared" si="1"/>
        <v>0.9965884887</v>
      </c>
      <c r="I3838" s="4" t="str">
        <f t="shared" si="2"/>
        <v>C</v>
      </c>
    </row>
    <row r="3839">
      <c r="A3839" s="2">
        <v>3838.0</v>
      </c>
      <c r="B3839" s="2">
        <v>21031.0</v>
      </c>
      <c r="C3839" s="2" t="s">
        <v>4705</v>
      </c>
      <c r="D3839" s="2">
        <v>1.25</v>
      </c>
      <c r="E3839" s="2">
        <v>72.0</v>
      </c>
      <c r="F3839" s="2">
        <v>88.98</v>
      </c>
      <c r="G3839" s="4">
        <f t="shared" si="3"/>
        <v>9511946.1</v>
      </c>
      <c r="H3839" s="4">
        <f t="shared" si="1"/>
        <v>0.9965978114</v>
      </c>
      <c r="I3839" s="4" t="str">
        <f t="shared" si="2"/>
        <v>C</v>
      </c>
    </row>
    <row r="3840">
      <c r="A3840" s="2">
        <v>3839.0</v>
      </c>
      <c r="B3840" s="2" t="s">
        <v>4706</v>
      </c>
      <c r="C3840" s="2" t="s">
        <v>4707</v>
      </c>
      <c r="D3840" s="2">
        <v>5.95</v>
      </c>
      <c r="E3840" s="2">
        <v>14.0</v>
      </c>
      <c r="F3840" s="2">
        <v>88.65</v>
      </c>
      <c r="G3840" s="4">
        <f t="shared" si="3"/>
        <v>9512034.75</v>
      </c>
      <c r="H3840" s="4">
        <f t="shared" si="1"/>
        <v>0.9966070996</v>
      </c>
      <c r="I3840" s="4" t="str">
        <f t="shared" si="2"/>
        <v>C</v>
      </c>
    </row>
    <row r="3841">
      <c r="A3841" s="2">
        <v>3840.0</v>
      </c>
      <c r="B3841" s="2" t="s">
        <v>4708</v>
      </c>
      <c r="C3841" s="2" t="s">
        <v>4709</v>
      </c>
      <c r="D3841" s="2">
        <v>2.1</v>
      </c>
      <c r="E3841" s="2">
        <v>261.0</v>
      </c>
      <c r="F3841" s="2">
        <v>88.56</v>
      </c>
      <c r="G3841" s="4">
        <f t="shared" si="3"/>
        <v>9512123.31</v>
      </c>
      <c r="H3841" s="4">
        <f t="shared" si="1"/>
        <v>0.9966163783</v>
      </c>
      <c r="I3841" s="4" t="str">
        <f t="shared" si="2"/>
        <v>C</v>
      </c>
    </row>
    <row r="3842">
      <c r="A3842" s="2">
        <v>3841.0</v>
      </c>
      <c r="B3842" s="2" t="s">
        <v>4710</v>
      </c>
      <c r="C3842" s="2" t="s">
        <v>4711</v>
      </c>
      <c r="D3842" s="2">
        <v>3.75</v>
      </c>
      <c r="E3842" s="2">
        <v>24.0</v>
      </c>
      <c r="F3842" s="2">
        <v>88.27</v>
      </c>
      <c r="G3842" s="4">
        <f t="shared" si="3"/>
        <v>9512211.58</v>
      </c>
      <c r="H3842" s="4">
        <f t="shared" si="1"/>
        <v>0.9966256266</v>
      </c>
      <c r="I3842" s="4" t="str">
        <f t="shared" si="2"/>
        <v>C</v>
      </c>
    </row>
    <row r="3843">
      <c r="A3843" s="2">
        <v>3842.0</v>
      </c>
      <c r="B3843" s="2">
        <v>90072.0</v>
      </c>
      <c r="C3843" s="2" t="s">
        <v>4712</v>
      </c>
      <c r="D3843" s="2">
        <v>4.2</v>
      </c>
      <c r="E3843" s="2">
        <v>22.0</v>
      </c>
      <c r="F3843" s="2">
        <v>88.16</v>
      </c>
      <c r="G3843" s="4">
        <f t="shared" si="3"/>
        <v>9512299.74</v>
      </c>
      <c r="H3843" s="4">
        <f t="shared" si="1"/>
        <v>0.9966348634</v>
      </c>
      <c r="I3843" s="4" t="str">
        <f t="shared" si="2"/>
        <v>C</v>
      </c>
    </row>
    <row r="3844">
      <c r="A3844" s="2">
        <v>3843.0</v>
      </c>
      <c r="B3844" s="2">
        <v>84452.0</v>
      </c>
      <c r="C3844" s="2" t="s">
        <v>4713</v>
      </c>
      <c r="D3844" s="2">
        <v>0.85</v>
      </c>
      <c r="E3844" s="2">
        <v>93.0</v>
      </c>
      <c r="F3844" s="2">
        <v>87.98</v>
      </c>
      <c r="G3844" s="4">
        <f t="shared" si="3"/>
        <v>9512387.72</v>
      </c>
      <c r="H3844" s="4">
        <f t="shared" si="1"/>
        <v>0.9966440814</v>
      </c>
      <c r="I3844" s="4" t="str">
        <f t="shared" si="2"/>
        <v>C</v>
      </c>
    </row>
    <row r="3845">
      <c r="A3845" s="2">
        <v>3844.0</v>
      </c>
      <c r="B3845" s="2" t="s">
        <v>4714</v>
      </c>
      <c r="C3845" s="2" t="s">
        <v>4715</v>
      </c>
      <c r="D3845" s="2">
        <v>2.51</v>
      </c>
      <c r="E3845" s="2">
        <v>58.0</v>
      </c>
      <c r="F3845" s="2">
        <v>87.8</v>
      </c>
      <c r="G3845" s="4">
        <f t="shared" si="3"/>
        <v>9512475.52</v>
      </c>
      <c r="H3845" s="4">
        <f t="shared" si="1"/>
        <v>0.9966532805</v>
      </c>
      <c r="I3845" s="4" t="str">
        <f t="shared" si="2"/>
        <v>C</v>
      </c>
    </row>
    <row r="3846">
      <c r="A3846" s="2">
        <v>3845.0</v>
      </c>
      <c r="B3846" s="2">
        <v>84564.0</v>
      </c>
      <c r="C3846" s="2" t="s">
        <v>4716</v>
      </c>
      <c r="D3846" s="2">
        <v>7.95</v>
      </c>
      <c r="E3846" s="2">
        <v>10.0</v>
      </c>
      <c r="F3846" s="2">
        <v>87.74</v>
      </c>
      <c r="G3846" s="4">
        <f t="shared" si="3"/>
        <v>9512563.26</v>
      </c>
      <c r="H3846" s="4">
        <f t="shared" si="1"/>
        <v>0.9966624733</v>
      </c>
      <c r="I3846" s="4" t="str">
        <f t="shared" si="2"/>
        <v>C</v>
      </c>
    </row>
    <row r="3847">
      <c r="A3847" s="2">
        <v>3846.0</v>
      </c>
      <c r="B3847" s="2">
        <v>22886.0</v>
      </c>
      <c r="C3847" s="2" t="s">
        <v>4717</v>
      </c>
      <c r="D3847" s="2">
        <v>2.17</v>
      </c>
      <c r="E3847" s="2">
        <v>49.0</v>
      </c>
      <c r="F3847" s="2">
        <v>87.08</v>
      </c>
      <c r="G3847" s="4">
        <f t="shared" si="3"/>
        <v>9512650.34</v>
      </c>
      <c r="H3847" s="4">
        <f t="shared" si="1"/>
        <v>0.996671597</v>
      </c>
      <c r="I3847" s="4" t="str">
        <f t="shared" si="2"/>
        <v>C</v>
      </c>
    </row>
    <row r="3848">
      <c r="A3848" s="2">
        <v>3847.0</v>
      </c>
      <c r="B3848" s="2">
        <v>75011.0</v>
      </c>
      <c r="C3848" s="2" t="s">
        <v>4718</v>
      </c>
      <c r="D3848" s="2">
        <v>0.79</v>
      </c>
      <c r="E3848" s="2">
        <v>90.0</v>
      </c>
      <c r="F3848" s="2">
        <v>86.26</v>
      </c>
      <c r="G3848" s="4">
        <f t="shared" si="3"/>
        <v>9512736.6</v>
      </c>
      <c r="H3848" s="4">
        <f t="shared" si="1"/>
        <v>0.9966806347</v>
      </c>
      <c r="I3848" s="4" t="str">
        <f t="shared" si="2"/>
        <v>C</v>
      </c>
    </row>
    <row r="3849">
      <c r="A3849" s="2">
        <v>3848.0</v>
      </c>
      <c r="B3849" s="2" t="s">
        <v>4719</v>
      </c>
      <c r="C3849" s="2" t="s">
        <v>4720</v>
      </c>
      <c r="D3849" s="2">
        <v>5.95</v>
      </c>
      <c r="E3849" s="2">
        <v>14.0</v>
      </c>
      <c r="F3849" s="2">
        <v>86.2</v>
      </c>
      <c r="G3849" s="4">
        <f t="shared" si="3"/>
        <v>9512822.8</v>
      </c>
      <c r="H3849" s="4">
        <f t="shared" si="1"/>
        <v>0.9966896662</v>
      </c>
      <c r="I3849" s="4" t="str">
        <f t="shared" si="2"/>
        <v>C</v>
      </c>
    </row>
    <row r="3850">
      <c r="A3850" s="2">
        <v>3849.0</v>
      </c>
      <c r="B3850" s="2" t="s">
        <v>4721</v>
      </c>
      <c r="C3850" s="2" t="s">
        <v>4722</v>
      </c>
      <c r="D3850" s="2">
        <v>5.94</v>
      </c>
      <c r="E3850" s="2">
        <v>14.0</v>
      </c>
      <c r="F3850" s="2">
        <v>86.04</v>
      </c>
      <c r="G3850" s="4">
        <f t="shared" si="3"/>
        <v>9512908.84</v>
      </c>
      <c r="H3850" s="4">
        <f t="shared" si="1"/>
        <v>0.9966986808</v>
      </c>
      <c r="I3850" s="4" t="str">
        <f t="shared" si="2"/>
        <v>C</v>
      </c>
    </row>
    <row r="3851">
      <c r="A3851" s="2">
        <v>3850.0</v>
      </c>
      <c r="B3851" s="2" t="s">
        <v>4723</v>
      </c>
      <c r="C3851" s="2" t="s">
        <v>4724</v>
      </c>
      <c r="D3851" s="2">
        <v>2.95</v>
      </c>
      <c r="E3851" s="2">
        <v>29.0</v>
      </c>
      <c r="F3851" s="2">
        <v>85.55</v>
      </c>
      <c r="G3851" s="4">
        <f t="shared" si="3"/>
        <v>9512994.39</v>
      </c>
      <c r="H3851" s="4">
        <f t="shared" si="1"/>
        <v>0.9967076442</v>
      </c>
      <c r="I3851" s="4" t="str">
        <f t="shared" si="2"/>
        <v>C</v>
      </c>
    </row>
    <row r="3852">
      <c r="A3852" s="2">
        <v>3851.0</v>
      </c>
      <c r="B3852" s="2">
        <v>21461.0</v>
      </c>
      <c r="C3852" s="2" t="s">
        <v>4725</v>
      </c>
      <c r="D3852" s="2">
        <v>1.95</v>
      </c>
      <c r="E3852" s="2">
        <v>41.0</v>
      </c>
      <c r="F3852" s="2">
        <v>85.52</v>
      </c>
      <c r="G3852" s="4">
        <f t="shared" si="3"/>
        <v>9513079.91</v>
      </c>
      <c r="H3852" s="4">
        <f t="shared" si="1"/>
        <v>0.9967166044</v>
      </c>
      <c r="I3852" s="4" t="str">
        <f t="shared" si="2"/>
        <v>C</v>
      </c>
    </row>
    <row r="3853">
      <c r="A3853" s="2">
        <v>3852.0</v>
      </c>
      <c r="B3853" s="2" t="s">
        <v>4726</v>
      </c>
      <c r="C3853" s="2" t="s">
        <v>4727</v>
      </c>
      <c r="D3853" s="2">
        <v>1.95</v>
      </c>
      <c r="E3853" s="2">
        <v>42.0</v>
      </c>
      <c r="F3853" s="2">
        <v>85.4</v>
      </c>
      <c r="G3853" s="4">
        <f t="shared" si="3"/>
        <v>9513165.31</v>
      </c>
      <c r="H3853" s="4">
        <f t="shared" si="1"/>
        <v>0.996725552</v>
      </c>
      <c r="I3853" s="4" t="str">
        <f t="shared" si="2"/>
        <v>C</v>
      </c>
    </row>
    <row r="3854">
      <c r="A3854" s="2">
        <v>3853.0</v>
      </c>
      <c r="B3854" s="2" t="s">
        <v>4728</v>
      </c>
      <c r="C3854" s="2" t="s">
        <v>4729</v>
      </c>
      <c r="D3854" s="2">
        <v>8.5</v>
      </c>
      <c r="E3854" s="2">
        <v>10.0</v>
      </c>
      <c r="F3854" s="2">
        <v>85.08</v>
      </c>
      <c r="G3854" s="4">
        <f t="shared" si="3"/>
        <v>9513250.39</v>
      </c>
      <c r="H3854" s="4">
        <f t="shared" si="1"/>
        <v>0.9967344662</v>
      </c>
      <c r="I3854" s="4" t="str">
        <f t="shared" si="2"/>
        <v>C</v>
      </c>
    </row>
    <row r="3855">
      <c r="A3855" s="2">
        <v>3854.0</v>
      </c>
      <c r="B3855" s="2" t="s">
        <v>4730</v>
      </c>
      <c r="C3855" s="2" t="s">
        <v>4731</v>
      </c>
      <c r="D3855" s="2">
        <v>1.65</v>
      </c>
      <c r="E3855" s="2">
        <v>138.0</v>
      </c>
      <c r="F3855" s="2">
        <v>85.06</v>
      </c>
      <c r="G3855" s="4">
        <f t="shared" si="3"/>
        <v>9513335.45</v>
      </c>
      <c r="H3855" s="4">
        <f t="shared" si="1"/>
        <v>0.9967433782</v>
      </c>
      <c r="I3855" s="4" t="str">
        <f t="shared" si="2"/>
        <v>C</v>
      </c>
    </row>
    <row r="3856">
      <c r="A3856" s="2">
        <v>3855.0</v>
      </c>
      <c r="B3856" s="2" t="s">
        <v>4732</v>
      </c>
      <c r="C3856" s="2" t="s">
        <v>1317</v>
      </c>
      <c r="D3856" s="2">
        <v>3.29</v>
      </c>
      <c r="E3856" s="2">
        <v>26.0</v>
      </c>
      <c r="F3856" s="2">
        <v>84.88</v>
      </c>
      <c r="G3856" s="4">
        <f t="shared" si="3"/>
        <v>9513420.33</v>
      </c>
      <c r="H3856" s="4">
        <f t="shared" si="1"/>
        <v>0.9967522713</v>
      </c>
      <c r="I3856" s="4" t="str">
        <f t="shared" si="2"/>
        <v>C</v>
      </c>
    </row>
    <row r="3857">
      <c r="A3857" s="2">
        <v>3856.0</v>
      </c>
      <c r="B3857" s="2" t="s">
        <v>4733</v>
      </c>
      <c r="C3857" s="2" t="s">
        <v>602</v>
      </c>
      <c r="D3857" s="2">
        <v>21.23</v>
      </c>
      <c r="E3857" s="2">
        <v>4.0</v>
      </c>
      <c r="F3857" s="2">
        <v>84.7</v>
      </c>
      <c r="G3857" s="4">
        <f t="shared" si="3"/>
        <v>9513505.03</v>
      </c>
      <c r="H3857" s="4">
        <f t="shared" si="1"/>
        <v>0.9967611456</v>
      </c>
      <c r="I3857" s="4" t="str">
        <f t="shared" si="2"/>
        <v>C</v>
      </c>
    </row>
    <row r="3858">
      <c r="A3858" s="2">
        <v>3857.0</v>
      </c>
      <c r="B3858" s="2" t="s">
        <v>4734</v>
      </c>
      <c r="C3858" s="2" t="s">
        <v>4735</v>
      </c>
      <c r="D3858" s="2">
        <v>0.83</v>
      </c>
      <c r="E3858" s="2">
        <v>96.0</v>
      </c>
      <c r="F3858" s="2">
        <v>84.68</v>
      </c>
      <c r="G3858" s="4">
        <f t="shared" si="3"/>
        <v>9513589.71</v>
      </c>
      <c r="H3858" s="4">
        <f t="shared" si="1"/>
        <v>0.9967700178</v>
      </c>
      <c r="I3858" s="4" t="str">
        <f t="shared" si="2"/>
        <v>C</v>
      </c>
    </row>
    <row r="3859">
      <c r="A3859" s="2">
        <v>3858.0</v>
      </c>
      <c r="B3859" s="2" t="s">
        <v>4736</v>
      </c>
      <c r="C3859" s="2" t="s">
        <v>4737</v>
      </c>
      <c r="D3859" s="2">
        <v>1.65</v>
      </c>
      <c r="E3859" s="2">
        <v>30.0</v>
      </c>
      <c r="F3859" s="2">
        <v>84.58</v>
      </c>
      <c r="G3859" s="4">
        <f t="shared" si="3"/>
        <v>9513674.29</v>
      </c>
      <c r="H3859" s="4">
        <f t="shared" si="1"/>
        <v>0.9967788796</v>
      </c>
      <c r="I3859" s="4" t="str">
        <f t="shared" si="2"/>
        <v>C</v>
      </c>
    </row>
    <row r="3860">
      <c r="A3860" s="2">
        <v>3859.0</v>
      </c>
      <c r="B3860" s="2">
        <v>90166.0</v>
      </c>
      <c r="C3860" s="2" t="s">
        <v>4738</v>
      </c>
      <c r="D3860" s="2">
        <v>4.24</v>
      </c>
      <c r="E3860" s="2">
        <v>20.0</v>
      </c>
      <c r="F3860" s="2">
        <v>84.47</v>
      </c>
      <c r="G3860" s="4">
        <f t="shared" si="3"/>
        <v>9513758.76</v>
      </c>
      <c r="H3860" s="4">
        <f t="shared" si="1"/>
        <v>0.9967877298</v>
      </c>
      <c r="I3860" s="4" t="str">
        <f t="shared" si="2"/>
        <v>C</v>
      </c>
    </row>
    <row r="3861">
      <c r="A3861" s="2">
        <v>3860.0</v>
      </c>
      <c r="B3861" s="2" t="s">
        <v>4739</v>
      </c>
      <c r="C3861" s="2" t="s">
        <v>4740</v>
      </c>
      <c r="D3861" s="2">
        <v>5.4</v>
      </c>
      <c r="E3861" s="2">
        <v>16.0</v>
      </c>
      <c r="F3861" s="2">
        <v>84.31</v>
      </c>
      <c r="G3861" s="4">
        <f t="shared" si="3"/>
        <v>9513843.07</v>
      </c>
      <c r="H3861" s="4">
        <f t="shared" si="1"/>
        <v>0.9967965632</v>
      </c>
      <c r="I3861" s="4" t="str">
        <f t="shared" si="2"/>
        <v>C</v>
      </c>
    </row>
    <row r="3862">
      <c r="A3862" s="2">
        <v>3861.0</v>
      </c>
      <c r="B3862" s="2" t="s">
        <v>4741</v>
      </c>
      <c r="C3862" s="2" t="s">
        <v>4742</v>
      </c>
      <c r="D3862" s="2">
        <v>6.75</v>
      </c>
      <c r="E3862" s="2">
        <v>12.0</v>
      </c>
      <c r="F3862" s="2">
        <v>84.18</v>
      </c>
      <c r="G3862" s="4">
        <f t="shared" si="3"/>
        <v>9513927.25</v>
      </c>
      <c r="H3862" s="4">
        <f t="shared" si="1"/>
        <v>0.996805383</v>
      </c>
      <c r="I3862" s="4" t="str">
        <f t="shared" si="2"/>
        <v>C</v>
      </c>
    </row>
    <row r="3863">
      <c r="A3863" s="2">
        <v>3862.0</v>
      </c>
      <c r="B3863" s="2" t="s">
        <v>4743</v>
      </c>
      <c r="C3863" s="2" t="s">
        <v>4744</v>
      </c>
      <c r="D3863" s="2">
        <v>2.55</v>
      </c>
      <c r="E3863" s="2">
        <v>33.0</v>
      </c>
      <c r="F3863" s="2">
        <v>84.15</v>
      </c>
      <c r="G3863" s="4">
        <f t="shared" si="3"/>
        <v>9514011.4</v>
      </c>
      <c r="H3863" s="4">
        <f t="shared" si="1"/>
        <v>0.9968141997</v>
      </c>
      <c r="I3863" s="4" t="str">
        <f t="shared" si="2"/>
        <v>C</v>
      </c>
    </row>
    <row r="3864">
      <c r="A3864" s="2">
        <v>3863.0</v>
      </c>
      <c r="B3864" s="2" t="s">
        <v>4745</v>
      </c>
      <c r="C3864" s="2" t="s">
        <v>4746</v>
      </c>
      <c r="D3864" s="2">
        <v>2.95</v>
      </c>
      <c r="E3864" s="2">
        <v>28.0</v>
      </c>
      <c r="F3864" s="2">
        <v>84.13</v>
      </c>
      <c r="G3864" s="4">
        <f t="shared" si="3"/>
        <v>9514095.53</v>
      </c>
      <c r="H3864" s="4">
        <f t="shared" si="1"/>
        <v>0.9968230143</v>
      </c>
      <c r="I3864" s="4" t="str">
        <f t="shared" si="2"/>
        <v>C</v>
      </c>
    </row>
    <row r="3865">
      <c r="A3865" s="2">
        <v>3864.0</v>
      </c>
      <c r="B3865" s="2">
        <v>21087.0</v>
      </c>
      <c r="C3865" s="2" t="s">
        <v>4747</v>
      </c>
      <c r="D3865" s="2">
        <v>0.65</v>
      </c>
      <c r="E3865" s="2">
        <v>130.0</v>
      </c>
      <c r="F3865" s="2">
        <v>84.04</v>
      </c>
      <c r="G3865" s="4">
        <f t="shared" si="3"/>
        <v>9514179.57</v>
      </c>
      <c r="H3865" s="4">
        <f t="shared" si="1"/>
        <v>0.9968318194</v>
      </c>
      <c r="I3865" s="4" t="str">
        <f t="shared" si="2"/>
        <v>C</v>
      </c>
    </row>
    <row r="3866">
      <c r="A3866" s="2">
        <v>3865.0</v>
      </c>
      <c r="B3866" s="2" t="s">
        <v>4748</v>
      </c>
      <c r="C3866" s="2" t="s">
        <v>4749</v>
      </c>
      <c r="D3866" s="2">
        <v>0.83</v>
      </c>
      <c r="E3866" s="2">
        <v>98.0</v>
      </c>
      <c r="F3866" s="2">
        <v>83.96</v>
      </c>
      <c r="G3866" s="4">
        <f t="shared" si="3"/>
        <v>9514263.53</v>
      </c>
      <c r="H3866" s="4">
        <f t="shared" si="1"/>
        <v>0.9968406162</v>
      </c>
      <c r="I3866" s="4" t="str">
        <f t="shared" si="2"/>
        <v>C</v>
      </c>
    </row>
    <row r="3867">
      <c r="A3867" s="2">
        <v>3866.0</v>
      </c>
      <c r="B3867" s="2" t="s">
        <v>4750</v>
      </c>
      <c r="C3867" s="2" t="s">
        <v>4751</v>
      </c>
      <c r="D3867" s="2">
        <v>1.63</v>
      </c>
      <c r="E3867" s="2">
        <v>78.0</v>
      </c>
      <c r="F3867" s="2">
        <v>83.78</v>
      </c>
      <c r="G3867" s="4">
        <f t="shared" si="3"/>
        <v>9514347.31</v>
      </c>
      <c r="H3867" s="4">
        <f t="shared" si="1"/>
        <v>0.9968493941</v>
      </c>
      <c r="I3867" s="4" t="str">
        <f t="shared" si="2"/>
        <v>C</v>
      </c>
    </row>
    <row r="3868">
      <c r="A3868" s="2">
        <v>3867.0</v>
      </c>
      <c r="B3868" s="2" t="s">
        <v>4752</v>
      </c>
      <c r="C3868" s="2" t="s">
        <v>4753</v>
      </c>
      <c r="D3868" s="2">
        <v>5.95</v>
      </c>
      <c r="E3868" s="2">
        <v>14.0</v>
      </c>
      <c r="F3868" s="2">
        <v>83.3</v>
      </c>
      <c r="G3868" s="4">
        <f t="shared" si="3"/>
        <v>9514430.61</v>
      </c>
      <c r="H3868" s="4">
        <f t="shared" si="1"/>
        <v>0.9968581217</v>
      </c>
      <c r="I3868" s="4" t="str">
        <f t="shared" si="2"/>
        <v>C</v>
      </c>
    </row>
    <row r="3869">
      <c r="A3869" s="2">
        <v>3868.0</v>
      </c>
      <c r="B3869" s="2" t="s">
        <v>4754</v>
      </c>
      <c r="C3869" s="2" t="s">
        <v>4755</v>
      </c>
      <c r="D3869" s="2">
        <v>5.94</v>
      </c>
      <c r="E3869" s="2">
        <v>14.0</v>
      </c>
      <c r="F3869" s="2">
        <v>83.29</v>
      </c>
      <c r="G3869" s="4">
        <f t="shared" si="3"/>
        <v>9514513.9</v>
      </c>
      <c r="H3869" s="4">
        <f t="shared" si="1"/>
        <v>0.9968668482</v>
      </c>
      <c r="I3869" s="4" t="str">
        <f t="shared" si="2"/>
        <v>C</v>
      </c>
    </row>
    <row r="3870">
      <c r="A3870" s="2">
        <v>3869.0</v>
      </c>
      <c r="B3870" s="2">
        <v>84231.0</v>
      </c>
      <c r="C3870" s="2" t="s">
        <v>4756</v>
      </c>
      <c r="D3870" s="2">
        <v>0.65</v>
      </c>
      <c r="E3870" s="2">
        <v>115.0</v>
      </c>
      <c r="F3870" s="2">
        <v>83.1</v>
      </c>
      <c r="G3870" s="4">
        <f t="shared" si="3"/>
        <v>9514597</v>
      </c>
      <c r="H3870" s="4">
        <f t="shared" si="1"/>
        <v>0.9968755549</v>
      </c>
      <c r="I3870" s="4" t="str">
        <f t="shared" si="2"/>
        <v>C</v>
      </c>
    </row>
    <row r="3871">
      <c r="A3871" s="2">
        <v>3870.0</v>
      </c>
      <c r="B3871" s="2" t="s">
        <v>4757</v>
      </c>
      <c r="C3871" s="2" t="s">
        <v>4758</v>
      </c>
      <c r="D3871" s="2">
        <v>0.85</v>
      </c>
      <c r="E3871" s="2">
        <v>88.0</v>
      </c>
      <c r="F3871" s="2">
        <v>83.03</v>
      </c>
      <c r="G3871" s="4">
        <f t="shared" si="3"/>
        <v>9514680.03</v>
      </c>
      <c r="H3871" s="4">
        <f t="shared" si="1"/>
        <v>0.9968842542</v>
      </c>
      <c r="I3871" s="4" t="str">
        <f t="shared" si="2"/>
        <v>C</v>
      </c>
    </row>
    <row r="3872">
      <c r="A3872" s="2">
        <v>3871.0</v>
      </c>
      <c r="B3872" s="2">
        <v>23694.0</v>
      </c>
      <c r="C3872" s="2" t="s">
        <v>4759</v>
      </c>
      <c r="D3872" s="2">
        <v>0.42</v>
      </c>
      <c r="E3872" s="2">
        <v>188.0</v>
      </c>
      <c r="F3872" s="2">
        <v>82.54</v>
      </c>
      <c r="G3872" s="4">
        <f t="shared" si="3"/>
        <v>9514762.57</v>
      </c>
      <c r="H3872" s="4">
        <f t="shared" si="1"/>
        <v>0.9968929022</v>
      </c>
      <c r="I3872" s="4" t="str">
        <f t="shared" si="2"/>
        <v>C</v>
      </c>
    </row>
    <row r="3873">
      <c r="A3873" s="2">
        <v>3872.0</v>
      </c>
      <c r="B3873" s="2" t="s">
        <v>4760</v>
      </c>
      <c r="C3873" s="2" t="s">
        <v>4761</v>
      </c>
      <c r="D3873" s="2">
        <v>0.39</v>
      </c>
      <c r="E3873" s="2">
        <v>91.0</v>
      </c>
      <c r="F3873" s="2">
        <v>82.38</v>
      </c>
      <c r="G3873" s="4">
        <f t="shared" si="3"/>
        <v>9514844.95</v>
      </c>
      <c r="H3873" s="4">
        <f t="shared" si="1"/>
        <v>0.9969015334</v>
      </c>
      <c r="I3873" s="4" t="str">
        <f t="shared" si="2"/>
        <v>C</v>
      </c>
    </row>
    <row r="3874">
      <c r="A3874" s="2">
        <v>3873.0</v>
      </c>
      <c r="B3874" s="2" t="s">
        <v>4762</v>
      </c>
      <c r="C3874" s="2" t="s">
        <v>4763</v>
      </c>
      <c r="D3874" s="2">
        <v>4.24</v>
      </c>
      <c r="E3874" s="2">
        <v>20.0</v>
      </c>
      <c r="F3874" s="2">
        <v>82.31</v>
      </c>
      <c r="G3874" s="4">
        <f t="shared" si="3"/>
        <v>9514927.26</v>
      </c>
      <c r="H3874" s="4">
        <f t="shared" si="1"/>
        <v>0.9969101573</v>
      </c>
      <c r="I3874" s="4" t="str">
        <f t="shared" si="2"/>
        <v>C</v>
      </c>
    </row>
    <row r="3875">
      <c r="A3875" s="2">
        <v>3874.0</v>
      </c>
      <c r="B3875" s="2" t="s">
        <v>4764</v>
      </c>
      <c r="C3875" s="2" t="s">
        <v>4765</v>
      </c>
      <c r="D3875" s="2">
        <v>1.66</v>
      </c>
      <c r="E3875" s="2">
        <v>34.0</v>
      </c>
      <c r="F3875" s="2">
        <v>82.26</v>
      </c>
      <c r="G3875" s="4">
        <f t="shared" si="3"/>
        <v>9515009.52</v>
      </c>
      <c r="H3875" s="4">
        <f t="shared" si="1"/>
        <v>0.996918776</v>
      </c>
      <c r="I3875" s="4" t="str">
        <f t="shared" si="2"/>
        <v>C</v>
      </c>
    </row>
    <row r="3876">
      <c r="A3876" s="2">
        <v>3875.0</v>
      </c>
      <c r="B3876" s="2" t="s">
        <v>4766</v>
      </c>
      <c r="C3876" s="2" t="s">
        <v>4767</v>
      </c>
      <c r="D3876" s="2">
        <v>1.65</v>
      </c>
      <c r="E3876" s="2">
        <v>50.0</v>
      </c>
      <c r="F3876" s="2">
        <v>81.68</v>
      </c>
      <c r="G3876" s="4">
        <f t="shared" si="3"/>
        <v>9515091.2</v>
      </c>
      <c r="H3876" s="4">
        <f t="shared" si="1"/>
        <v>0.9969273339</v>
      </c>
      <c r="I3876" s="4" t="str">
        <f t="shared" si="2"/>
        <v>C</v>
      </c>
    </row>
    <row r="3877">
      <c r="A3877" s="2">
        <v>3876.0</v>
      </c>
      <c r="B3877" s="2" t="s">
        <v>4768</v>
      </c>
      <c r="C3877" s="2" t="s">
        <v>4769</v>
      </c>
      <c r="D3877" s="2">
        <v>3.81</v>
      </c>
      <c r="E3877" s="2">
        <v>22.0</v>
      </c>
      <c r="F3877" s="2">
        <v>81.33</v>
      </c>
      <c r="G3877" s="4">
        <f t="shared" si="3"/>
        <v>9515172.53</v>
      </c>
      <c r="H3877" s="4">
        <f t="shared" si="1"/>
        <v>0.9969358551</v>
      </c>
      <c r="I3877" s="4" t="str">
        <f t="shared" si="2"/>
        <v>C</v>
      </c>
    </row>
    <row r="3878">
      <c r="A3878" s="2">
        <v>3877.0</v>
      </c>
      <c r="B3878" s="2" t="s">
        <v>4770</v>
      </c>
      <c r="C3878" s="2" t="s">
        <v>4771</v>
      </c>
      <c r="D3878" s="2">
        <v>0.85</v>
      </c>
      <c r="E3878" s="2">
        <v>82.0</v>
      </c>
      <c r="F3878" s="2">
        <v>81.26</v>
      </c>
      <c r="G3878" s="4">
        <f t="shared" si="3"/>
        <v>9515253.79</v>
      </c>
      <c r="H3878" s="4">
        <f t="shared" si="1"/>
        <v>0.996944369</v>
      </c>
      <c r="I3878" s="4" t="str">
        <f t="shared" si="2"/>
        <v>C</v>
      </c>
    </row>
    <row r="3879">
      <c r="A3879" s="2">
        <v>3878.0</v>
      </c>
      <c r="B3879" s="2" t="s">
        <v>4772</v>
      </c>
      <c r="C3879" s="2" t="s">
        <v>4773</v>
      </c>
      <c r="D3879" s="2">
        <v>2.95</v>
      </c>
      <c r="E3879" s="2">
        <v>28.0</v>
      </c>
      <c r="F3879" s="2">
        <v>81.02</v>
      </c>
      <c r="G3879" s="4">
        <f t="shared" si="3"/>
        <v>9515334.81</v>
      </c>
      <c r="H3879" s="4">
        <f t="shared" si="1"/>
        <v>0.9969528577</v>
      </c>
      <c r="I3879" s="4" t="str">
        <f t="shared" si="2"/>
        <v>C</v>
      </c>
    </row>
    <row r="3880">
      <c r="A3880" s="2">
        <v>3879.0</v>
      </c>
      <c r="B3880" s="2">
        <v>20693.0</v>
      </c>
      <c r="C3880" s="2" t="s">
        <v>4774</v>
      </c>
      <c r="D3880" s="2">
        <v>4.25</v>
      </c>
      <c r="E3880" s="2">
        <v>16.0</v>
      </c>
      <c r="F3880" s="2">
        <v>80.95</v>
      </c>
      <c r="G3880" s="4">
        <f t="shared" si="3"/>
        <v>9515415.76</v>
      </c>
      <c r="H3880" s="4">
        <f t="shared" si="1"/>
        <v>0.9969613391</v>
      </c>
      <c r="I3880" s="4" t="str">
        <f t="shared" si="2"/>
        <v>C</v>
      </c>
    </row>
    <row r="3881">
      <c r="A3881" s="2">
        <v>3880.0</v>
      </c>
      <c r="B3881" s="2" t="s">
        <v>4775</v>
      </c>
      <c r="C3881" s="2" t="s">
        <v>4776</v>
      </c>
      <c r="D3881" s="2">
        <v>2.95</v>
      </c>
      <c r="E3881" s="2">
        <v>28.0</v>
      </c>
      <c r="F3881" s="2">
        <v>80.91</v>
      </c>
      <c r="G3881" s="4">
        <f t="shared" si="3"/>
        <v>9515496.67</v>
      </c>
      <c r="H3881" s="4">
        <f t="shared" si="1"/>
        <v>0.9969698163</v>
      </c>
      <c r="I3881" s="4" t="str">
        <f t="shared" si="2"/>
        <v>C</v>
      </c>
    </row>
    <row r="3882">
      <c r="A3882" s="2">
        <v>3881.0</v>
      </c>
      <c r="B3882" s="2">
        <v>84723.0</v>
      </c>
      <c r="C3882" s="2" t="s">
        <v>4777</v>
      </c>
      <c r="D3882" s="2">
        <v>7.95</v>
      </c>
      <c r="E3882" s="2">
        <v>24.0</v>
      </c>
      <c r="F3882" s="2">
        <v>80.78</v>
      </c>
      <c r="G3882" s="4">
        <f t="shared" si="3"/>
        <v>9515577.45</v>
      </c>
      <c r="H3882" s="4">
        <f t="shared" si="1"/>
        <v>0.9969782799</v>
      </c>
      <c r="I3882" s="4" t="str">
        <f t="shared" si="2"/>
        <v>C</v>
      </c>
    </row>
    <row r="3883">
      <c r="A3883" s="2">
        <v>3882.0</v>
      </c>
      <c r="B3883" s="2" t="s">
        <v>4778</v>
      </c>
      <c r="C3883" s="2" t="s">
        <v>4779</v>
      </c>
      <c r="D3883" s="2">
        <v>0.85</v>
      </c>
      <c r="E3883" s="2">
        <v>78.0</v>
      </c>
      <c r="F3883" s="2">
        <v>80.74</v>
      </c>
      <c r="G3883" s="4">
        <f t="shared" si="3"/>
        <v>9515658.19</v>
      </c>
      <c r="H3883" s="4">
        <f t="shared" si="1"/>
        <v>0.9969867393</v>
      </c>
      <c r="I3883" s="4" t="str">
        <f t="shared" si="2"/>
        <v>C</v>
      </c>
    </row>
    <row r="3884">
      <c r="A3884" s="2">
        <v>3883.0</v>
      </c>
      <c r="B3884" s="2" t="s">
        <v>4780</v>
      </c>
      <c r="C3884" s="2" t="s">
        <v>4781</v>
      </c>
      <c r="D3884" s="2">
        <v>2.54</v>
      </c>
      <c r="E3884" s="2">
        <v>32.0</v>
      </c>
      <c r="F3884" s="2">
        <v>80.4</v>
      </c>
      <c r="G3884" s="4">
        <f t="shared" si="3"/>
        <v>9515738.59</v>
      </c>
      <c r="H3884" s="4">
        <f t="shared" si="1"/>
        <v>0.996995163</v>
      </c>
      <c r="I3884" s="4" t="str">
        <f t="shared" si="2"/>
        <v>C</v>
      </c>
    </row>
    <row r="3885">
      <c r="A3885" s="2">
        <v>3884.0</v>
      </c>
      <c r="B3885" s="2" t="s">
        <v>4782</v>
      </c>
      <c r="C3885" s="2" t="s">
        <v>4783</v>
      </c>
      <c r="D3885" s="2">
        <v>5.95</v>
      </c>
      <c r="E3885" s="2">
        <v>14.0</v>
      </c>
      <c r="F3885" s="2">
        <v>80.38</v>
      </c>
      <c r="G3885" s="4">
        <f t="shared" si="3"/>
        <v>9515818.97</v>
      </c>
      <c r="H3885" s="4">
        <f t="shared" si="1"/>
        <v>0.9970035847</v>
      </c>
      <c r="I3885" s="4" t="str">
        <f t="shared" si="2"/>
        <v>C</v>
      </c>
    </row>
    <row r="3886">
      <c r="A3886" s="2">
        <v>3885.0</v>
      </c>
      <c r="B3886" s="2">
        <v>21353.0</v>
      </c>
      <c r="C3886" s="2" t="s">
        <v>4784</v>
      </c>
      <c r="D3886" s="2">
        <v>7.95</v>
      </c>
      <c r="E3886" s="2">
        <v>10.0</v>
      </c>
      <c r="F3886" s="2">
        <v>80.22</v>
      </c>
      <c r="G3886" s="4">
        <f t="shared" si="3"/>
        <v>9515899.19</v>
      </c>
      <c r="H3886" s="4">
        <f t="shared" si="1"/>
        <v>0.9970119896</v>
      </c>
      <c r="I3886" s="4" t="str">
        <f t="shared" si="2"/>
        <v>C</v>
      </c>
    </row>
    <row r="3887">
      <c r="A3887" s="2">
        <v>3886.0</v>
      </c>
      <c r="B3887" s="2">
        <v>22887.0</v>
      </c>
      <c r="C3887" s="2" t="s">
        <v>4785</v>
      </c>
      <c r="D3887" s="2">
        <v>3.15</v>
      </c>
      <c r="E3887" s="2">
        <v>46.0</v>
      </c>
      <c r="F3887" s="2">
        <v>80.18</v>
      </c>
      <c r="G3887" s="4">
        <f t="shared" si="3"/>
        <v>9515979.37</v>
      </c>
      <c r="H3887" s="4">
        <f t="shared" si="1"/>
        <v>0.9970203904</v>
      </c>
      <c r="I3887" s="4" t="str">
        <f t="shared" si="2"/>
        <v>C</v>
      </c>
    </row>
    <row r="3888">
      <c r="A3888" s="2">
        <v>3887.0</v>
      </c>
      <c r="B3888" s="2" t="s">
        <v>4786</v>
      </c>
      <c r="C3888" s="2" t="s">
        <v>4787</v>
      </c>
      <c r="D3888" s="2">
        <v>0.19</v>
      </c>
      <c r="E3888" s="2">
        <v>233.0</v>
      </c>
      <c r="F3888" s="2">
        <v>80.12</v>
      </c>
      <c r="G3888" s="4">
        <f t="shared" si="3"/>
        <v>9516059.49</v>
      </c>
      <c r="H3888" s="4">
        <f t="shared" si="1"/>
        <v>0.9970287848</v>
      </c>
      <c r="I3888" s="4" t="str">
        <f t="shared" si="2"/>
        <v>C</v>
      </c>
    </row>
    <row r="3889">
      <c r="A3889" s="2">
        <v>3888.0</v>
      </c>
      <c r="B3889" s="2">
        <v>84599.0</v>
      </c>
      <c r="C3889" s="2" t="s">
        <v>4788</v>
      </c>
      <c r="D3889" s="2">
        <v>12.04</v>
      </c>
      <c r="E3889" s="2">
        <v>8.0</v>
      </c>
      <c r="F3889" s="2">
        <v>80.08</v>
      </c>
      <c r="G3889" s="4">
        <f t="shared" si="3"/>
        <v>9516139.57</v>
      </c>
      <c r="H3889" s="4">
        <f t="shared" si="1"/>
        <v>0.997037175</v>
      </c>
      <c r="I3889" s="4" t="str">
        <f t="shared" si="2"/>
        <v>C</v>
      </c>
    </row>
    <row r="3890">
      <c r="A3890" s="2">
        <v>3889.0</v>
      </c>
      <c r="B3890" s="2">
        <v>23305.0</v>
      </c>
      <c r="C3890" s="2" t="s">
        <v>4789</v>
      </c>
      <c r="D3890" s="2">
        <v>1.95</v>
      </c>
      <c r="E3890" s="2">
        <v>41.0</v>
      </c>
      <c r="F3890" s="2">
        <v>79.95</v>
      </c>
      <c r="G3890" s="4">
        <f t="shared" si="3"/>
        <v>9516219.52</v>
      </c>
      <c r="H3890" s="4">
        <f t="shared" si="1"/>
        <v>0.9970455517</v>
      </c>
      <c r="I3890" s="4" t="str">
        <f t="shared" si="2"/>
        <v>C</v>
      </c>
    </row>
    <row r="3891">
      <c r="A3891" s="2">
        <v>3890.0</v>
      </c>
      <c r="B3891" s="2" t="s">
        <v>4790</v>
      </c>
      <c r="C3891" s="2" t="s">
        <v>4791</v>
      </c>
      <c r="D3891" s="2">
        <v>1.25</v>
      </c>
      <c r="E3891" s="2">
        <v>78.0</v>
      </c>
      <c r="F3891" s="2">
        <v>79.82</v>
      </c>
      <c r="G3891" s="4">
        <f t="shared" si="3"/>
        <v>9516299.34</v>
      </c>
      <c r="H3891" s="4">
        <f t="shared" si="1"/>
        <v>0.9970539147</v>
      </c>
      <c r="I3891" s="4" t="str">
        <f t="shared" si="2"/>
        <v>C</v>
      </c>
    </row>
    <row r="3892">
      <c r="A3892" s="2">
        <v>3891.0</v>
      </c>
      <c r="B3892" s="2" t="s">
        <v>4792</v>
      </c>
      <c r="C3892" s="2" t="s">
        <v>4793</v>
      </c>
      <c r="D3892" s="2">
        <v>2.95</v>
      </c>
      <c r="E3892" s="2">
        <v>27.0</v>
      </c>
      <c r="F3892" s="2">
        <v>79.65</v>
      </c>
      <c r="G3892" s="4">
        <f t="shared" si="3"/>
        <v>9516378.99</v>
      </c>
      <c r="H3892" s="4">
        <f t="shared" si="1"/>
        <v>0.9970622598</v>
      </c>
      <c r="I3892" s="4" t="str">
        <f t="shared" si="2"/>
        <v>C</v>
      </c>
    </row>
    <row r="3893">
      <c r="A3893" s="2">
        <v>3892.0</v>
      </c>
      <c r="B3893" s="2" t="s">
        <v>4794</v>
      </c>
      <c r="C3893" s="2" t="s">
        <v>4795</v>
      </c>
      <c r="D3893" s="2">
        <v>11.02</v>
      </c>
      <c r="E3893" s="2">
        <v>20.0</v>
      </c>
      <c r="F3893" s="2">
        <v>79.6</v>
      </c>
      <c r="G3893" s="4">
        <f t="shared" si="3"/>
        <v>9516458.59</v>
      </c>
      <c r="H3893" s="4">
        <f t="shared" si="1"/>
        <v>0.9970705998</v>
      </c>
      <c r="I3893" s="4" t="str">
        <f t="shared" si="2"/>
        <v>C</v>
      </c>
    </row>
    <row r="3894">
      <c r="A3894" s="2">
        <v>3893.0</v>
      </c>
      <c r="B3894" s="2">
        <v>16054.0</v>
      </c>
      <c r="C3894" s="2" t="s">
        <v>4796</v>
      </c>
      <c r="D3894" s="2">
        <v>0.12</v>
      </c>
      <c r="E3894" s="2">
        <v>605.0</v>
      </c>
      <c r="F3894" s="2">
        <v>79.5</v>
      </c>
      <c r="G3894" s="4">
        <f t="shared" si="3"/>
        <v>9516538.09</v>
      </c>
      <c r="H3894" s="4">
        <f t="shared" si="1"/>
        <v>0.9970789293</v>
      </c>
      <c r="I3894" s="4" t="str">
        <f t="shared" si="2"/>
        <v>C</v>
      </c>
    </row>
    <row r="3895">
      <c r="A3895" s="2">
        <v>3894.0</v>
      </c>
      <c r="B3895" s="2" t="s">
        <v>4797</v>
      </c>
      <c r="C3895" s="2" t="s">
        <v>4798</v>
      </c>
      <c r="D3895" s="2">
        <v>3.75</v>
      </c>
      <c r="E3895" s="2">
        <v>38.0</v>
      </c>
      <c r="F3895" s="2">
        <v>79.45</v>
      </c>
      <c r="G3895" s="4">
        <f t="shared" si="3"/>
        <v>9516617.54</v>
      </c>
      <c r="H3895" s="4">
        <f t="shared" si="1"/>
        <v>0.9970872535</v>
      </c>
      <c r="I3895" s="4" t="str">
        <f t="shared" si="2"/>
        <v>C</v>
      </c>
    </row>
    <row r="3896">
      <c r="A3896" s="2">
        <v>3895.0</v>
      </c>
      <c r="B3896" s="2" t="s">
        <v>4799</v>
      </c>
      <c r="C3896" s="2" t="s">
        <v>4800</v>
      </c>
      <c r="D3896" s="2">
        <v>2.1</v>
      </c>
      <c r="E3896" s="2">
        <v>68.0</v>
      </c>
      <c r="F3896" s="2">
        <v>79.39</v>
      </c>
      <c r="G3896" s="4">
        <f t="shared" si="3"/>
        <v>9516696.93</v>
      </c>
      <c r="H3896" s="4">
        <f t="shared" si="1"/>
        <v>0.9970955715</v>
      </c>
      <c r="I3896" s="4" t="str">
        <f t="shared" si="2"/>
        <v>C</v>
      </c>
    </row>
    <row r="3897">
      <c r="A3897" s="2">
        <v>3896.0</v>
      </c>
      <c r="B3897" s="2">
        <v>22864.0</v>
      </c>
      <c r="C3897" s="2" t="s">
        <v>4801</v>
      </c>
      <c r="D3897" s="2">
        <v>0.42</v>
      </c>
      <c r="E3897" s="2">
        <v>189.0</v>
      </c>
      <c r="F3897" s="2">
        <v>79.38</v>
      </c>
      <c r="G3897" s="4">
        <f t="shared" si="3"/>
        <v>9516776.31</v>
      </c>
      <c r="H3897" s="4">
        <f t="shared" si="1"/>
        <v>0.9971038884</v>
      </c>
      <c r="I3897" s="4" t="str">
        <f t="shared" si="2"/>
        <v>C</v>
      </c>
    </row>
    <row r="3898">
      <c r="A3898" s="2">
        <v>3897.0</v>
      </c>
      <c r="B3898" s="2">
        <v>82587.0</v>
      </c>
      <c r="C3898" s="2" t="s">
        <v>4802</v>
      </c>
      <c r="D3898" s="2">
        <v>1.25</v>
      </c>
      <c r="E3898" s="2">
        <v>60.0</v>
      </c>
      <c r="F3898" s="2">
        <v>79.02</v>
      </c>
      <c r="G3898" s="4">
        <f t="shared" si="3"/>
        <v>9516855.33</v>
      </c>
      <c r="H3898" s="4">
        <f t="shared" si="1"/>
        <v>0.9971121676</v>
      </c>
      <c r="I3898" s="4" t="str">
        <f t="shared" si="2"/>
        <v>C</v>
      </c>
    </row>
    <row r="3899">
      <c r="A3899" s="2">
        <v>3898.0</v>
      </c>
      <c r="B3899" s="2">
        <v>48175.0</v>
      </c>
      <c r="C3899" s="2" t="s">
        <v>4803</v>
      </c>
      <c r="D3899" s="2">
        <v>5.02</v>
      </c>
      <c r="E3899" s="2">
        <v>20.0</v>
      </c>
      <c r="F3899" s="2">
        <v>79.02</v>
      </c>
      <c r="G3899" s="4">
        <f t="shared" si="3"/>
        <v>9516934.35</v>
      </c>
      <c r="H3899" s="4">
        <f t="shared" si="1"/>
        <v>0.9971204467</v>
      </c>
      <c r="I3899" s="4" t="str">
        <f t="shared" si="2"/>
        <v>C</v>
      </c>
    </row>
    <row r="3900">
      <c r="A3900" s="2">
        <v>3899.0</v>
      </c>
      <c r="B3900" s="2">
        <v>21489.0</v>
      </c>
      <c r="C3900" s="2" t="s">
        <v>4804</v>
      </c>
      <c r="D3900" s="2">
        <v>3.95</v>
      </c>
      <c r="E3900" s="2">
        <v>14.0</v>
      </c>
      <c r="F3900" s="2">
        <v>78.8</v>
      </c>
      <c r="G3900" s="4">
        <f t="shared" si="3"/>
        <v>9517013.15</v>
      </c>
      <c r="H3900" s="4">
        <f t="shared" si="1"/>
        <v>0.9971287029</v>
      </c>
      <c r="I3900" s="4" t="str">
        <f t="shared" si="2"/>
        <v>C</v>
      </c>
    </row>
    <row r="3901">
      <c r="A3901" s="2">
        <v>3900.0</v>
      </c>
      <c r="B3901" s="2" t="s">
        <v>4805</v>
      </c>
      <c r="C3901" s="2" t="s">
        <v>4806</v>
      </c>
      <c r="D3901" s="2">
        <v>0.85</v>
      </c>
      <c r="E3901" s="2">
        <v>110.0</v>
      </c>
      <c r="F3901" s="2">
        <v>78.78</v>
      </c>
      <c r="G3901" s="4">
        <f t="shared" si="3"/>
        <v>9517091.93</v>
      </c>
      <c r="H3901" s="4">
        <f t="shared" si="1"/>
        <v>0.9971369569</v>
      </c>
      <c r="I3901" s="4" t="str">
        <f t="shared" si="2"/>
        <v>C</v>
      </c>
    </row>
    <row r="3902">
      <c r="A3902" s="2">
        <v>3901.0</v>
      </c>
      <c r="B3902" s="2">
        <v>23417.0</v>
      </c>
      <c r="C3902" s="2" t="s">
        <v>4807</v>
      </c>
      <c r="D3902" s="2">
        <v>1.65</v>
      </c>
      <c r="E3902" s="2">
        <v>73.0</v>
      </c>
      <c r="F3902" s="2">
        <v>78.75</v>
      </c>
      <c r="G3902" s="4">
        <f t="shared" si="3"/>
        <v>9517170.68</v>
      </c>
      <c r="H3902" s="4">
        <f t="shared" si="1"/>
        <v>0.9971452078</v>
      </c>
      <c r="I3902" s="4" t="str">
        <f t="shared" si="2"/>
        <v>C</v>
      </c>
    </row>
    <row r="3903">
      <c r="A3903" s="2">
        <v>3902.0</v>
      </c>
      <c r="B3903" s="2" t="s">
        <v>4808</v>
      </c>
      <c r="C3903" s="2" t="s">
        <v>4809</v>
      </c>
      <c r="D3903" s="2">
        <v>1.95</v>
      </c>
      <c r="E3903" s="2">
        <v>40.0</v>
      </c>
      <c r="F3903" s="2">
        <v>78.59</v>
      </c>
      <c r="G3903" s="4">
        <f t="shared" si="3"/>
        <v>9517249.27</v>
      </c>
      <c r="H3903" s="4">
        <f t="shared" si="1"/>
        <v>0.9971534419</v>
      </c>
      <c r="I3903" s="4" t="str">
        <f t="shared" si="2"/>
        <v>C</v>
      </c>
    </row>
    <row r="3904">
      <c r="A3904" s="2">
        <v>3903.0</v>
      </c>
      <c r="B3904" s="2">
        <v>23468.0</v>
      </c>
      <c r="C3904" s="2" t="s">
        <v>4810</v>
      </c>
      <c r="D3904" s="2">
        <v>8.25</v>
      </c>
      <c r="E3904" s="2">
        <v>10.0</v>
      </c>
      <c r="F3904" s="2">
        <v>78.38</v>
      </c>
      <c r="G3904" s="4">
        <f t="shared" si="3"/>
        <v>9517327.65</v>
      </c>
      <c r="H3904" s="4">
        <f t="shared" si="1"/>
        <v>0.9971616541</v>
      </c>
      <c r="I3904" s="4" t="str">
        <f t="shared" si="2"/>
        <v>C</v>
      </c>
    </row>
    <row r="3905">
      <c r="A3905" s="2">
        <v>3904.0</v>
      </c>
      <c r="B3905" s="2">
        <v>17178.0</v>
      </c>
      <c r="C3905" s="2" t="s">
        <v>4811</v>
      </c>
      <c r="D3905" s="2">
        <v>1.25</v>
      </c>
      <c r="E3905" s="2">
        <v>66.0</v>
      </c>
      <c r="F3905" s="2">
        <v>78.32</v>
      </c>
      <c r="G3905" s="4">
        <f t="shared" si="3"/>
        <v>9517405.97</v>
      </c>
      <c r="H3905" s="4">
        <f t="shared" si="1"/>
        <v>0.9971698599</v>
      </c>
      <c r="I3905" s="4" t="str">
        <f t="shared" si="2"/>
        <v>C</v>
      </c>
    </row>
    <row r="3906">
      <c r="A3906" s="2">
        <v>3905.0</v>
      </c>
      <c r="B3906" s="2">
        <v>84228.0</v>
      </c>
      <c r="C3906" s="2" t="s">
        <v>4812</v>
      </c>
      <c r="D3906" s="2">
        <v>0.62</v>
      </c>
      <c r="E3906" s="2">
        <v>177.0</v>
      </c>
      <c r="F3906" s="2">
        <v>78.04</v>
      </c>
      <c r="G3906" s="4">
        <f t="shared" si="3"/>
        <v>9517484.01</v>
      </c>
      <c r="H3906" s="4">
        <f t="shared" si="1"/>
        <v>0.9971780364</v>
      </c>
      <c r="I3906" s="4" t="str">
        <f t="shared" si="2"/>
        <v>C</v>
      </c>
    </row>
    <row r="3907">
      <c r="A3907" s="2">
        <v>3906.0</v>
      </c>
      <c r="B3907" s="2" t="s">
        <v>4813</v>
      </c>
      <c r="C3907" s="2" t="s">
        <v>4814</v>
      </c>
      <c r="D3907" s="2">
        <v>25.95</v>
      </c>
      <c r="E3907" s="2">
        <v>3.0</v>
      </c>
      <c r="F3907" s="2">
        <v>77.85</v>
      </c>
      <c r="G3907" s="4">
        <f t="shared" si="3"/>
        <v>9517561.86</v>
      </c>
      <c r="H3907" s="4">
        <f t="shared" si="1"/>
        <v>0.997186193</v>
      </c>
      <c r="I3907" s="4" t="str">
        <f t="shared" si="2"/>
        <v>C</v>
      </c>
    </row>
    <row r="3908">
      <c r="A3908" s="2">
        <v>3907.0</v>
      </c>
      <c r="B3908" s="2">
        <v>20664.0</v>
      </c>
      <c r="C3908" s="2" t="s">
        <v>4815</v>
      </c>
      <c r="D3908" s="2">
        <v>2.95</v>
      </c>
      <c r="E3908" s="2">
        <v>28.0</v>
      </c>
      <c r="F3908" s="2">
        <v>77.7</v>
      </c>
      <c r="G3908" s="4">
        <f t="shared" si="3"/>
        <v>9517639.56</v>
      </c>
      <c r="H3908" s="4">
        <f t="shared" si="1"/>
        <v>0.9971943339</v>
      </c>
      <c r="I3908" s="4" t="str">
        <f t="shared" si="2"/>
        <v>C</v>
      </c>
    </row>
    <row r="3909">
      <c r="A3909" s="2">
        <v>3908.0</v>
      </c>
      <c r="B3909" s="2">
        <v>90204.0</v>
      </c>
      <c r="C3909" s="2" t="s">
        <v>4816</v>
      </c>
      <c r="D3909" s="2">
        <v>3.37</v>
      </c>
      <c r="E3909" s="2">
        <v>23.0</v>
      </c>
      <c r="F3909" s="2">
        <v>77.53</v>
      </c>
      <c r="G3909" s="4">
        <f t="shared" si="3"/>
        <v>9517717.09</v>
      </c>
      <c r="H3909" s="4">
        <f t="shared" si="1"/>
        <v>0.997202457</v>
      </c>
      <c r="I3909" s="4" t="str">
        <f t="shared" si="2"/>
        <v>C</v>
      </c>
    </row>
    <row r="3910">
      <c r="A3910" s="2">
        <v>3909.0</v>
      </c>
      <c r="B3910" s="2" t="s">
        <v>4817</v>
      </c>
      <c r="C3910" s="2" t="s">
        <v>737</v>
      </c>
      <c r="D3910" s="2">
        <v>4.21</v>
      </c>
      <c r="E3910" s="2">
        <v>18.0</v>
      </c>
      <c r="F3910" s="2">
        <v>77.44</v>
      </c>
      <c r="G3910" s="4">
        <f t="shared" si="3"/>
        <v>9517794.53</v>
      </c>
      <c r="H3910" s="4">
        <f t="shared" si="1"/>
        <v>0.9972105706</v>
      </c>
      <c r="I3910" s="4" t="str">
        <f t="shared" si="2"/>
        <v>C</v>
      </c>
    </row>
    <row r="3911">
      <c r="A3911" s="2">
        <v>3910.0</v>
      </c>
      <c r="B3911" s="2" t="s">
        <v>4818</v>
      </c>
      <c r="C3911" s="2" t="s">
        <v>4819</v>
      </c>
      <c r="D3911" s="2">
        <v>3.75</v>
      </c>
      <c r="E3911" s="2">
        <v>248.0</v>
      </c>
      <c r="F3911" s="2">
        <v>77.28</v>
      </c>
      <c r="G3911" s="4">
        <f t="shared" si="3"/>
        <v>9517871.81</v>
      </c>
      <c r="H3911" s="4">
        <f t="shared" si="1"/>
        <v>0.9972186675</v>
      </c>
      <c r="I3911" s="4" t="str">
        <f t="shared" si="2"/>
        <v>C</v>
      </c>
    </row>
    <row r="3912">
      <c r="A3912" s="2">
        <v>3911.0</v>
      </c>
      <c r="B3912" s="2">
        <v>23496.0</v>
      </c>
      <c r="C3912" s="2" t="s">
        <v>4820</v>
      </c>
      <c r="D3912" s="2">
        <v>1.25</v>
      </c>
      <c r="E3912" s="2">
        <v>56.0</v>
      </c>
      <c r="F3912" s="2">
        <v>77.26</v>
      </c>
      <c r="G3912" s="4">
        <f t="shared" si="3"/>
        <v>9517949.07</v>
      </c>
      <c r="H3912" s="4">
        <f t="shared" si="1"/>
        <v>0.9972267623</v>
      </c>
      <c r="I3912" s="4" t="str">
        <f t="shared" si="2"/>
        <v>C</v>
      </c>
    </row>
    <row r="3913">
      <c r="A3913" s="2">
        <v>3912.0</v>
      </c>
      <c r="B3913" s="2" t="s">
        <v>4821</v>
      </c>
      <c r="C3913" s="2" t="s">
        <v>3720</v>
      </c>
      <c r="D3913" s="2">
        <v>2.46</v>
      </c>
      <c r="E3913" s="2">
        <v>31.0</v>
      </c>
      <c r="F3913" s="2">
        <v>76.83</v>
      </c>
      <c r="G3913" s="4">
        <f t="shared" si="3"/>
        <v>9518025.9</v>
      </c>
      <c r="H3913" s="4">
        <f t="shared" si="1"/>
        <v>0.997234812</v>
      </c>
      <c r="I3913" s="4" t="str">
        <f t="shared" si="2"/>
        <v>C</v>
      </c>
    </row>
    <row r="3914">
      <c r="A3914" s="2">
        <v>3913.0</v>
      </c>
      <c r="B3914" s="2" t="s">
        <v>4822</v>
      </c>
      <c r="C3914" s="2" t="s">
        <v>4823</v>
      </c>
      <c r="D3914" s="2">
        <v>0.12</v>
      </c>
      <c r="E3914" s="2">
        <v>452.0</v>
      </c>
      <c r="F3914" s="2">
        <v>76.57</v>
      </c>
      <c r="G3914" s="4">
        <f t="shared" si="3"/>
        <v>9518102.47</v>
      </c>
      <c r="H3914" s="4">
        <f t="shared" si="1"/>
        <v>0.9972428345</v>
      </c>
      <c r="I3914" s="4" t="str">
        <f t="shared" si="2"/>
        <v>C</v>
      </c>
    </row>
    <row r="3915">
      <c r="A3915" s="2">
        <v>3914.0</v>
      </c>
      <c r="B3915" s="2" t="s">
        <v>4824</v>
      </c>
      <c r="C3915" s="2" t="s">
        <v>4113</v>
      </c>
      <c r="D3915" s="2">
        <v>1.25</v>
      </c>
      <c r="E3915" s="2">
        <v>57.0</v>
      </c>
      <c r="F3915" s="2">
        <v>76.32</v>
      </c>
      <c r="G3915" s="4">
        <f t="shared" si="3"/>
        <v>9518178.79</v>
      </c>
      <c r="H3915" s="4">
        <f t="shared" si="1"/>
        <v>0.9972508308</v>
      </c>
      <c r="I3915" s="4" t="str">
        <f t="shared" si="2"/>
        <v>C</v>
      </c>
    </row>
    <row r="3916">
      <c r="A3916" s="2">
        <v>3915.0</v>
      </c>
      <c r="B3916" s="2">
        <v>84622.0</v>
      </c>
      <c r="C3916" s="2" t="s">
        <v>4825</v>
      </c>
      <c r="D3916" s="2">
        <v>5.95</v>
      </c>
      <c r="E3916" s="2">
        <v>12.0</v>
      </c>
      <c r="F3916" s="2">
        <v>76.3</v>
      </c>
      <c r="G3916" s="4">
        <f t="shared" si="3"/>
        <v>9518255.09</v>
      </c>
      <c r="H3916" s="4">
        <f t="shared" si="1"/>
        <v>0.997258825</v>
      </c>
      <c r="I3916" s="4" t="str">
        <f t="shared" si="2"/>
        <v>C</v>
      </c>
    </row>
    <row r="3917">
      <c r="A3917" s="2">
        <v>3916.0</v>
      </c>
      <c r="B3917" s="2" t="s">
        <v>4826</v>
      </c>
      <c r="C3917" s="2" t="s">
        <v>4827</v>
      </c>
      <c r="D3917" s="2">
        <v>3.41</v>
      </c>
      <c r="E3917" s="2">
        <v>44.0</v>
      </c>
      <c r="F3917" s="2">
        <v>75.65</v>
      </c>
      <c r="G3917" s="4">
        <f t="shared" si="3"/>
        <v>9518330.74</v>
      </c>
      <c r="H3917" s="4">
        <f t="shared" si="1"/>
        <v>0.9972667511</v>
      </c>
      <c r="I3917" s="4" t="str">
        <f t="shared" si="2"/>
        <v>C</v>
      </c>
    </row>
    <row r="3918">
      <c r="A3918" s="2">
        <v>3917.0</v>
      </c>
      <c r="B3918" s="2" t="s">
        <v>4828</v>
      </c>
      <c r="C3918" s="2" t="s">
        <v>871</v>
      </c>
      <c r="D3918" s="2">
        <v>25.22</v>
      </c>
      <c r="E3918" s="2">
        <v>3.0</v>
      </c>
      <c r="F3918" s="2">
        <v>75.41</v>
      </c>
      <c r="G3918" s="4">
        <f t="shared" si="3"/>
        <v>9518406.15</v>
      </c>
      <c r="H3918" s="4">
        <f t="shared" si="1"/>
        <v>0.9972746521</v>
      </c>
      <c r="I3918" s="4" t="str">
        <f t="shared" si="2"/>
        <v>C</v>
      </c>
    </row>
    <row r="3919">
      <c r="A3919" s="2">
        <v>3918.0</v>
      </c>
      <c r="B3919" s="2" t="s">
        <v>4829</v>
      </c>
      <c r="C3919" s="2" t="s">
        <v>4830</v>
      </c>
      <c r="D3919" s="2">
        <v>3.75</v>
      </c>
      <c r="E3919" s="2">
        <v>20.0</v>
      </c>
      <c r="F3919" s="2">
        <v>75.4</v>
      </c>
      <c r="G3919" s="4">
        <f t="shared" si="3"/>
        <v>9518481.55</v>
      </c>
      <c r="H3919" s="4">
        <f t="shared" si="1"/>
        <v>0.997282552</v>
      </c>
      <c r="I3919" s="4" t="str">
        <f t="shared" si="2"/>
        <v>C</v>
      </c>
    </row>
    <row r="3920">
      <c r="A3920" s="2">
        <v>3919.0</v>
      </c>
      <c r="B3920" s="2" t="s">
        <v>4831</v>
      </c>
      <c r="C3920" s="2" t="s">
        <v>2711</v>
      </c>
      <c r="D3920" s="2">
        <v>2.08</v>
      </c>
      <c r="E3920" s="2">
        <v>37.0</v>
      </c>
      <c r="F3920" s="2">
        <v>75.28</v>
      </c>
      <c r="G3920" s="4">
        <f t="shared" si="3"/>
        <v>9518556.83</v>
      </c>
      <c r="H3920" s="4">
        <f t="shared" si="1"/>
        <v>0.9972904393</v>
      </c>
      <c r="I3920" s="4" t="str">
        <f t="shared" si="2"/>
        <v>C</v>
      </c>
    </row>
    <row r="3921">
      <c r="A3921" s="2">
        <v>3920.0</v>
      </c>
      <c r="B3921" s="2" t="s">
        <v>4832</v>
      </c>
      <c r="C3921" s="2" t="s">
        <v>4833</v>
      </c>
      <c r="D3921" s="2">
        <v>2.95</v>
      </c>
      <c r="E3921" s="2">
        <v>26.0</v>
      </c>
      <c r="F3921" s="2">
        <v>75.23</v>
      </c>
      <c r="G3921" s="4">
        <f t="shared" si="3"/>
        <v>9518632.06</v>
      </c>
      <c r="H3921" s="4">
        <f t="shared" si="1"/>
        <v>0.9972983214</v>
      </c>
      <c r="I3921" s="4" t="str">
        <f t="shared" si="2"/>
        <v>C</v>
      </c>
    </row>
    <row r="3922">
      <c r="A3922" s="2">
        <v>3921.0</v>
      </c>
      <c r="B3922" s="2" t="s">
        <v>4834</v>
      </c>
      <c r="C3922" s="2" t="s">
        <v>4835</v>
      </c>
      <c r="D3922" s="2">
        <v>2.54</v>
      </c>
      <c r="E3922" s="2">
        <v>30.0</v>
      </c>
      <c r="F3922" s="2">
        <v>75.1</v>
      </c>
      <c r="G3922" s="4">
        <f t="shared" si="3"/>
        <v>9518707.16</v>
      </c>
      <c r="H3922" s="4">
        <f t="shared" si="1"/>
        <v>0.9973061899</v>
      </c>
      <c r="I3922" s="4" t="str">
        <f t="shared" si="2"/>
        <v>C</v>
      </c>
    </row>
    <row r="3923">
      <c r="A3923" s="2">
        <v>3922.0</v>
      </c>
      <c r="B3923" s="2">
        <v>84527.0</v>
      </c>
      <c r="C3923" s="2" t="s">
        <v>4836</v>
      </c>
      <c r="D3923" s="2">
        <v>1.95</v>
      </c>
      <c r="E3923" s="2">
        <v>40.0</v>
      </c>
      <c r="F3923" s="2">
        <v>75.0</v>
      </c>
      <c r="G3923" s="4">
        <f t="shared" si="3"/>
        <v>9518782.16</v>
      </c>
      <c r="H3923" s="4">
        <f t="shared" si="1"/>
        <v>0.9973140479</v>
      </c>
      <c r="I3923" s="4" t="str">
        <f t="shared" si="2"/>
        <v>C</v>
      </c>
    </row>
    <row r="3924">
      <c r="A3924" s="2">
        <v>3923.0</v>
      </c>
      <c r="B3924" s="2" t="s">
        <v>4837</v>
      </c>
      <c r="C3924" s="2" t="s">
        <v>4838</v>
      </c>
      <c r="D3924" s="2">
        <v>2.1</v>
      </c>
      <c r="E3924" s="2">
        <v>76.0</v>
      </c>
      <c r="F3924" s="2">
        <v>74.88</v>
      </c>
      <c r="G3924" s="4">
        <f t="shared" si="3"/>
        <v>9518857.04</v>
      </c>
      <c r="H3924" s="4">
        <f t="shared" si="1"/>
        <v>0.9973218933</v>
      </c>
      <c r="I3924" s="4" t="str">
        <f t="shared" si="2"/>
        <v>C</v>
      </c>
    </row>
    <row r="3925">
      <c r="A3925" s="2">
        <v>3924.0</v>
      </c>
      <c r="B3925" s="2" t="s">
        <v>4839</v>
      </c>
      <c r="C3925" s="2" t="s">
        <v>4840</v>
      </c>
      <c r="D3925" s="2">
        <v>0.42</v>
      </c>
      <c r="E3925" s="2">
        <v>178.0</v>
      </c>
      <c r="F3925" s="2">
        <v>74.55</v>
      </c>
      <c r="G3925" s="4">
        <f t="shared" si="3"/>
        <v>9518931.59</v>
      </c>
      <c r="H3925" s="4">
        <f t="shared" si="1"/>
        <v>0.9973297041</v>
      </c>
      <c r="I3925" s="4" t="str">
        <f t="shared" si="2"/>
        <v>C</v>
      </c>
    </row>
    <row r="3926">
      <c r="A3926" s="2">
        <v>3925.0</v>
      </c>
      <c r="B3926" s="2" t="s">
        <v>4841</v>
      </c>
      <c r="C3926" s="2" t="s">
        <v>4842</v>
      </c>
      <c r="D3926" s="2">
        <v>3.81</v>
      </c>
      <c r="E3926" s="2">
        <v>20.0</v>
      </c>
      <c r="F3926" s="2">
        <v>74.44</v>
      </c>
      <c r="G3926" s="4">
        <f t="shared" si="3"/>
        <v>9519006.03</v>
      </c>
      <c r="H3926" s="4">
        <f t="shared" si="1"/>
        <v>0.9973375035</v>
      </c>
      <c r="I3926" s="4" t="str">
        <f t="shared" si="2"/>
        <v>C</v>
      </c>
    </row>
    <row r="3927">
      <c r="A3927" s="2">
        <v>3926.0</v>
      </c>
      <c r="B3927" s="2" t="s">
        <v>4843</v>
      </c>
      <c r="C3927" s="2" t="s">
        <v>4844</v>
      </c>
      <c r="D3927" s="2">
        <v>5.95</v>
      </c>
      <c r="E3927" s="2">
        <v>12.0</v>
      </c>
      <c r="F3927" s="2">
        <v>74.38</v>
      </c>
      <c r="G3927" s="4">
        <f t="shared" si="3"/>
        <v>9519080.41</v>
      </c>
      <c r="H3927" s="4">
        <f t="shared" si="1"/>
        <v>0.9973452965</v>
      </c>
      <c r="I3927" s="4" t="str">
        <f t="shared" si="2"/>
        <v>C</v>
      </c>
    </row>
    <row r="3928">
      <c r="A3928" s="2">
        <v>3927.0</v>
      </c>
      <c r="B3928" s="2" t="s">
        <v>4845</v>
      </c>
      <c r="C3928" s="2" t="s">
        <v>4846</v>
      </c>
      <c r="D3928" s="2">
        <v>1.46</v>
      </c>
      <c r="E3928" s="2">
        <v>122.0</v>
      </c>
      <c r="F3928" s="2">
        <v>74.01</v>
      </c>
      <c r="G3928" s="4">
        <f t="shared" si="3"/>
        <v>9519154.42</v>
      </c>
      <c r="H3928" s="4">
        <f t="shared" si="1"/>
        <v>0.9973530508</v>
      </c>
      <c r="I3928" s="4" t="str">
        <f t="shared" si="2"/>
        <v>C</v>
      </c>
    </row>
    <row r="3929">
      <c r="A3929" s="2">
        <v>3928.0</v>
      </c>
      <c r="B3929" s="2" t="s">
        <v>4847</v>
      </c>
      <c r="C3929" s="2" t="s">
        <v>4848</v>
      </c>
      <c r="D3929" s="2">
        <v>2.95</v>
      </c>
      <c r="E3929" s="2">
        <v>25.0</v>
      </c>
      <c r="F3929" s="2">
        <v>73.75</v>
      </c>
      <c r="G3929" s="4">
        <f t="shared" si="3"/>
        <v>9519228.17</v>
      </c>
      <c r="H3929" s="4">
        <f t="shared" si="1"/>
        <v>0.9973607778</v>
      </c>
      <c r="I3929" s="4" t="str">
        <f t="shared" si="2"/>
        <v>C</v>
      </c>
    </row>
    <row r="3930">
      <c r="A3930" s="2">
        <v>3929.0</v>
      </c>
      <c r="B3930" s="2" t="s">
        <v>4849</v>
      </c>
      <c r="C3930" s="2" t="s">
        <v>4850</v>
      </c>
      <c r="D3930" s="2">
        <v>1.69</v>
      </c>
      <c r="E3930" s="2">
        <v>44.0</v>
      </c>
      <c r="F3930" s="2">
        <v>73.54</v>
      </c>
      <c r="G3930" s="4">
        <f t="shared" si="3"/>
        <v>9519301.71</v>
      </c>
      <c r="H3930" s="4">
        <f t="shared" si="1"/>
        <v>0.9973684828</v>
      </c>
      <c r="I3930" s="4" t="str">
        <f t="shared" si="2"/>
        <v>C</v>
      </c>
    </row>
    <row r="3931">
      <c r="A3931" s="2">
        <v>3930.0</v>
      </c>
      <c r="B3931" s="2">
        <v>84720.0</v>
      </c>
      <c r="C3931" s="2" t="s">
        <v>4851</v>
      </c>
      <c r="D3931" s="2">
        <v>3.95</v>
      </c>
      <c r="E3931" s="2">
        <v>18.0</v>
      </c>
      <c r="F3931" s="2">
        <v>73.53</v>
      </c>
      <c r="G3931" s="4">
        <f t="shared" si="3"/>
        <v>9519375.24</v>
      </c>
      <c r="H3931" s="4">
        <f t="shared" si="1"/>
        <v>0.9973761868</v>
      </c>
      <c r="I3931" s="4" t="str">
        <f t="shared" si="2"/>
        <v>C</v>
      </c>
    </row>
    <row r="3932">
      <c r="A3932" s="2">
        <v>3931.0</v>
      </c>
      <c r="B3932" s="2" t="s">
        <v>4852</v>
      </c>
      <c r="C3932" s="2" t="s">
        <v>4853</v>
      </c>
      <c r="D3932" s="2">
        <v>3.73</v>
      </c>
      <c r="E3932" s="2">
        <v>20.0</v>
      </c>
      <c r="F3932" s="2">
        <v>73.38</v>
      </c>
      <c r="G3932" s="4">
        <f t="shared" si="3"/>
        <v>9519448.62</v>
      </c>
      <c r="H3932" s="4">
        <f t="shared" si="1"/>
        <v>0.9973838751</v>
      </c>
      <c r="I3932" s="4" t="str">
        <f t="shared" si="2"/>
        <v>C</v>
      </c>
    </row>
    <row r="3933">
      <c r="A3933" s="2">
        <v>3932.0</v>
      </c>
      <c r="B3933" s="2" t="s">
        <v>4854</v>
      </c>
      <c r="C3933" s="2" t="s">
        <v>4855</v>
      </c>
      <c r="D3933" s="2">
        <v>3.75</v>
      </c>
      <c r="E3933" s="2">
        <v>20.0</v>
      </c>
      <c r="F3933" s="2">
        <v>73.12</v>
      </c>
      <c r="G3933" s="4">
        <f t="shared" si="3"/>
        <v>9519521.74</v>
      </c>
      <c r="H3933" s="4">
        <f t="shared" si="1"/>
        <v>0.9973915361</v>
      </c>
      <c r="I3933" s="4" t="str">
        <f t="shared" si="2"/>
        <v>C</v>
      </c>
    </row>
    <row r="3934">
      <c r="A3934" s="2">
        <v>3933.0</v>
      </c>
      <c r="B3934" s="2" t="s">
        <v>4856</v>
      </c>
      <c r="C3934" s="2" t="s">
        <v>4857</v>
      </c>
      <c r="D3934" s="2">
        <v>1.25</v>
      </c>
      <c r="E3934" s="2">
        <v>90.0</v>
      </c>
      <c r="F3934" s="2">
        <v>72.04</v>
      </c>
      <c r="G3934" s="4">
        <f t="shared" si="3"/>
        <v>9519593.78</v>
      </c>
      <c r="H3934" s="4">
        <f t="shared" si="1"/>
        <v>0.9973990839</v>
      </c>
      <c r="I3934" s="4" t="str">
        <f t="shared" si="2"/>
        <v>C</v>
      </c>
    </row>
    <row r="3935">
      <c r="A3935" s="2">
        <v>3934.0</v>
      </c>
      <c r="B3935" s="2" t="s">
        <v>4858</v>
      </c>
      <c r="C3935" s="2" t="s">
        <v>4859</v>
      </c>
      <c r="D3935" s="2">
        <v>8.49</v>
      </c>
      <c r="E3935" s="2">
        <v>8.0</v>
      </c>
      <c r="F3935" s="2">
        <v>72.04</v>
      </c>
      <c r="G3935" s="4">
        <f t="shared" si="3"/>
        <v>9519665.82</v>
      </c>
      <c r="H3935" s="4">
        <f t="shared" si="1"/>
        <v>0.9974066318</v>
      </c>
      <c r="I3935" s="4" t="str">
        <f t="shared" si="2"/>
        <v>C</v>
      </c>
    </row>
    <row r="3936">
      <c r="A3936" s="2">
        <v>3935.0</v>
      </c>
      <c r="B3936" s="2" t="s">
        <v>4860</v>
      </c>
      <c r="C3936" s="2" t="s">
        <v>4861</v>
      </c>
      <c r="D3936" s="2">
        <v>7.95</v>
      </c>
      <c r="E3936" s="2">
        <v>9.0</v>
      </c>
      <c r="F3936" s="2">
        <v>71.55</v>
      </c>
      <c r="G3936" s="4">
        <f t="shared" si="3"/>
        <v>9519737.37</v>
      </c>
      <c r="H3936" s="4">
        <f t="shared" si="1"/>
        <v>0.9974141283</v>
      </c>
      <c r="I3936" s="4" t="str">
        <f t="shared" si="2"/>
        <v>C</v>
      </c>
    </row>
    <row r="3937">
      <c r="A3937" s="2">
        <v>3936.0</v>
      </c>
      <c r="B3937" s="2">
        <v>90093.0</v>
      </c>
      <c r="C3937" s="2" t="s">
        <v>4862</v>
      </c>
      <c r="D3937" s="2">
        <v>0.85</v>
      </c>
      <c r="E3937" s="2">
        <v>91.0</v>
      </c>
      <c r="F3937" s="2">
        <v>71.19</v>
      </c>
      <c r="G3937" s="4">
        <f t="shared" si="3"/>
        <v>9519808.56</v>
      </c>
      <c r="H3937" s="4">
        <f t="shared" si="1"/>
        <v>0.9974215872</v>
      </c>
      <c r="I3937" s="4" t="str">
        <f t="shared" si="2"/>
        <v>C</v>
      </c>
    </row>
    <row r="3938">
      <c r="A3938" s="2">
        <v>3937.0</v>
      </c>
      <c r="B3938" s="2" t="s">
        <v>4863</v>
      </c>
      <c r="C3938" s="2" t="s">
        <v>4864</v>
      </c>
      <c r="D3938" s="2">
        <v>1.95</v>
      </c>
      <c r="E3938" s="2">
        <v>29.0</v>
      </c>
      <c r="F3938" s="2">
        <v>70.97</v>
      </c>
      <c r="G3938" s="4">
        <f t="shared" si="3"/>
        <v>9519879.53</v>
      </c>
      <c r="H3938" s="4">
        <f t="shared" si="1"/>
        <v>0.9974290229</v>
      </c>
      <c r="I3938" s="4" t="str">
        <f t="shared" si="2"/>
        <v>C</v>
      </c>
    </row>
    <row r="3939">
      <c r="A3939" s="2">
        <v>3938.0</v>
      </c>
      <c r="B3939" s="2" t="s">
        <v>4865</v>
      </c>
      <c r="C3939" s="2" t="s">
        <v>4866</v>
      </c>
      <c r="D3939" s="2">
        <v>1.65</v>
      </c>
      <c r="E3939" s="2">
        <v>43.0</v>
      </c>
      <c r="F3939" s="2">
        <v>70.88</v>
      </c>
      <c r="G3939" s="4">
        <f t="shared" si="3"/>
        <v>9519950.41</v>
      </c>
      <c r="H3939" s="4">
        <f t="shared" si="1"/>
        <v>0.9974364492</v>
      </c>
      <c r="I3939" s="4" t="str">
        <f t="shared" si="2"/>
        <v>C</v>
      </c>
    </row>
    <row r="3940">
      <c r="A3940" s="2">
        <v>3939.0</v>
      </c>
      <c r="B3940" s="2" t="s">
        <v>4867</v>
      </c>
      <c r="C3940" s="2" t="s">
        <v>4868</v>
      </c>
      <c r="D3940" s="2">
        <v>5.17</v>
      </c>
      <c r="E3940" s="2">
        <v>32.0</v>
      </c>
      <c r="F3940" s="2">
        <v>70.61</v>
      </c>
      <c r="G3940" s="4">
        <f t="shared" si="3"/>
        <v>9520021.02</v>
      </c>
      <c r="H3940" s="4">
        <f t="shared" si="1"/>
        <v>0.9974438473</v>
      </c>
      <c r="I3940" s="4" t="str">
        <f t="shared" si="2"/>
        <v>C</v>
      </c>
    </row>
    <row r="3941">
      <c r="A3941" s="2">
        <v>3940.0</v>
      </c>
      <c r="B3941" s="2" t="s">
        <v>4869</v>
      </c>
      <c r="C3941" s="2" t="s">
        <v>4870</v>
      </c>
      <c r="D3941" s="2">
        <v>1.25</v>
      </c>
      <c r="E3941" s="2">
        <v>70.0</v>
      </c>
      <c r="F3941" s="2">
        <v>70.54</v>
      </c>
      <c r="G3941" s="4">
        <f t="shared" si="3"/>
        <v>9520091.56</v>
      </c>
      <c r="H3941" s="4">
        <f t="shared" si="1"/>
        <v>0.997451238</v>
      </c>
      <c r="I3941" s="4" t="str">
        <f t="shared" si="2"/>
        <v>C</v>
      </c>
    </row>
    <row r="3942">
      <c r="A3942" s="2">
        <v>3941.0</v>
      </c>
      <c r="B3942" s="2" t="s">
        <v>4871</v>
      </c>
      <c r="C3942" s="2" t="s">
        <v>176</v>
      </c>
      <c r="D3942" s="2">
        <v>10.79</v>
      </c>
      <c r="E3942" s="2">
        <v>6.0</v>
      </c>
      <c r="F3942" s="2">
        <v>70.25</v>
      </c>
      <c r="G3942" s="4">
        <f t="shared" si="3"/>
        <v>9520161.81</v>
      </c>
      <c r="H3942" s="4">
        <f t="shared" si="1"/>
        <v>0.9974585983</v>
      </c>
      <c r="I3942" s="4" t="str">
        <f t="shared" si="2"/>
        <v>C</v>
      </c>
    </row>
    <row r="3943">
      <c r="A3943" s="2">
        <v>3942.0</v>
      </c>
      <c r="B3943" s="2" t="s">
        <v>4872</v>
      </c>
      <c r="C3943" s="2" t="s">
        <v>4873</v>
      </c>
      <c r="D3943" s="2">
        <v>2.95</v>
      </c>
      <c r="E3943" s="2">
        <v>24.0</v>
      </c>
      <c r="F3943" s="2">
        <v>70.2</v>
      </c>
      <c r="G3943" s="4">
        <f t="shared" si="3"/>
        <v>9520232.01</v>
      </c>
      <c r="H3943" s="4">
        <f t="shared" si="1"/>
        <v>0.9974659534</v>
      </c>
      <c r="I3943" s="4" t="str">
        <f t="shared" si="2"/>
        <v>C</v>
      </c>
    </row>
    <row r="3944">
      <c r="A3944" s="2">
        <v>3943.0</v>
      </c>
      <c r="B3944" s="2">
        <v>84617.0</v>
      </c>
      <c r="C3944" s="2" t="s">
        <v>4874</v>
      </c>
      <c r="D3944" s="2">
        <v>12.75</v>
      </c>
      <c r="E3944" s="2">
        <v>6.0</v>
      </c>
      <c r="F3944" s="2">
        <v>70.12</v>
      </c>
      <c r="G3944" s="4">
        <f t="shared" si="3"/>
        <v>9520302.13</v>
      </c>
      <c r="H3944" s="4">
        <f t="shared" si="1"/>
        <v>0.9974733001</v>
      </c>
      <c r="I3944" s="4" t="str">
        <f t="shared" si="2"/>
        <v>C</v>
      </c>
    </row>
    <row r="3945">
      <c r="A3945" s="2">
        <v>3944.0</v>
      </c>
      <c r="B3945" s="2">
        <v>84765.0</v>
      </c>
      <c r="C3945" s="2" t="s">
        <v>4875</v>
      </c>
      <c r="D3945" s="2">
        <v>12.75</v>
      </c>
      <c r="E3945" s="2">
        <v>4.0</v>
      </c>
      <c r="F3945" s="2">
        <v>70.11</v>
      </c>
      <c r="G3945" s="4">
        <f t="shared" si="3"/>
        <v>9520372.24</v>
      </c>
      <c r="H3945" s="4">
        <f t="shared" si="1"/>
        <v>0.9974806458</v>
      </c>
      <c r="I3945" s="4" t="str">
        <f t="shared" si="2"/>
        <v>C</v>
      </c>
    </row>
    <row r="3946">
      <c r="A3946" s="2">
        <v>3945.0</v>
      </c>
      <c r="B3946" s="2" t="s">
        <v>4876</v>
      </c>
      <c r="C3946" s="2" t="s">
        <v>4877</v>
      </c>
      <c r="D3946" s="2">
        <v>3.81</v>
      </c>
      <c r="E3946" s="2">
        <v>18.0</v>
      </c>
      <c r="F3946" s="2">
        <v>70.04</v>
      </c>
      <c r="G3946" s="4">
        <f t="shared" si="3"/>
        <v>9520442.28</v>
      </c>
      <c r="H3946" s="4">
        <f t="shared" si="1"/>
        <v>0.9974879841</v>
      </c>
      <c r="I3946" s="4" t="str">
        <f t="shared" si="2"/>
        <v>C</v>
      </c>
    </row>
    <row r="3947">
      <c r="A3947" s="2">
        <v>3946.0</v>
      </c>
      <c r="B3947" s="2">
        <v>78026.0</v>
      </c>
      <c r="C3947" s="2" t="s">
        <v>4878</v>
      </c>
      <c r="D3947" s="2">
        <v>19.98</v>
      </c>
      <c r="E3947" s="2">
        <v>6.0</v>
      </c>
      <c r="F3947" s="2">
        <v>69.97</v>
      </c>
      <c r="G3947" s="4">
        <f t="shared" si="3"/>
        <v>9520512.25</v>
      </c>
      <c r="H3947" s="4">
        <f t="shared" si="1"/>
        <v>0.9974953151</v>
      </c>
      <c r="I3947" s="4" t="str">
        <f t="shared" si="2"/>
        <v>C</v>
      </c>
    </row>
    <row r="3948">
      <c r="A3948" s="2">
        <v>3947.0</v>
      </c>
      <c r="B3948" s="2" t="s">
        <v>4879</v>
      </c>
      <c r="C3948" s="2" t="s">
        <v>4880</v>
      </c>
      <c r="D3948" s="2">
        <v>6.35</v>
      </c>
      <c r="E3948" s="2">
        <v>11.0</v>
      </c>
      <c r="F3948" s="2">
        <v>69.75</v>
      </c>
      <c r="G3948" s="4">
        <f t="shared" si="3"/>
        <v>9520582</v>
      </c>
      <c r="H3948" s="4">
        <f t="shared" si="1"/>
        <v>0.997502623</v>
      </c>
      <c r="I3948" s="4" t="str">
        <f t="shared" si="2"/>
        <v>C</v>
      </c>
    </row>
    <row r="3949">
      <c r="A3949" s="2">
        <v>3948.0</v>
      </c>
      <c r="B3949" s="2">
        <v>23463.0</v>
      </c>
      <c r="C3949" s="2" t="s">
        <v>4881</v>
      </c>
      <c r="D3949" s="2">
        <v>9.95</v>
      </c>
      <c r="E3949" s="2">
        <v>6.0</v>
      </c>
      <c r="F3949" s="2">
        <v>69.7</v>
      </c>
      <c r="G3949" s="4">
        <f t="shared" si="3"/>
        <v>9520651.7</v>
      </c>
      <c r="H3949" s="4">
        <f t="shared" si="1"/>
        <v>0.9975099257</v>
      </c>
      <c r="I3949" s="4" t="str">
        <f t="shared" si="2"/>
        <v>C</v>
      </c>
    </row>
    <row r="3950">
      <c r="A3950" s="2">
        <v>3949.0</v>
      </c>
      <c r="B3950" s="2" t="s">
        <v>4882</v>
      </c>
      <c r="C3950" s="2" t="s">
        <v>4883</v>
      </c>
      <c r="D3950" s="2">
        <v>6.35</v>
      </c>
      <c r="E3950" s="2">
        <v>11.0</v>
      </c>
      <c r="F3950" s="2">
        <v>69.64</v>
      </c>
      <c r="G3950" s="4">
        <f t="shared" si="3"/>
        <v>9520721.34</v>
      </c>
      <c r="H3950" s="4">
        <f t="shared" si="1"/>
        <v>0.9975172221</v>
      </c>
      <c r="I3950" s="4" t="str">
        <f t="shared" si="2"/>
        <v>C</v>
      </c>
    </row>
    <row r="3951">
      <c r="A3951" s="2">
        <v>3950.0</v>
      </c>
      <c r="B3951" s="2" t="s">
        <v>4884</v>
      </c>
      <c r="C3951" s="2" t="s">
        <v>4885</v>
      </c>
      <c r="D3951" s="2">
        <v>0.85</v>
      </c>
      <c r="E3951" s="2">
        <v>71.0</v>
      </c>
      <c r="F3951" s="2">
        <v>69.64</v>
      </c>
      <c r="G3951" s="4">
        <f t="shared" si="3"/>
        <v>9520790.98</v>
      </c>
      <c r="H3951" s="4">
        <f t="shared" si="1"/>
        <v>0.9975245185</v>
      </c>
      <c r="I3951" s="4" t="str">
        <f t="shared" si="2"/>
        <v>C</v>
      </c>
    </row>
    <row r="3952">
      <c r="A3952" s="2">
        <v>3951.0</v>
      </c>
      <c r="B3952" s="2" t="s">
        <v>4886</v>
      </c>
      <c r="C3952" s="2" t="s">
        <v>3975</v>
      </c>
      <c r="D3952" s="2">
        <v>2.46</v>
      </c>
      <c r="E3952" s="2">
        <v>28.0</v>
      </c>
      <c r="F3952" s="2">
        <v>69.43</v>
      </c>
      <c r="G3952" s="4">
        <f t="shared" si="3"/>
        <v>9520860.41</v>
      </c>
      <c r="H3952" s="4">
        <f t="shared" si="1"/>
        <v>0.9975317929</v>
      </c>
      <c r="I3952" s="4" t="str">
        <f t="shared" si="2"/>
        <v>C</v>
      </c>
    </row>
    <row r="3953">
      <c r="A3953" s="2">
        <v>3952.0</v>
      </c>
      <c r="B3953" s="2">
        <v>23304.0</v>
      </c>
      <c r="C3953" s="2" t="s">
        <v>4887</v>
      </c>
      <c r="D3953" s="2">
        <v>1.95</v>
      </c>
      <c r="E3953" s="2">
        <v>36.0</v>
      </c>
      <c r="F3953" s="2">
        <v>69.22</v>
      </c>
      <c r="G3953" s="4">
        <f t="shared" si="3"/>
        <v>9520929.63</v>
      </c>
      <c r="H3953" s="4">
        <f t="shared" si="1"/>
        <v>0.9975390453</v>
      </c>
      <c r="I3953" s="4" t="str">
        <f t="shared" si="2"/>
        <v>C</v>
      </c>
    </row>
    <row r="3954">
      <c r="A3954" s="2">
        <v>3953.0</v>
      </c>
      <c r="B3954" s="2" t="s">
        <v>4888</v>
      </c>
      <c r="C3954" s="2" t="s">
        <v>4889</v>
      </c>
      <c r="D3954" s="2">
        <v>2.95</v>
      </c>
      <c r="E3954" s="2">
        <v>24.0</v>
      </c>
      <c r="F3954" s="2">
        <v>68.98</v>
      </c>
      <c r="G3954" s="4">
        <f t="shared" si="3"/>
        <v>9520998.61</v>
      </c>
      <c r="H3954" s="4">
        <f t="shared" si="1"/>
        <v>0.9975462726</v>
      </c>
      <c r="I3954" s="4" t="str">
        <f t="shared" si="2"/>
        <v>C</v>
      </c>
    </row>
    <row r="3955">
      <c r="A3955" s="2">
        <v>3954.0</v>
      </c>
      <c r="B3955" s="2" t="s">
        <v>4890</v>
      </c>
      <c r="C3955" s="2" t="s">
        <v>4891</v>
      </c>
      <c r="D3955" s="2">
        <v>1.17</v>
      </c>
      <c r="E3955" s="2">
        <v>85.0</v>
      </c>
      <c r="F3955" s="2">
        <v>68.77</v>
      </c>
      <c r="G3955" s="4">
        <f t="shared" si="3"/>
        <v>9521067.38</v>
      </c>
      <c r="H3955" s="4">
        <f t="shared" si="1"/>
        <v>0.9975534779</v>
      </c>
      <c r="I3955" s="4" t="str">
        <f t="shared" si="2"/>
        <v>C</v>
      </c>
    </row>
    <row r="3956">
      <c r="A3956" s="2">
        <v>3955.0</v>
      </c>
      <c r="B3956" s="2" t="s">
        <v>4892</v>
      </c>
      <c r="C3956" s="2" t="s">
        <v>4893</v>
      </c>
      <c r="D3956" s="2">
        <v>1.25</v>
      </c>
      <c r="E3956" s="2">
        <v>148.0</v>
      </c>
      <c r="F3956" s="2">
        <v>68.72</v>
      </c>
      <c r="G3956" s="4">
        <f t="shared" si="3"/>
        <v>9521136.1</v>
      </c>
      <c r="H3956" s="4">
        <f t="shared" si="1"/>
        <v>0.9975606779</v>
      </c>
      <c r="I3956" s="4" t="str">
        <f t="shared" si="2"/>
        <v>C</v>
      </c>
    </row>
    <row r="3957">
      <c r="A3957" s="2">
        <v>3956.0</v>
      </c>
      <c r="B3957" s="2">
        <v>90156.0</v>
      </c>
      <c r="C3957" s="2" t="s">
        <v>4894</v>
      </c>
      <c r="D3957" s="2">
        <v>4.95</v>
      </c>
      <c r="E3957" s="2">
        <v>12.0</v>
      </c>
      <c r="F3957" s="2">
        <v>68.68</v>
      </c>
      <c r="G3957" s="4">
        <f t="shared" si="3"/>
        <v>9521204.78</v>
      </c>
      <c r="H3957" s="4">
        <f t="shared" si="1"/>
        <v>0.9975678737</v>
      </c>
      <c r="I3957" s="4" t="str">
        <f t="shared" si="2"/>
        <v>C</v>
      </c>
    </row>
    <row r="3958">
      <c r="A3958" s="2">
        <v>3957.0</v>
      </c>
      <c r="B3958" s="2">
        <v>84549.0</v>
      </c>
      <c r="C3958" s="2" t="s">
        <v>4895</v>
      </c>
      <c r="D3958" s="2">
        <v>1.65</v>
      </c>
      <c r="E3958" s="2">
        <v>38.0</v>
      </c>
      <c r="F3958" s="2">
        <v>68.63</v>
      </c>
      <c r="G3958" s="4">
        <f t="shared" si="3"/>
        <v>9521273.41</v>
      </c>
      <c r="H3958" s="4">
        <f t="shared" si="1"/>
        <v>0.9975750643</v>
      </c>
      <c r="I3958" s="4" t="str">
        <f t="shared" si="2"/>
        <v>C</v>
      </c>
    </row>
    <row r="3959">
      <c r="A3959" s="2">
        <v>3958.0</v>
      </c>
      <c r="B3959" s="2">
        <v>10120.0</v>
      </c>
      <c r="C3959" s="2" t="s">
        <v>4896</v>
      </c>
      <c r="D3959" s="2">
        <v>0.21</v>
      </c>
      <c r="E3959" s="2">
        <v>318.0</v>
      </c>
      <c r="F3959" s="2">
        <v>68.32</v>
      </c>
      <c r="G3959" s="4">
        <f t="shared" si="3"/>
        <v>9521341.73</v>
      </c>
      <c r="H3959" s="4">
        <f t="shared" si="1"/>
        <v>0.9975822224</v>
      </c>
      <c r="I3959" s="4" t="str">
        <f t="shared" si="2"/>
        <v>C</v>
      </c>
    </row>
    <row r="3960">
      <c r="A3960" s="2">
        <v>3959.0</v>
      </c>
      <c r="B3960" s="2" t="s">
        <v>4897</v>
      </c>
      <c r="C3960" s="2" t="s">
        <v>4898</v>
      </c>
      <c r="D3960" s="2">
        <v>0.38</v>
      </c>
      <c r="E3960" s="2">
        <v>162.0</v>
      </c>
      <c r="F3960" s="2">
        <v>68.22</v>
      </c>
      <c r="G3960" s="4">
        <f t="shared" si="3"/>
        <v>9521409.95</v>
      </c>
      <c r="H3960" s="4">
        <f t="shared" si="1"/>
        <v>0.99758937</v>
      </c>
      <c r="I3960" s="4" t="str">
        <f t="shared" si="2"/>
        <v>C</v>
      </c>
    </row>
    <row r="3961">
      <c r="A3961" s="2">
        <v>3960.0</v>
      </c>
      <c r="B3961" s="2">
        <v>90151.0</v>
      </c>
      <c r="C3961" s="2" t="s">
        <v>4899</v>
      </c>
      <c r="D3961" s="2">
        <v>8.5</v>
      </c>
      <c r="E3961" s="2">
        <v>8.0</v>
      </c>
      <c r="F3961" s="2">
        <v>68.09</v>
      </c>
      <c r="G3961" s="4">
        <f t="shared" si="3"/>
        <v>9521478.04</v>
      </c>
      <c r="H3961" s="4">
        <f t="shared" si="1"/>
        <v>0.9975965041</v>
      </c>
      <c r="I3961" s="4" t="str">
        <f t="shared" si="2"/>
        <v>C</v>
      </c>
    </row>
    <row r="3962">
      <c r="A3962" s="2">
        <v>3961.0</v>
      </c>
      <c r="B3962" s="2" t="s">
        <v>4900</v>
      </c>
      <c r="C3962" s="2" t="s">
        <v>4901</v>
      </c>
      <c r="D3962" s="2">
        <v>8.5</v>
      </c>
      <c r="E3962" s="2">
        <v>8.0</v>
      </c>
      <c r="F3962" s="2">
        <v>67.99</v>
      </c>
      <c r="G3962" s="4">
        <f t="shared" si="3"/>
        <v>9521546.03</v>
      </c>
      <c r="H3962" s="4">
        <f t="shared" si="1"/>
        <v>0.9976036276</v>
      </c>
      <c r="I3962" s="4" t="str">
        <f t="shared" si="2"/>
        <v>C</v>
      </c>
    </row>
    <row r="3963">
      <c r="A3963" s="2">
        <v>3962.0</v>
      </c>
      <c r="B3963" s="2">
        <v>90194.0</v>
      </c>
      <c r="C3963" s="2" t="s">
        <v>4902</v>
      </c>
      <c r="D3963" s="2">
        <v>4.25</v>
      </c>
      <c r="E3963" s="2">
        <v>16.0</v>
      </c>
      <c r="F3963" s="2">
        <v>67.92</v>
      </c>
      <c r="G3963" s="4">
        <f t="shared" si="3"/>
        <v>9521613.95</v>
      </c>
      <c r="H3963" s="4">
        <f t="shared" si="1"/>
        <v>0.9976107438</v>
      </c>
      <c r="I3963" s="4" t="str">
        <f t="shared" si="2"/>
        <v>C</v>
      </c>
    </row>
    <row r="3964">
      <c r="A3964" s="2">
        <v>3963.0</v>
      </c>
      <c r="B3964" s="2" t="s">
        <v>4903</v>
      </c>
      <c r="C3964" s="2" t="s">
        <v>4904</v>
      </c>
      <c r="D3964" s="2">
        <v>3.75</v>
      </c>
      <c r="E3964" s="2">
        <v>18.0</v>
      </c>
      <c r="F3964" s="2">
        <v>67.9</v>
      </c>
      <c r="G3964" s="4">
        <f t="shared" si="3"/>
        <v>9521681.85</v>
      </c>
      <c r="H3964" s="4">
        <f t="shared" si="1"/>
        <v>0.9976178579</v>
      </c>
      <c r="I3964" s="4" t="str">
        <f t="shared" si="2"/>
        <v>C</v>
      </c>
    </row>
    <row r="3965">
      <c r="A3965" s="2">
        <v>3964.0</v>
      </c>
      <c r="B3965" s="2" t="s">
        <v>4905</v>
      </c>
      <c r="C3965" s="2" t="s">
        <v>4906</v>
      </c>
      <c r="D3965" s="2">
        <v>1.38</v>
      </c>
      <c r="E3965" s="2">
        <v>104.0</v>
      </c>
      <c r="F3965" s="2">
        <v>67.85</v>
      </c>
      <c r="G3965" s="4">
        <f t="shared" si="3"/>
        <v>9521749.7</v>
      </c>
      <c r="H3965" s="4">
        <f t="shared" si="1"/>
        <v>0.9976249668</v>
      </c>
      <c r="I3965" s="4" t="str">
        <f t="shared" si="2"/>
        <v>C</v>
      </c>
    </row>
    <row r="3966">
      <c r="A3966" s="2">
        <v>3965.0</v>
      </c>
      <c r="B3966" s="2">
        <v>77079.0</v>
      </c>
      <c r="C3966" s="2" t="s">
        <v>4907</v>
      </c>
      <c r="D3966" s="2">
        <v>2.12</v>
      </c>
      <c r="E3966" s="2">
        <v>32.0</v>
      </c>
      <c r="F3966" s="2">
        <v>67.84</v>
      </c>
      <c r="G3966" s="4">
        <f t="shared" si="3"/>
        <v>9521817.54</v>
      </c>
      <c r="H3966" s="4">
        <f t="shared" si="1"/>
        <v>0.9976320746</v>
      </c>
      <c r="I3966" s="4" t="str">
        <f t="shared" si="2"/>
        <v>C</v>
      </c>
    </row>
    <row r="3967">
      <c r="A3967" s="2">
        <v>3966.0</v>
      </c>
      <c r="B3967" s="2" t="s">
        <v>4908</v>
      </c>
      <c r="C3967" s="2" t="s">
        <v>1003</v>
      </c>
      <c r="D3967" s="2">
        <v>8.29</v>
      </c>
      <c r="E3967" s="2">
        <v>5.0</v>
      </c>
      <c r="F3967" s="2">
        <v>67.56</v>
      </c>
      <c r="G3967" s="4">
        <f t="shared" si="3"/>
        <v>9521885.1</v>
      </c>
      <c r="H3967" s="4">
        <f t="shared" si="1"/>
        <v>0.9976391531</v>
      </c>
      <c r="I3967" s="4" t="str">
        <f t="shared" si="2"/>
        <v>C</v>
      </c>
    </row>
    <row r="3968">
      <c r="A3968" s="2">
        <v>3967.0</v>
      </c>
      <c r="B3968" s="2">
        <v>72134.0</v>
      </c>
      <c r="C3968" s="2" t="s">
        <v>4909</v>
      </c>
      <c r="D3968" s="2">
        <v>0.85</v>
      </c>
      <c r="E3968" s="2">
        <v>170.0</v>
      </c>
      <c r="F3968" s="2">
        <v>67.42</v>
      </c>
      <c r="G3968" s="4">
        <f t="shared" si="3"/>
        <v>9521952.52</v>
      </c>
      <c r="H3968" s="4">
        <f t="shared" si="1"/>
        <v>0.9976462169</v>
      </c>
      <c r="I3968" s="4" t="str">
        <f t="shared" si="2"/>
        <v>C</v>
      </c>
    </row>
    <row r="3969">
      <c r="A3969" s="2">
        <v>3968.0</v>
      </c>
      <c r="B3969" s="2" t="s">
        <v>4910</v>
      </c>
      <c r="C3969" s="2" t="s">
        <v>4911</v>
      </c>
      <c r="D3969" s="2">
        <v>0.85</v>
      </c>
      <c r="E3969" s="2">
        <v>80.0</v>
      </c>
      <c r="F3969" s="2">
        <v>67.25</v>
      </c>
      <c r="G3969" s="4">
        <f t="shared" si="3"/>
        <v>9522019.77</v>
      </c>
      <c r="H3969" s="4">
        <f t="shared" si="1"/>
        <v>0.9976532629</v>
      </c>
      <c r="I3969" s="4" t="str">
        <f t="shared" si="2"/>
        <v>C</v>
      </c>
    </row>
    <row r="3970">
      <c r="A3970" s="2">
        <v>3969.0</v>
      </c>
      <c r="B3970" s="2">
        <v>22879.0</v>
      </c>
      <c r="C3970" s="2" t="s">
        <v>4912</v>
      </c>
      <c r="D3970" s="2">
        <v>4.13</v>
      </c>
      <c r="E3970" s="2">
        <v>41.0</v>
      </c>
      <c r="F3970" s="2">
        <v>67.2</v>
      </c>
      <c r="G3970" s="4">
        <f t="shared" si="3"/>
        <v>9522086.97</v>
      </c>
      <c r="H3970" s="4">
        <f t="shared" si="1"/>
        <v>0.9976603036</v>
      </c>
      <c r="I3970" s="4" t="str">
        <f t="shared" si="2"/>
        <v>C</v>
      </c>
    </row>
    <row r="3971">
      <c r="A3971" s="2">
        <v>3970.0</v>
      </c>
      <c r="B3971" s="2">
        <v>35015.0</v>
      </c>
      <c r="C3971" s="2" t="s">
        <v>4913</v>
      </c>
      <c r="D3971" s="2">
        <v>0.06</v>
      </c>
      <c r="E3971" s="2">
        <v>1036.0</v>
      </c>
      <c r="F3971" s="2">
        <v>67.04</v>
      </c>
      <c r="G3971" s="4">
        <f t="shared" si="3"/>
        <v>9522154.01</v>
      </c>
      <c r="H3971" s="4">
        <f t="shared" si="1"/>
        <v>0.9976673276</v>
      </c>
      <c r="I3971" s="4" t="str">
        <f t="shared" si="2"/>
        <v>C</v>
      </c>
    </row>
    <row r="3972">
      <c r="A3972" s="2">
        <v>3971.0</v>
      </c>
      <c r="B3972" s="2" t="s">
        <v>4914</v>
      </c>
      <c r="C3972" s="2" t="s">
        <v>4915</v>
      </c>
      <c r="D3972" s="2">
        <v>2.95</v>
      </c>
      <c r="E3972" s="2">
        <v>24.0</v>
      </c>
      <c r="F3972" s="2">
        <v>66.93</v>
      </c>
      <c r="G3972" s="4">
        <f t="shared" si="3"/>
        <v>9522220.94</v>
      </c>
      <c r="H3972" s="4">
        <f t="shared" si="1"/>
        <v>0.9976743401</v>
      </c>
      <c r="I3972" s="4" t="str">
        <f t="shared" si="2"/>
        <v>C</v>
      </c>
    </row>
    <row r="3973">
      <c r="A3973" s="2">
        <v>3972.0</v>
      </c>
      <c r="B3973" s="2" t="s">
        <v>4916</v>
      </c>
      <c r="C3973" s="2" t="s">
        <v>4278</v>
      </c>
      <c r="D3973" s="2">
        <v>0.85</v>
      </c>
      <c r="E3973" s="2">
        <v>63.0</v>
      </c>
      <c r="F3973" s="2">
        <v>66.83</v>
      </c>
      <c r="G3973" s="4">
        <f t="shared" si="3"/>
        <v>9522287.77</v>
      </c>
      <c r="H3973" s="4">
        <f t="shared" si="1"/>
        <v>0.9976813421</v>
      </c>
      <c r="I3973" s="4" t="str">
        <f t="shared" si="2"/>
        <v>C</v>
      </c>
    </row>
    <row r="3974">
      <c r="A3974" s="2">
        <v>3973.0</v>
      </c>
      <c r="B3974" s="2" t="s">
        <v>4917</v>
      </c>
      <c r="C3974" s="2" t="s">
        <v>4918</v>
      </c>
      <c r="D3974" s="2">
        <v>0.38</v>
      </c>
      <c r="E3974" s="2">
        <v>170.0</v>
      </c>
      <c r="F3974" s="2">
        <v>66.79</v>
      </c>
      <c r="G3974" s="4">
        <f t="shared" si="3"/>
        <v>9522354.56</v>
      </c>
      <c r="H3974" s="4">
        <f t="shared" si="1"/>
        <v>0.9976883399</v>
      </c>
      <c r="I3974" s="4" t="str">
        <f t="shared" si="2"/>
        <v>C</v>
      </c>
    </row>
    <row r="3975">
      <c r="A3975" s="2">
        <v>3974.0</v>
      </c>
      <c r="B3975" s="2" t="s">
        <v>4919</v>
      </c>
      <c r="C3975" s="2" t="s">
        <v>4920</v>
      </c>
      <c r="D3975" s="2">
        <v>0.19</v>
      </c>
      <c r="E3975" s="2">
        <v>224.0</v>
      </c>
      <c r="F3975" s="2">
        <v>66.61</v>
      </c>
      <c r="G3975" s="4">
        <f t="shared" si="3"/>
        <v>9522421.17</v>
      </c>
      <c r="H3975" s="4">
        <f t="shared" si="1"/>
        <v>0.9976953189</v>
      </c>
      <c r="I3975" s="4" t="str">
        <f t="shared" si="2"/>
        <v>C</v>
      </c>
    </row>
    <row r="3976">
      <c r="A3976" s="2">
        <v>3975.0</v>
      </c>
      <c r="B3976" s="2" t="s">
        <v>4921</v>
      </c>
      <c r="C3976" s="2" t="s">
        <v>4922</v>
      </c>
      <c r="D3976" s="2">
        <v>2.95</v>
      </c>
      <c r="E3976" s="2">
        <v>22.0</v>
      </c>
      <c r="F3976" s="2">
        <v>66.38</v>
      </c>
      <c r="G3976" s="4">
        <f t="shared" si="3"/>
        <v>9522487.55</v>
      </c>
      <c r="H3976" s="4">
        <f t="shared" si="1"/>
        <v>0.9977022737</v>
      </c>
      <c r="I3976" s="4" t="str">
        <f t="shared" si="2"/>
        <v>C</v>
      </c>
    </row>
    <row r="3977">
      <c r="A3977" s="2">
        <v>3976.0</v>
      </c>
      <c r="B3977" s="2" t="s">
        <v>4923</v>
      </c>
      <c r="C3977" s="2" t="s">
        <v>4924</v>
      </c>
      <c r="D3977" s="2">
        <v>2.95</v>
      </c>
      <c r="E3977" s="2">
        <v>22.0</v>
      </c>
      <c r="F3977" s="2">
        <v>66.29</v>
      </c>
      <c r="G3977" s="4">
        <f t="shared" si="3"/>
        <v>9522553.84</v>
      </c>
      <c r="H3977" s="4">
        <f t="shared" si="1"/>
        <v>0.9977092192</v>
      </c>
      <c r="I3977" s="4" t="str">
        <f t="shared" si="2"/>
        <v>C</v>
      </c>
    </row>
    <row r="3978">
      <c r="A3978" s="2">
        <v>3977.0</v>
      </c>
      <c r="B3978" s="2">
        <v>90137.0</v>
      </c>
      <c r="C3978" s="2" t="s">
        <v>4925</v>
      </c>
      <c r="D3978" s="2">
        <v>4.95</v>
      </c>
      <c r="E3978" s="2">
        <v>13.0</v>
      </c>
      <c r="F3978" s="2">
        <v>66.26</v>
      </c>
      <c r="G3978" s="4">
        <f t="shared" si="3"/>
        <v>9522620.1</v>
      </c>
      <c r="H3978" s="4">
        <f t="shared" si="1"/>
        <v>0.9977161614</v>
      </c>
      <c r="I3978" s="4" t="str">
        <f t="shared" si="2"/>
        <v>C</v>
      </c>
    </row>
    <row r="3979">
      <c r="A3979" s="2">
        <v>3978.0</v>
      </c>
      <c r="B3979" s="2">
        <v>90022.0</v>
      </c>
      <c r="C3979" s="2" t="s">
        <v>4926</v>
      </c>
      <c r="D3979" s="2">
        <v>3.75</v>
      </c>
      <c r="E3979" s="2">
        <v>18.0</v>
      </c>
      <c r="F3979" s="2">
        <v>66.08</v>
      </c>
      <c r="G3979" s="4">
        <f t="shared" si="3"/>
        <v>9522686.18</v>
      </c>
      <c r="H3979" s="4">
        <f t="shared" si="1"/>
        <v>0.9977230848</v>
      </c>
      <c r="I3979" s="4" t="str">
        <f t="shared" si="2"/>
        <v>C</v>
      </c>
    </row>
    <row r="3980">
      <c r="A3980" s="2">
        <v>3979.0</v>
      </c>
      <c r="B3980" s="2">
        <v>45013.0</v>
      </c>
      <c r="C3980" s="2" t="s">
        <v>4927</v>
      </c>
      <c r="D3980" s="2">
        <v>2.95</v>
      </c>
      <c r="E3980" s="2">
        <v>24.0</v>
      </c>
      <c r="F3980" s="2">
        <v>66.0</v>
      </c>
      <c r="G3980" s="4">
        <f t="shared" si="3"/>
        <v>9522752.18</v>
      </c>
      <c r="H3980" s="4">
        <f t="shared" si="1"/>
        <v>0.9977299999</v>
      </c>
      <c r="I3980" s="4" t="str">
        <f t="shared" si="2"/>
        <v>C</v>
      </c>
    </row>
    <row r="3981">
      <c r="A3981" s="2">
        <v>3980.0</v>
      </c>
      <c r="B3981" s="2" t="s">
        <v>4928</v>
      </c>
      <c r="C3981" s="2" t="s">
        <v>4929</v>
      </c>
      <c r="D3981" s="2">
        <v>2.1</v>
      </c>
      <c r="E3981" s="2">
        <v>34.0</v>
      </c>
      <c r="F3981" s="2">
        <v>65.95</v>
      </c>
      <c r="G3981" s="4">
        <f t="shared" si="3"/>
        <v>9522818.13</v>
      </c>
      <c r="H3981" s="4">
        <f t="shared" si="1"/>
        <v>0.9977369097</v>
      </c>
      <c r="I3981" s="4" t="str">
        <f t="shared" si="2"/>
        <v>C</v>
      </c>
    </row>
    <row r="3982">
      <c r="A3982" s="2">
        <v>3981.0</v>
      </c>
      <c r="B3982" s="2">
        <v>90023.0</v>
      </c>
      <c r="C3982" s="2" t="s">
        <v>4930</v>
      </c>
      <c r="D3982" s="2">
        <v>4.25</v>
      </c>
      <c r="E3982" s="2">
        <v>16.0</v>
      </c>
      <c r="F3982" s="2">
        <v>65.87</v>
      </c>
      <c r="G3982" s="4">
        <f t="shared" si="3"/>
        <v>9522884</v>
      </c>
      <c r="H3982" s="4">
        <f t="shared" si="1"/>
        <v>0.9977438111</v>
      </c>
      <c r="I3982" s="4" t="str">
        <f t="shared" si="2"/>
        <v>C</v>
      </c>
    </row>
    <row r="3983">
      <c r="A3983" s="2">
        <v>3982.0</v>
      </c>
      <c r="B3983" s="2" t="s">
        <v>4931</v>
      </c>
      <c r="C3983" s="2" t="s">
        <v>4932</v>
      </c>
      <c r="D3983" s="2">
        <v>2.54</v>
      </c>
      <c r="E3983" s="2">
        <v>26.0</v>
      </c>
      <c r="F3983" s="2">
        <v>65.82</v>
      </c>
      <c r="G3983" s="4">
        <f t="shared" si="3"/>
        <v>9522949.82</v>
      </c>
      <c r="H3983" s="4">
        <f t="shared" si="1"/>
        <v>0.9977507073</v>
      </c>
      <c r="I3983" s="4" t="str">
        <f t="shared" si="2"/>
        <v>C</v>
      </c>
    </row>
    <row r="3984">
      <c r="A3984" s="2">
        <v>3983.0</v>
      </c>
      <c r="B3984" s="2">
        <v>35933.0</v>
      </c>
      <c r="C3984" s="2" t="s">
        <v>4933</v>
      </c>
      <c r="D3984" s="2">
        <v>0.38</v>
      </c>
      <c r="E3984" s="2">
        <v>160.0</v>
      </c>
      <c r="F3984" s="2">
        <v>65.69</v>
      </c>
      <c r="G3984" s="4">
        <f t="shared" si="3"/>
        <v>9523015.51</v>
      </c>
      <c r="H3984" s="4">
        <f t="shared" si="1"/>
        <v>0.9977575898</v>
      </c>
      <c r="I3984" s="4" t="str">
        <f t="shared" si="2"/>
        <v>C</v>
      </c>
    </row>
    <row r="3985">
      <c r="A3985" s="2">
        <v>3984.0</v>
      </c>
      <c r="B3985" s="2">
        <v>84656.0</v>
      </c>
      <c r="C3985" s="2" t="s">
        <v>4934</v>
      </c>
      <c r="D3985" s="2">
        <v>5.95</v>
      </c>
      <c r="E3985" s="2">
        <v>11.0</v>
      </c>
      <c r="F3985" s="2">
        <v>65.45</v>
      </c>
      <c r="G3985" s="4">
        <f t="shared" si="3"/>
        <v>9523080.96</v>
      </c>
      <c r="H3985" s="4">
        <f t="shared" si="1"/>
        <v>0.9977644472</v>
      </c>
      <c r="I3985" s="4" t="str">
        <f t="shared" si="2"/>
        <v>C</v>
      </c>
    </row>
    <row r="3986">
      <c r="A3986" s="2">
        <v>3985.0</v>
      </c>
      <c r="B3986" s="2">
        <v>22888.0</v>
      </c>
      <c r="C3986" s="2" t="s">
        <v>4935</v>
      </c>
      <c r="D3986" s="2">
        <v>4.13</v>
      </c>
      <c r="E3986" s="2">
        <v>40.0</v>
      </c>
      <c r="F3986" s="2">
        <v>65.41</v>
      </c>
      <c r="G3986" s="4">
        <f t="shared" si="3"/>
        <v>9523146.37</v>
      </c>
      <c r="H3986" s="4">
        <f t="shared" si="1"/>
        <v>0.9977713005</v>
      </c>
      <c r="I3986" s="4" t="str">
        <f t="shared" si="2"/>
        <v>C</v>
      </c>
    </row>
    <row r="3987">
      <c r="A3987" s="2">
        <v>3986.0</v>
      </c>
      <c r="B3987" s="2">
        <v>16119.0</v>
      </c>
      <c r="C3987" s="2" t="s">
        <v>4936</v>
      </c>
      <c r="D3987" s="2">
        <v>1.25</v>
      </c>
      <c r="E3987" s="2">
        <v>136.0</v>
      </c>
      <c r="F3987" s="2">
        <v>65.36</v>
      </c>
      <c r="G3987" s="4">
        <f t="shared" si="3"/>
        <v>9523211.73</v>
      </c>
      <c r="H3987" s="4">
        <f t="shared" si="1"/>
        <v>0.9977781484</v>
      </c>
      <c r="I3987" s="4" t="str">
        <f t="shared" si="2"/>
        <v>C</v>
      </c>
    </row>
    <row r="3988">
      <c r="A3988" s="2">
        <v>3987.0</v>
      </c>
      <c r="B3988" s="2" t="s">
        <v>4937</v>
      </c>
      <c r="C3988" s="2" t="s">
        <v>4938</v>
      </c>
      <c r="D3988" s="2">
        <v>2.55</v>
      </c>
      <c r="E3988" s="2">
        <v>38.0</v>
      </c>
      <c r="F3988" s="2">
        <v>65.02</v>
      </c>
      <c r="G3988" s="4">
        <f t="shared" si="3"/>
        <v>9523276.75</v>
      </c>
      <c r="H3988" s="4">
        <f t="shared" si="1"/>
        <v>0.9977849608</v>
      </c>
      <c r="I3988" s="4" t="str">
        <f t="shared" si="2"/>
        <v>C</v>
      </c>
    </row>
    <row r="3989">
      <c r="A3989" s="2">
        <v>3988.0</v>
      </c>
      <c r="B3989" s="2">
        <v>20899.0</v>
      </c>
      <c r="C3989" s="2" t="s">
        <v>4939</v>
      </c>
      <c r="D3989" s="2">
        <v>2.95</v>
      </c>
      <c r="E3989" s="2">
        <v>22.0</v>
      </c>
      <c r="F3989" s="2">
        <v>64.9</v>
      </c>
      <c r="G3989" s="4">
        <f t="shared" si="3"/>
        <v>9523341.65</v>
      </c>
      <c r="H3989" s="4">
        <f t="shared" si="1"/>
        <v>0.9977917606</v>
      </c>
      <c r="I3989" s="4" t="str">
        <f t="shared" si="2"/>
        <v>C</v>
      </c>
    </row>
    <row r="3990">
      <c r="A3990" s="2">
        <v>3989.0</v>
      </c>
      <c r="B3990" s="2">
        <v>90099.0</v>
      </c>
      <c r="C3990" s="2" t="s">
        <v>4940</v>
      </c>
      <c r="D3990" s="2">
        <v>2.55</v>
      </c>
      <c r="E3990" s="2">
        <v>21.0</v>
      </c>
      <c r="F3990" s="2">
        <v>64.84</v>
      </c>
      <c r="G3990" s="4">
        <f t="shared" si="3"/>
        <v>9523406.49</v>
      </c>
      <c r="H3990" s="4">
        <f t="shared" si="1"/>
        <v>0.9977985541</v>
      </c>
      <c r="I3990" s="4" t="str">
        <f t="shared" si="2"/>
        <v>C</v>
      </c>
    </row>
    <row r="3991">
      <c r="A3991" s="2">
        <v>3990.0</v>
      </c>
      <c r="B3991" s="2" t="s">
        <v>4941</v>
      </c>
      <c r="C3991" s="2" t="s">
        <v>4942</v>
      </c>
      <c r="D3991" s="2">
        <v>2.95</v>
      </c>
      <c r="E3991" s="2">
        <v>22.0</v>
      </c>
      <c r="F3991" s="2">
        <v>64.8</v>
      </c>
      <c r="G3991" s="4">
        <f t="shared" si="3"/>
        <v>9523471.29</v>
      </c>
      <c r="H3991" s="4">
        <f t="shared" si="1"/>
        <v>0.9978053434</v>
      </c>
      <c r="I3991" s="4" t="str">
        <f t="shared" si="2"/>
        <v>C</v>
      </c>
    </row>
    <row r="3992">
      <c r="A3992" s="2">
        <v>3991.0</v>
      </c>
      <c r="B3992" s="2">
        <v>37471.0</v>
      </c>
      <c r="C3992" s="2" t="s">
        <v>4943</v>
      </c>
      <c r="D3992" s="2">
        <v>6.63</v>
      </c>
      <c r="E3992" s="2">
        <v>360.0</v>
      </c>
      <c r="F3992" s="2">
        <v>64.73</v>
      </c>
      <c r="G3992" s="4">
        <f t="shared" si="3"/>
        <v>9523536.02</v>
      </c>
      <c r="H3992" s="4">
        <f t="shared" si="1"/>
        <v>0.9978121254</v>
      </c>
      <c r="I3992" s="4" t="str">
        <f t="shared" si="2"/>
        <v>C</v>
      </c>
    </row>
    <row r="3993">
      <c r="A3993" s="2">
        <v>3992.0</v>
      </c>
      <c r="B3993" s="2">
        <v>84886.0</v>
      </c>
      <c r="C3993" s="2" t="s">
        <v>4944</v>
      </c>
      <c r="D3993" s="2">
        <v>9.95</v>
      </c>
      <c r="E3993" s="2">
        <v>6.0</v>
      </c>
      <c r="F3993" s="2">
        <v>64.68</v>
      </c>
      <c r="G3993" s="4">
        <f t="shared" si="3"/>
        <v>9523600.7</v>
      </c>
      <c r="H3993" s="4">
        <f t="shared" si="1"/>
        <v>0.9978189021</v>
      </c>
      <c r="I3993" s="4" t="str">
        <f t="shared" si="2"/>
        <v>C</v>
      </c>
    </row>
    <row r="3994">
      <c r="A3994" s="2">
        <v>3993.0</v>
      </c>
      <c r="B3994" s="2">
        <v>10080.0</v>
      </c>
      <c r="C3994" s="2" t="s">
        <v>4945</v>
      </c>
      <c r="D3994" s="2">
        <v>0.39</v>
      </c>
      <c r="E3994" s="2">
        <v>158.0</v>
      </c>
      <c r="F3994" s="2">
        <v>64.64</v>
      </c>
      <c r="G3994" s="4">
        <f t="shared" si="3"/>
        <v>9523665.34</v>
      </c>
      <c r="H3994" s="4">
        <f t="shared" si="1"/>
        <v>0.9978256747</v>
      </c>
      <c r="I3994" s="4" t="str">
        <f t="shared" si="2"/>
        <v>C</v>
      </c>
    </row>
    <row r="3995">
      <c r="A3995" s="2">
        <v>3994.0</v>
      </c>
      <c r="B3995" s="2" t="s">
        <v>4946</v>
      </c>
      <c r="C3995" s="2" t="s">
        <v>2937</v>
      </c>
      <c r="D3995" s="2">
        <v>16.13</v>
      </c>
      <c r="E3995" s="2">
        <v>4.0</v>
      </c>
      <c r="F3995" s="2">
        <v>64.52</v>
      </c>
      <c r="G3995" s="4">
        <f t="shared" si="3"/>
        <v>9523729.86</v>
      </c>
      <c r="H3995" s="4">
        <f t="shared" si="1"/>
        <v>0.9978324346</v>
      </c>
      <c r="I3995" s="4" t="str">
        <f t="shared" si="2"/>
        <v>C</v>
      </c>
    </row>
    <row r="3996">
      <c r="A3996" s="2">
        <v>3995.0</v>
      </c>
      <c r="B3996" s="2" t="s">
        <v>4947</v>
      </c>
      <c r="C3996" s="2" t="s">
        <v>4948</v>
      </c>
      <c r="D3996" s="2">
        <v>5.95</v>
      </c>
      <c r="E3996" s="2">
        <v>26.0</v>
      </c>
      <c r="F3996" s="2">
        <v>64.42</v>
      </c>
      <c r="G3996" s="4">
        <f t="shared" si="3"/>
        <v>9523794.28</v>
      </c>
      <c r="H3996" s="4">
        <f t="shared" si="1"/>
        <v>0.9978391841</v>
      </c>
      <c r="I3996" s="4" t="str">
        <f t="shared" si="2"/>
        <v>C</v>
      </c>
    </row>
    <row r="3997">
      <c r="A3997" s="2">
        <v>3996.0</v>
      </c>
      <c r="B3997" s="2" t="s">
        <v>4949</v>
      </c>
      <c r="C3997" s="2" t="s">
        <v>4950</v>
      </c>
      <c r="D3997" s="2">
        <v>9.15</v>
      </c>
      <c r="E3997" s="2">
        <v>7.0</v>
      </c>
      <c r="F3997" s="2">
        <v>64.32</v>
      </c>
      <c r="G3997" s="4">
        <f t="shared" si="3"/>
        <v>9523858.6</v>
      </c>
      <c r="H3997" s="4">
        <f t="shared" si="1"/>
        <v>0.9978459231</v>
      </c>
      <c r="I3997" s="4" t="str">
        <f t="shared" si="2"/>
        <v>C</v>
      </c>
    </row>
    <row r="3998">
      <c r="A3998" s="2">
        <v>3997.0</v>
      </c>
      <c r="B3998" s="2" t="s">
        <v>4951</v>
      </c>
      <c r="C3998" s="2" t="s">
        <v>4952</v>
      </c>
      <c r="D3998" s="2">
        <v>0.85</v>
      </c>
      <c r="E3998" s="2">
        <v>74.0</v>
      </c>
      <c r="F3998" s="2">
        <v>64.2</v>
      </c>
      <c r="G3998" s="4">
        <f t="shared" si="3"/>
        <v>9523922.8</v>
      </c>
      <c r="H3998" s="4">
        <f t="shared" si="1"/>
        <v>0.9978526496</v>
      </c>
      <c r="I3998" s="4" t="str">
        <f t="shared" si="2"/>
        <v>C</v>
      </c>
    </row>
    <row r="3999">
      <c r="A3999" s="2">
        <v>3998.0</v>
      </c>
      <c r="B3999" s="2" t="s">
        <v>4953</v>
      </c>
      <c r="C3999" s="2" t="s">
        <v>4954</v>
      </c>
      <c r="D3999" s="2">
        <v>0.42</v>
      </c>
      <c r="E3999" s="2">
        <v>236.0</v>
      </c>
      <c r="F3999" s="2">
        <v>63.88</v>
      </c>
      <c r="G3999" s="4">
        <f t="shared" si="3"/>
        <v>9523986.68</v>
      </c>
      <c r="H3999" s="4">
        <f t="shared" si="1"/>
        <v>0.9978593425</v>
      </c>
      <c r="I3999" s="4" t="str">
        <f t="shared" si="2"/>
        <v>C</v>
      </c>
    </row>
    <row r="4000">
      <c r="A4000" s="2">
        <v>3999.0</v>
      </c>
      <c r="B4000" s="2" t="s">
        <v>4955</v>
      </c>
      <c r="C4000" s="2" t="s">
        <v>4956</v>
      </c>
      <c r="D4000" s="2">
        <v>8.5</v>
      </c>
      <c r="E4000" s="2">
        <v>8.0</v>
      </c>
      <c r="F4000" s="2">
        <v>63.75</v>
      </c>
      <c r="G4000" s="4">
        <f t="shared" si="3"/>
        <v>9524050.43</v>
      </c>
      <c r="H4000" s="4">
        <f t="shared" si="1"/>
        <v>0.9978660218</v>
      </c>
      <c r="I4000" s="4" t="str">
        <f t="shared" si="2"/>
        <v>C</v>
      </c>
    </row>
    <row r="4001">
      <c r="A4001" s="2">
        <v>4000.0</v>
      </c>
      <c r="B4001" s="2" t="s">
        <v>4957</v>
      </c>
      <c r="C4001" s="2" t="s">
        <v>4958</v>
      </c>
      <c r="D4001" s="2">
        <v>12.75</v>
      </c>
      <c r="E4001" s="2">
        <v>5.0</v>
      </c>
      <c r="F4001" s="2">
        <v>63.75</v>
      </c>
      <c r="G4001" s="4">
        <f t="shared" si="3"/>
        <v>9524114.18</v>
      </c>
      <c r="H4001" s="4">
        <f t="shared" si="1"/>
        <v>0.9978727011</v>
      </c>
      <c r="I4001" s="4" t="str">
        <f t="shared" si="2"/>
        <v>C</v>
      </c>
    </row>
    <row r="4002">
      <c r="A4002" s="2">
        <v>4001.0</v>
      </c>
      <c r="B4002" s="2" t="s">
        <v>4959</v>
      </c>
      <c r="C4002" s="2" t="s">
        <v>4960</v>
      </c>
      <c r="D4002" s="2">
        <v>4.25</v>
      </c>
      <c r="E4002" s="2">
        <v>18.0</v>
      </c>
      <c r="F4002" s="2">
        <v>63.6</v>
      </c>
      <c r="G4002" s="4">
        <f t="shared" si="3"/>
        <v>9524177.78</v>
      </c>
      <c r="H4002" s="4">
        <f t="shared" si="1"/>
        <v>0.9978793647</v>
      </c>
      <c r="I4002" s="4" t="str">
        <f t="shared" si="2"/>
        <v>C</v>
      </c>
    </row>
    <row r="4003">
      <c r="A4003" s="2">
        <v>4002.0</v>
      </c>
      <c r="B4003" s="2" t="s">
        <v>4961</v>
      </c>
      <c r="C4003" s="2" t="s">
        <v>4962</v>
      </c>
      <c r="D4003" s="2">
        <v>0.85</v>
      </c>
      <c r="E4003" s="2">
        <v>108.0</v>
      </c>
      <c r="F4003" s="2">
        <v>63.52</v>
      </c>
      <c r="G4003" s="4">
        <f t="shared" si="3"/>
        <v>9524241.3</v>
      </c>
      <c r="H4003" s="4">
        <f t="shared" si="1"/>
        <v>0.9978860199</v>
      </c>
      <c r="I4003" s="4" t="str">
        <f t="shared" si="2"/>
        <v>C</v>
      </c>
    </row>
    <row r="4004">
      <c r="A4004" s="2">
        <v>4003.0</v>
      </c>
      <c r="B4004" s="2" t="s">
        <v>4963</v>
      </c>
      <c r="C4004" s="2" t="s">
        <v>4964</v>
      </c>
      <c r="D4004" s="2">
        <v>0.29</v>
      </c>
      <c r="E4004" s="2">
        <v>642.0</v>
      </c>
      <c r="F4004" s="2">
        <v>63.41</v>
      </c>
      <c r="G4004" s="4">
        <f t="shared" si="3"/>
        <v>9524304.71</v>
      </c>
      <c r="H4004" s="4">
        <f t="shared" si="1"/>
        <v>0.9978926635</v>
      </c>
      <c r="I4004" s="4" t="str">
        <f t="shared" si="2"/>
        <v>C</v>
      </c>
    </row>
    <row r="4005">
      <c r="A4005" s="2">
        <v>4004.0</v>
      </c>
      <c r="B4005" s="2">
        <v>23303.0</v>
      </c>
      <c r="C4005" s="2" t="s">
        <v>4965</v>
      </c>
      <c r="D4005" s="2">
        <v>1.95</v>
      </c>
      <c r="E4005" s="2">
        <v>32.0</v>
      </c>
      <c r="F4005" s="2">
        <v>63.38</v>
      </c>
      <c r="G4005" s="4">
        <f t="shared" si="3"/>
        <v>9524368.09</v>
      </c>
      <c r="H4005" s="4">
        <f t="shared" si="1"/>
        <v>0.9978993041</v>
      </c>
      <c r="I4005" s="4" t="str">
        <f t="shared" si="2"/>
        <v>C</v>
      </c>
    </row>
    <row r="4006">
      <c r="A4006" s="2">
        <v>4005.0</v>
      </c>
      <c r="B4006" s="2">
        <v>84367.0</v>
      </c>
      <c r="C4006" s="2" t="s">
        <v>4966</v>
      </c>
      <c r="D4006" s="2">
        <v>1.65</v>
      </c>
      <c r="E4006" s="2">
        <v>37.0</v>
      </c>
      <c r="F4006" s="2">
        <v>63.15</v>
      </c>
      <c r="G4006" s="4">
        <f t="shared" si="3"/>
        <v>9524431.24</v>
      </c>
      <c r="H4006" s="4">
        <f t="shared" si="1"/>
        <v>0.9979059205</v>
      </c>
      <c r="I4006" s="4" t="str">
        <f t="shared" si="2"/>
        <v>C</v>
      </c>
    </row>
    <row r="4007">
      <c r="A4007" s="2">
        <v>4006.0</v>
      </c>
      <c r="B4007" s="2" t="s">
        <v>4967</v>
      </c>
      <c r="C4007" s="2" t="s">
        <v>4968</v>
      </c>
      <c r="D4007" s="2">
        <v>1.25</v>
      </c>
      <c r="E4007" s="2">
        <v>50.0</v>
      </c>
      <c r="F4007" s="2">
        <v>63.12</v>
      </c>
      <c r="G4007" s="4">
        <f t="shared" si="3"/>
        <v>9524494.36</v>
      </c>
      <c r="H4007" s="4">
        <f t="shared" si="1"/>
        <v>0.9979125338</v>
      </c>
      <c r="I4007" s="4" t="str">
        <f t="shared" si="2"/>
        <v>C</v>
      </c>
    </row>
    <row r="4008">
      <c r="A4008" s="2">
        <v>4007.0</v>
      </c>
      <c r="B4008" s="2">
        <v>90108.0</v>
      </c>
      <c r="C4008" s="2" t="s">
        <v>4969</v>
      </c>
      <c r="D4008" s="2">
        <v>1.05</v>
      </c>
      <c r="E4008" s="2">
        <v>54.0</v>
      </c>
      <c r="F4008" s="2">
        <v>62.92</v>
      </c>
      <c r="G4008" s="4">
        <f t="shared" si="3"/>
        <v>9524557.28</v>
      </c>
      <c r="H4008" s="4">
        <f t="shared" si="1"/>
        <v>0.9979191261</v>
      </c>
      <c r="I4008" s="4" t="str">
        <f t="shared" si="2"/>
        <v>C</v>
      </c>
    </row>
    <row r="4009">
      <c r="A4009" s="2">
        <v>4008.0</v>
      </c>
      <c r="B4009" s="2">
        <v>16053.0</v>
      </c>
      <c r="C4009" s="2" t="s">
        <v>4970</v>
      </c>
      <c r="D4009" s="2">
        <v>0.21</v>
      </c>
      <c r="E4009" s="2">
        <v>1156.0</v>
      </c>
      <c r="F4009" s="2">
        <v>62.86</v>
      </c>
      <c r="G4009" s="4">
        <f t="shared" si="3"/>
        <v>9524620.14</v>
      </c>
      <c r="H4009" s="4">
        <f t="shared" si="1"/>
        <v>0.9979257122</v>
      </c>
      <c r="I4009" s="4" t="str">
        <f t="shared" si="2"/>
        <v>C</v>
      </c>
    </row>
    <row r="4010">
      <c r="A4010" s="2">
        <v>4009.0</v>
      </c>
      <c r="B4010" s="2">
        <v>23578.0</v>
      </c>
      <c r="C4010" s="2" t="s">
        <v>4971</v>
      </c>
      <c r="D4010" s="2">
        <v>1.95</v>
      </c>
      <c r="E4010" s="2">
        <v>30.0</v>
      </c>
      <c r="F4010" s="2">
        <v>62.86</v>
      </c>
      <c r="G4010" s="4">
        <f t="shared" si="3"/>
        <v>9524683</v>
      </c>
      <c r="H4010" s="4">
        <f t="shared" si="1"/>
        <v>0.9979322982</v>
      </c>
      <c r="I4010" s="4" t="str">
        <f t="shared" si="2"/>
        <v>C</v>
      </c>
    </row>
    <row r="4011">
      <c r="A4011" s="2">
        <v>4010.0</v>
      </c>
      <c r="B4011" s="2">
        <v>90138.0</v>
      </c>
      <c r="C4011" s="2" t="s">
        <v>4972</v>
      </c>
      <c r="D4011" s="2">
        <v>5.4</v>
      </c>
      <c r="E4011" s="2">
        <v>12.0</v>
      </c>
      <c r="F4011" s="2">
        <v>62.82</v>
      </c>
      <c r="G4011" s="4">
        <f t="shared" si="3"/>
        <v>9524745.82</v>
      </c>
      <c r="H4011" s="4">
        <f t="shared" si="1"/>
        <v>0.9979388801</v>
      </c>
      <c r="I4011" s="4" t="str">
        <f t="shared" si="2"/>
        <v>C</v>
      </c>
    </row>
    <row r="4012">
      <c r="A4012" s="2">
        <v>4011.0</v>
      </c>
      <c r="B4012" s="2" t="s">
        <v>4973</v>
      </c>
      <c r="C4012" s="2" t="s">
        <v>1313</v>
      </c>
      <c r="D4012" s="2">
        <v>5.91</v>
      </c>
      <c r="E4012" s="2">
        <v>10.0</v>
      </c>
      <c r="F4012" s="2">
        <v>62.58</v>
      </c>
      <c r="G4012" s="4">
        <f t="shared" si="3"/>
        <v>9524808.4</v>
      </c>
      <c r="H4012" s="4">
        <f t="shared" si="1"/>
        <v>0.9979454368</v>
      </c>
      <c r="I4012" s="4" t="str">
        <f t="shared" si="2"/>
        <v>C</v>
      </c>
    </row>
    <row r="4013">
      <c r="A4013" s="2">
        <v>4012.0</v>
      </c>
      <c r="B4013" s="2">
        <v>85190.0</v>
      </c>
      <c r="C4013" s="2" t="s">
        <v>4974</v>
      </c>
      <c r="D4013" s="2">
        <v>0.85</v>
      </c>
      <c r="E4013" s="2">
        <v>70.0</v>
      </c>
      <c r="F4013" s="2">
        <v>62.08</v>
      </c>
      <c r="G4013" s="4">
        <f t="shared" si="3"/>
        <v>9524870.48</v>
      </c>
      <c r="H4013" s="4">
        <f t="shared" si="1"/>
        <v>0.9979519411</v>
      </c>
      <c r="I4013" s="4" t="str">
        <f t="shared" si="2"/>
        <v>C</v>
      </c>
    </row>
    <row r="4014">
      <c r="A4014" s="2">
        <v>4013.0</v>
      </c>
      <c r="B4014" s="2" t="s">
        <v>4975</v>
      </c>
      <c r="C4014" s="2" t="s">
        <v>4976</v>
      </c>
      <c r="D4014" s="2">
        <v>2.95</v>
      </c>
      <c r="E4014" s="2">
        <v>21.0</v>
      </c>
      <c r="F4014" s="2">
        <v>61.95</v>
      </c>
      <c r="G4014" s="4">
        <f t="shared" si="3"/>
        <v>9524932.43</v>
      </c>
      <c r="H4014" s="4">
        <f t="shared" si="1"/>
        <v>0.9979584318</v>
      </c>
      <c r="I4014" s="4" t="str">
        <f t="shared" si="2"/>
        <v>C</v>
      </c>
    </row>
    <row r="4015">
      <c r="A4015" s="2">
        <v>4014.0</v>
      </c>
      <c r="B4015" s="2">
        <v>72133.0</v>
      </c>
      <c r="C4015" s="2" t="s">
        <v>3392</v>
      </c>
      <c r="D4015" s="2">
        <v>1.25</v>
      </c>
      <c r="E4015" s="2">
        <v>55.0</v>
      </c>
      <c r="F4015" s="2">
        <v>61.94</v>
      </c>
      <c r="G4015" s="4">
        <f t="shared" si="3"/>
        <v>9524994.37</v>
      </c>
      <c r="H4015" s="4">
        <f t="shared" si="1"/>
        <v>0.9979649215</v>
      </c>
      <c r="I4015" s="4" t="str">
        <f t="shared" si="2"/>
        <v>C</v>
      </c>
    </row>
    <row r="4016">
      <c r="A4016" s="2">
        <v>4015.0</v>
      </c>
      <c r="B4016" s="2" t="s">
        <v>4977</v>
      </c>
      <c r="C4016" s="2" t="s">
        <v>4978</v>
      </c>
      <c r="D4016" s="2">
        <v>2.95</v>
      </c>
      <c r="E4016" s="2">
        <v>21.0</v>
      </c>
      <c r="F4016" s="2">
        <v>61.9</v>
      </c>
      <c r="G4016" s="4">
        <f t="shared" si="3"/>
        <v>9525056.27</v>
      </c>
      <c r="H4016" s="4">
        <f t="shared" si="1"/>
        <v>0.997971407</v>
      </c>
      <c r="I4016" s="4" t="str">
        <f t="shared" si="2"/>
        <v>C</v>
      </c>
    </row>
    <row r="4017">
      <c r="A4017" s="2">
        <v>4016.0</v>
      </c>
      <c r="B4017" s="2" t="s">
        <v>4979</v>
      </c>
      <c r="C4017" s="2" t="s">
        <v>4980</v>
      </c>
      <c r="D4017" s="2">
        <v>3.75</v>
      </c>
      <c r="E4017" s="2">
        <v>16.0</v>
      </c>
      <c r="F4017" s="2">
        <v>61.88</v>
      </c>
      <c r="G4017" s="4">
        <f t="shared" si="3"/>
        <v>9525118.15</v>
      </c>
      <c r="H4017" s="4">
        <f t="shared" si="1"/>
        <v>0.9979778903</v>
      </c>
      <c r="I4017" s="4" t="str">
        <f t="shared" si="2"/>
        <v>C</v>
      </c>
    </row>
    <row r="4018">
      <c r="A4018" s="2">
        <v>4017.0</v>
      </c>
      <c r="B4018" s="2">
        <v>20816.0</v>
      </c>
      <c r="C4018" s="2" t="s">
        <v>4981</v>
      </c>
      <c r="D4018" s="2">
        <v>6.75</v>
      </c>
      <c r="E4018" s="2">
        <v>12.0</v>
      </c>
      <c r="F4018" s="2">
        <v>61.8</v>
      </c>
      <c r="G4018" s="4">
        <f t="shared" si="3"/>
        <v>9525179.95</v>
      </c>
      <c r="H4018" s="4">
        <f t="shared" si="1"/>
        <v>0.9979843653</v>
      </c>
      <c r="I4018" s="4" t="str">
        <f t="shared" si="2"/>
        <v>C</v>
      </c>
    </row>
    <row r="4019">
      <c r="A4019" s="2">
        <v>4018.0</v>
      </c>
      <c r="B4019" s="2">
        <v>23477.0</v>
      </c>
      <c r="C4019" s="2" t="s">
        <v>4982</v>
      </c>
      <c r="D4019" s="2">
        <v>1.25</v>
      </c>
      <c r="E4019" s="2">
        <v>46.0</v>
      </c>
      <c r="F4019" s="2">
        <v>61.74</v>
      </c>
      <c r="G4019" s="4">
        <f t="shared" si="3"/>
        <v>9525241.69</v>
      </c>
      <c r="H4019" s="4">
        <f t="shared" si="1"/>
        <v>0.997990834</v>
      </c>
      <c r="I4019" s="4" t="str">
        <f t="shared" si="2"/>
        <v>C</v>
      </c>
    </row>
    <row r="4020">
      <c r="A4020" s="2">
        <v>4019.0</v>
      </c>
      <c r="B4020" s="2">
        <v>21228.0</v>
      </c>
      <c r="C4020" s="2" t="s">
        <v>4983</v>
      </c>
      <c r="D4020" s="2">
        <v>1.25</v>
      </c>
      <c r="E4020" s="2">
        <v>48.0</v>
      </c>
      <c r="F4020" s="2">
        <v>61.28</v>
      </c>
      <c r="G4020" s="4">
        <f t="shared" si="3"/>
        <v>9525302.97</v>
      </c>
      <c r="H4020" s="4">
        <f t="shared" si="1"/>
        <v>0.9979972545</v>
      </c>
      <c r="I4020" s="4" t="str">
        <f t="shared" si="2"/>
        <v>C</v>
      </c>
    </row>
    <row r="4021">
      <c r="A4021" s="2">
        <v>4020.0</v>
      </c>
      <c r="B4021" s="2" t="s">
        <v>4984</v>
      </c>
      <c r="C4021" s="2" t="s">
        <v>4985</v>
      </c>
      <c r="D4021" s="2">
        <v>0.85</v>
      </c>
      <c r="E4021" s="2">
        <v>72.0</v>
      </c>
      <c r="F4021" s="2">
        <v>61.2</v>
      </c>
      <c r="G4021" s="4">
        <f t="shared" si="3"/>
        <v>9525364.17</v>
      </c>
      <c r="H4021" s="4">
        <f t="shared" si="1"/>
        <v>0.9980036666</v>
      </c>
      <c r="I4021" s="4" t="str">
        <f t="shared" si="2"/>
        <v>C</v>
      </c>
    </row>
    <row r="4022">
      <c r="A4022" s="2">
        <v>4021.0</v>
      </c>
      <c r="B4022" s="2" t="s">
        <v>4986</v>
      </c>
      <c r="C4022" s="2" t="s">
        <v>4987</v>
      </c>
      <c r="D4022" s="2">
        <v>1.65</v>
      </c>
      <c r="E4022" s="2">
        <v>39.0</v>
      </c>
      <c r="F4022" s="2">
        <v>61.16</v>
      </c>
      <c r="G4022" s="4">
        <f t="shared" si="3"/>
        <v>9525425.33</v>
      </c>
      <c r="H4022" s="4">
        <f t="shared" si="1"/>
        <v>0.9980100746</v>
      </c>
      <c r="I4022" s="4" t="str">
        <f t="shared" si="2"/>
        <v>C</v>
      </c>
    </row>
    <row r="4023">
      <c r="A4023" s="2">
        <v>4022.0</v>
      </c>
      <c r="B4023" s="2">
        <v>84199.0</v>
      </c>
      <c r="C4023" s="2" t="s">
        <v>4988</v>
      </c>
      <c r="D4023" s="2">
        <v>0.21</v>
      </c>
      <c r="E4023" s="2">
        <v>279.0</v>
      </c>
      <c r="F4023" s="2">
        <v>60.96</v>
      </c>
      <c r="G4023" s="4">
        <f t="shared" si="3"/>
        <v>9525486.29</v>
      </c>
      <c r="H4023" s="4">
        <f t="shared" si="1"/>
        <v>0.9980164616</v>
      </c>
      <c r="I4023" s="4" t="str">
        <f t="shared" si="2"/>
        <v>C</v>
      </c>
    </row>
    <row r="4024">
      <c r="A4024" s="2">
        <v>4023.0</v>
      </c>
      <c r="B4024" s="2" t="s">
        <v>4989</v>
      </c>
      <c r="C4024" s="2" t="s">
        <v>4990</v>
      </c>
      <c r="D4024" s="2">
        <v>1.25</v>
      </c>
      <c r="E4024" s="2">
        <v>54.0</v>
      </c>
      <c r="F4024" s="2">
        <v>60.76</v>
      </c>
      <c r="G4024" s="4">
        <f t="shared" si="3"/>
        <v>9525547.05</v>
      </c>
      <c r="H4024" s="4">
        <f t="shared" si="1"/>
        <v>0.9980228276</v>
      </c>
      <c r="I4024" s="4" t="str">
        <f t="shared" si="2"/>
        <v>C</v>
      </c>
    </row>
    <row r="4025">
      <c r="A4025" s="2">
        <v>4024.0</v>
      </c>
      <c r="B4025" s="2" t="s">
        <v>4991</v>
      </c>
      <c r="C4025" s="2" t="s">
        <v>4992</v>
      </c>
      <c r="D4025" s="2">
        <v>1.95</v>
      </c>
      <c r="E4025" s="2">
        <v>31.0</v>
      </c>
      <c r="F4025" s="2">
        <v>60.45</v>
      </c>
      <c r="G4025" s="4">
        <f t="shared" si="3"/>
        <v>9525607.5</v>
      </c>
      <c r="H4025" s="4">
        <f t="shared" si="1"/>
        <v>0.9980291611</v>
      </c>
      <c r="I4025" s="4" t="str">
        <f t="shared" si="2"/>
        <v>C</v>
      </c>
    </row>
    <row r="4026">
      <c r="A4026" s="2">
        <v>4025.0</v>
      </c>
      <c r="B4026" s="2">
        <v>23467.0</v>
      </c>
      <c r="C4026" s="2" t="s">
        <v>4993</v>
      </c>
      <c r="D4026" s="2">
        <v>3.29</v>
      </c>
      <c r="E4026" s="2">
        <v>16.0</v>
      </c>
      <c r="F4026" s="2">
        <v>60.04</v>
      </c>
      <c r="G4026" s="4">
        <f t="shared" si="3"/>
        <v>9525667.54</v>
      </c>
      <c r="H4026" s="4">
        <f t="shared" si="1"/>
        <v>0.9980354517</v>
      </c>
      <c r="I4026" s="4" t="str">
        <f t="shared" si="2"/>
        <v>C</v>
      </c>
    </row>
    <row r="4027">
      <c r="A4027" s="2">
        <v>4026.0</v>
      </c>
      <c r="B4027" s="2">
        <v>79532.0</v>
      </c>
      <c r="C4027" s="2" t="s">
        <v>4994</v>
      </c>
      <c r="D4027" s="2">
        <v>1.25</v>
      </c>
      <c r="E4027" s="2">
        <v>48.0</v>
      </c>
      <c r="F4027" s="2">
        <v>60.0</v>
      </c>
      <c r="G4027" s="4">
        <f t="shared" si="3"/>
        <v>9525727.54</v>
      </c>
      <c r="H4027" s="4">
        <f t="shared" si="1"/>
        <v>0.9980417381</v>
      </c>
      <c r="I4027" s="4" t="str">
        <f t="shared" si="2"/>
        <v>C</v>
      </c>
    </row>
    <row r="4028">
      <c r="A4028" s="2">
        <v>4027.0</v>
      </c>
      <c r="B4028" s="2" t="s">
        <v>4995</v>
      </c>
      <c r="C4028" s="2" t="s">
        <v>4996</v>
      </c>
      <c r="D4028" s="2">
        <v>0.63</v>
      </c>
      <c r="E4028" s="2">
        <v>66.0</v>
      </c>
      <c r="F4028" s="2">
        <v>59.84</v>
      </c>
      <c r="G4028" s="4">
        <f t="shared" si="3"/>
        <v>9525787.38</v>
      </c>
      <c r="H4028" s="4">
        <f t="shared" si="1"/>
        <v>0.9980480077</v>
      </c>
      <c r="I4028" s="4" t="str">
        <f t="shared" si="2"/>
        <v>C</v>
      </c>
    </row>
    <row r="4029">
      <c r="A4029" s="2">
        <v>4028.0</v>
      </c>
      <c r="B4029" s="2" t="s">
        <v>4997</v>
      </c>
      <c r="C4029" s="2" t="s">
        <v>4998</v>
      </c>
      <c r="D4029" s="2">
        <v>0.19</v>
      </c>
      <c r="E4029" s="2">
        <v>278.0</v>
      </c>
      <c r="F4029" s="2">
        <v>59.4</v>
      </c>
      <c r="G4029" s="4">
        <f t="shared" si="3"/>
        <v>9525846.78</v>
      </c>
      <c r="H4029" s="4">
        <f t="shared" si="1"/>
        <v>0.9980542313</v>
      </c>
      <c r="I4029" s="4" t="str">
        <f t="shared" si="2"/>
        <v>C</v>
      </c>
    </row>
    <row r="4030">
      <c r="A4030" s="2">
        <v>4029.0</v>
      </c>
      <c r="B4030" s="2" t="s">
        <v>4999</v>
      </c>
      <c r="C4030" s="2" t="s">
        <v>5000</v>
      </c>
      <c r="D4030" s="2">
        <v>4.24</v>
      </c>
      <c r="E4030" s="2">
        <v>14.0</v>
      </c>
      <c r="F4030" s="2">
        <v>59.26</v>
      </c>
      <c r="G4030" s="4">
        <f t="shared" si="3"/>
        <v>9525906.04</v>
      </c>
      <c r="H4030" s="4">
        <f t="shared" si="1"/>
        <v>0.9980604401</v>
      </c>
      <c r="I4030" s="4" t="str">
        <f t="shared" si="2"/>
        <v>C</v>
      </c>
    </row>
    <row r="4031">
      <c r="A4031" s="2">
        <v>4030.0</v>
      </c>
      <c r="B4031" s="2">
        <v>20887.0</v>
      </c>
      <c r="C4031" s="2" t="s">
        <v>5001</v>
      </c>
      <c r="D4031" s="2">
        <v>5.62</v>
      </c>
      <c r="E4031" s="2">
        <v>9.0</v>
      </c>
      <c r="F4031" s="2">
        <v>59.2</v>
      </c>
      <c r="G4031" s="4">
        <f t="shared" si="3"/>
        <v>9525965.24</v>
      </c>
      <c r="H4031" s="4">
        <f t="shared" si="1"/>
        <v>0.9980666427</v>
      </c>
      <c r="I4031" s="4" t="str">
        <f t="shared" si="2"/>
        <v>C</v>
      </c>
    </row>
    <row r="4032">
      <c r="A4032" s="2">
        <v>4031.0</v>
      </c>
      <c r="B4032" s="2">
        <v>90139.0</v>
      </c>
      <c r="C4032" s="2" t="s">
        <v>5002</v>
      </c>
      <c r="D4032" s="2">
        <v>5.2</v>
      </c>
      <c r="E4032" s="2">
        <v>12.0</v>
      </c>
      <c r="F4032" s="2">
        <v>59.12</v>
      </c>
      <c r="G4032" s="4">
        <f t="shared" si="3"/>
        <v>9526024.36</v>
      </c>
      <c r="H4032" s="4">
        <f t="shared" si="1"/>
        <v>0.9980728369</v>
      </c>
      <c r="I4032" s="4" t="str">
        <f t="shared" si="2"/>
        <v>C</v>
      </c>
    </row>
    <row r="4033">
      <c r="A4033" s="2">
        <v>4032.0</v>
      </c>
      <c r="B4033" s="2" t="s">
        <v>5003</v>
      </c>
      <c r="C4033" s="2" t="s">
        <v>5004</v>
      </c>
      <c r="D4033" s="2">
        <v>2.95</v>
      </c>
      <c r="E4033" s="2">
        <v>20.0</v>
      </c>
      <c r="F4033" s="2">
        <v>59.03</v>
      </c>
      <c r="G4033" s="4">
        <f t="shared" si="3"/>
        <v>9526083.39</v>
      </c>
      <c r="H4033" s="4">
        <f t="shared" si="1"/>
        <v>0.9980790217</v>
      </c>
      <c r="I4033" s="4" t="str">
        <f t="shared" si="2"/>
        <v>C</v>
      </c>
    </row>
    <row r="4034">
      <c r="A4034" s="2">
        <v>4033.0</v>
      </c>
      <c r="B4034" s="2">
        <v>20896.0</v>
      </c>
      <c r="C4034" s="2" t="s">
        <v>5005</v>
      </c>
      <c r="D4034" s="2">
        <v>2.95</v>
      </c>
      <c r="E4034" s="2">
        <v>20.0</v>
      </c>
      <c r="F4034" s="2">
        <v>59.0</v>
      </c>
      <c r="G4034" s="4">
        <f t="shared" si="3"/>
        <v>9526142.39</v>
      </c>
      <c r="H4034" s="4">
        <f t="shared" si="1"/>
        <v>0.9980852033</v>
      </c>
      <c r="I4034" s="4" t="str">
        <f t="shared" si="2"/>
        <v>C</v>
      </c>
    </row>
    <row r="4035">
      <c r="A4035" s="2">
        <v>4034.0</v>
      </c>
      <c r="B4035" s="2" t="s">
        <v>5006</v>
      </c>
      <c r="C4035" s="2" t="s">
        <v>5007</v>
      </c>
      <c r="D4035" s="2">
        <v>2.46</v>
      </c>
      <c r="E4035" s="2">
        <v>74.0</v>
      </c>
      <c r="F4035" s="2">
        <v>58.88</v>
      </c>
      <c r="G4035" s="4">
        <f t="shared" si="3"/>
        <v>9526201.27</v>
      </c>
      <c r="H4035" s="4">
        <f t="shared" si="1"/>
        <v>0.9980913724</v>
      </c>
      <c r="I4035" s="4" t="str">
        <f t="shared" si="2"/>
        <v>C</v>
      </c>
    </row>
    <row r="4036">
      <c r="A4036" s="2">
        <v>4035.0</v>
      </c>
      <c r="B4036" s="2" t="s">
        <v>5008</v>
      </c>
      <c r="C4036" s="2" t="s">
        <v>5009</v>
      </c>
      <c r="D4036" s="2">
        <v>3.75</v>
      </c>
      <c r="E4036" s="2">
        <v>20.0</v>
      </c>
      <c r="F4036" s="2">
        <v>58.72</v>
      </c>
      <c r="G4036" s="4">
        <f t="shared" si="3"/>
        <v>9526259.99</v>
      </c>
      <c r="H4036" s="4">
        <f t="shared" si="1"/>
        <v>0.9980975246</v>
      </c>
      <c r="I4036" s="4" t="str">
        <f t="shared" si="2"/>
        <v>C</v>
      </c>
    </row>
    <row r="4037">
      <c r="A4037" s="2">
        <v>4036.0</v>
      </c>
      <c r="B4037" s="2" t="s">
        <v>5010</v>
      </c>
      <c r="C4037" s="2" t="s">
        <v>5011</v>
      </c>
      <c r="D4037" s="2">
        <v>0.94</v>
      </c>
      <c r="E4037" s="2">
        <v>118.0</v>
      </c>
      <c r="F4037" s="2">
        <v>58.52</v>
      </c>
      <c r="G4037" s="4">
        <f t="shared" si="3"/>
        <v>9526318.51</v>
      </c>
      <c r="H4037" s="4">
        <f t="shared" si="1"/>
        <v>0.998103656</v>
      </c>
      <c r="I4037" s="4" t="str">
        <f t="shared" si="2"/>
        <v>C</v>
      </c>
    </row>
    <row r="4038">
      <c r="A4038" s="2">
        <v>4037.0</v>
      </c>
      <c r="B4038" s="2" t="s">
        <v>5012</v>
      </c>
      <c r="C4038" s="2" t="s">
        <v>5013</v>
      </c>
      <c r="D4038" s="2">
        <v>3.75</v>
      </c>
      <c r="E4038" s="2">
        <v>16.0</v>
      </c>
      <c r="F4038" s="2">
        <v>58.44</v>
      </c>
      <c r="G4038" s="4">
        <f t="shared" si="3"/>
        <v>9526376.95</v>
      </c>
      <c r="H4038" s="4">
        <f t="shared" si="1"/>
        <v>0.9981097789</v>
      </c>
      <c r="I4038" s="4" t="str">
        <f t="shared" si="2"/>
        <v>C</v>
      </c>
    </row>
    <row r="4039">
      <c r="A4039" s="2">
        <v>4038.0</v>
      </c>
      <c r="B4039" s="2">
        <v>23151.0</v>
      </c>
      <c r="C4039" s="2" t="s">
        <v>5014</v>
      </c>
      <c r="D4039" s="2">
        <v>2.49</v>
      </c>
      <c r="E4039" s="2">
        <v>31.0</v>
      </c>
      <c r="F4039" s="2">
        <v>58.41</v>
      </c>
      <c r="G4039" s="4">
        <f t="shared" si="3"/>
        <v>9526435.36</v>
      </c>
      <c r="H4039" s="4">
        <f t="shared" si="1"/>
        <v>0.9981158987</v>
      </c>
      <c r="I4039" s="4" t="str">
        <f t="shared" si="2"/>
        <v>C</v>
      </c>
    </row>
    <row r="4040">
      <c r="A4040" s="2">
        <v>4039.0</v>
      </c>
      <c r="B4040" s="2">
        <v>23185.0</v>
      </c>
      <c r="C4040" s="2" t="s">
        <v>5015</v>
      </c>
      <c r="D4040" s="2">
        <v>0.29</v>
      </c>
      <c r="E4040" s="2">
        <v>162.0</v>
      </c>
      <c r="F4040" s="2">
        <v>58.29</v>
      </c>
      <c r="G4040" s="4">
        <f t="shared" si="3"/>
        <v>9526493.65</v>
      </c>
      <c r="H4040" s="4">
        <f t="shared" si="1"/>
        <v>0.998122006</v>
      </c>
      <c r="I4040" s="4" t="str">
        <f t="shared" si="2"/>
        <v>C</v>
      </c>
    </row>
    <row r="4041">
      <c r="A4041" s="2">
        <v>4040.0</v>
      </c>
      <c r="B4041" s="2" t="s">
        <v>5016</v>
      </c>
      <c r="C4041" s="2" t="s">
        <v>5017</v>
      </c>
      <c r="D4041" s="2">
        <v>1.25</v>
      </c>
      <c r="E4041" s="2">
        <v>48.0</v>
      </c>
      <c r="F4041" s="2">
        <v>58.2</v>
      </c>
      <c r="G4041" s="4">
        <f t="shared" si="3"/>
        <v>9526551.85</v>
      </c>
      <c r="H4041" s="4">
        <f t="shared" si="1"/>
        <v>0.9981281038</v>
      </c>
      <c r="I4041" s="4" t="str">
        <f t="shared" si="2"/>
        <v>C</v>
      </c>
    </row>
    <row r="4042">
      <c r="A4042" s="2">
        <v>4041.0</v>
      </c>
      <c r="B4042" s="2">
        <v>90101.0</v>
      </c>
      <c r="C4042" s="2" t="s">
        <v>5018</v>
      </c>
      <c r="D4042" s="2">
        <v>2.54</v>
      </c>
      <c r="E4042" s="2">
        <v>23.0</v>
      </c>
      <c r="F4042" s="2">
        <v>57.93</v>
      </c>
      <c r="G4042" s="4">
        <f t="shared" si="3"/>
        <v>9526609.78</v>
      </c>
      <c r="H4042" s="4">
        <f t="shared" si="1"/>
        <v>0.9981341733</v>
      </c>
      <c r="I4042" s="4" t="str">
        <f t="shared" si="2"/>
        <v>C</v>
      </c>
    </row>
    <row r="4043">
      <c r="A4043" s="2">
        <v>4042.0</v>
      </c>
      <c r="B4043" s="2">
        <v>20848.0</v>
      </c>
      <c r="C4043" s="2" t="s">
        <v>5019</v>
      </c>
      <c r="D4043" s="2">
        <v>2.95</v>
      </c>
      <c r="E4043" s="2">
        <v>20.0</v>
      </c>
      <c r="F4043" s="2">
        <v>57.53</v>
      </c>
      <c r="G4043" s="4">
        <f t="shared" si="3"/>
        <v>9526667.31</v>
      </c>
      <c r="H4043" s="4">
        <f t="shared" si="1"/>
        <v>0.9981402009</v>
      </c>
      <c r="I4043" s="4" t="str">
        <f t="shared" si="2"/>
        <v>C</v>
      </c>
    </row>
    <row r="4044">
      <c r="A4044" s="2">
        <v>4043.0</v>
      </c>
      <c r="B4044" s="2">
        <v>84462.0</v>
      </c>
      <c r="C4044" s="2" t="s">
        <v>5020</v>
      </c>
      <c r="D4044" s="2">
        <v>1.25</v>
      </c>
      <c r="E4044" s="2">
        <v>50.0</v>
      </c>
      <c r="F4044" s="2">
        <v>57.43</v>
      </c>
      <c r="G4044" s="4">
        <f t="shared" si="3"/>
        <v>9526724.74</v>
      </c>
      <c r="H4044" s="4">
        <f t="shared" si="1"/>
        <v>0.998146218</v>
      </c>
      <c r="I4044" s="4" t="str">
        <f t="shared" si="2"/>
        <v>C</v>
      </c>
    </row>
    <row r="4045">
      <c r="A4045" s="2">
        <v>4044.0</v>
      </c>
      <c r="B4045" s="2">
        <v>20698.0</v>
      </c>
      <c r="C4045" s="2" t="s">
        <v>5021</v>
      </c>
      <c r="D4045" s="2">
        <v>2.55</v>
      </c>
      <c r="E4045" s="2">
        <v>24.0</v>
      </c>
      <c r="F4045" s="2">
        <v>57.22</v>
      </c>
      <c r="G4045" s="4">
        <f t="shared" si="3"/>
        <v>9526781.96</v>
      </c>
      <c r="H4045" s="4">
        <f t="shared" si="1"/>
        <v>0.9981522132</v>
      </c>
      <c r="I4045" s="4" t="str">
        <f t="shared" si="2"/>
        <v>C</v>
      </c>
    </row>
    <row r="4046">
      <c r="A4046" s="2">
        <v>4045.0</v>
      </c>
      <c r="B4046" s="2" t="s">
        <v>5022</v>
      </c>
      <c r="C4046" s="2" t="s">
        <v>5023</v>
      </c>
      <c r="D4046" s="2">
        <v>1.0</v>
      </c>
      <c r="E4046" s="2">
        <v>40.0</v>
      </c>
      <c r="F4046" s="2">
        <v>56.88</v>
      </c>
      <c r="G4046" s="4">
        <f t="shared" si="3"/>
        <v>9526838.84</v>
      </c>
      <c r="H4046" s="4">
        <f t="shared" si="1"/>
        <v>0.9981581727</v>
      </c>
      <c r="I4046" s="4" t="str">
        <f t="shared" si="2"/>
        <v>C</v>
      </c>
    </row>
    <row r="4047">
      <c r="A4047" s="2">
        <v>4046.0</v>
      </c>
      <c r="B4047" s="2" t="s">
        <v>5024</v>
      </c>
      <c r="C4047" s="2" t="s">
        <v>5025</v>
      </c>
      <c r="D4047" s="2">
        <v>1.25</v>
      </c>
      <c r="E4047" s="2">
        <v>42.0</v>
      </c>
      <c r="F4047" s="2">
        <v>56.64</v>
      </c>
      <c r="G4047" s="4">
        <f t="shared" si="3"/>
        <v>9526895.48</v>
      </c>
      <c r="H4047" s="4">
        <f t="shared" si="1"/>
        <v>0.998164107</v>
      </c>
      <c r="I4047" s="4" t="str">
        <f t="shared" si="2"/>
        <v>C</v>
      </c>
    </row>
    <row r="4048">
      <c r="A4048" s="2">
        <v>4047.0</v>
      </c>
      <c r="B4048" s="2" t="s">
        <v>5026</v>
      </c>
      <c r="C4048" s="2" t="s">
        <v>5027</v>
      </c>
      <c r="D4048" s="2">
        <v>0.42</v>
      </c>
      <c r="E4048" s="2">
        <v>126.0</v>
      </c>
      <c r="F4048" s="2">
        <v>56.61</v>
      </c>
      <c r="G4048" s="4">
        <f t="shared" si="3"/>
        <v>9526952.09</v>
      </c>
      <c r="H4048" s="4">
        <f t="shared" si="1"/>
        <v>0.9981700382</v>
      </c>
      <c r="I4048" s="4" t="str">
        <f t="shared" si="2"/>
        <v>C</v>
      </c>
    </row>
    <row r="4049">
      <c r="A4049" s="2">
        <v>4048.0</v>
      </c>
      <c r="B4049" s="2" t="s">
        <v>5028</v>
      </c>
      <c r="C4049" s="2" t="s">
        <v>5029</v>
      </c>
      <c r="D4049" s="2">
        <v>5.95</v>
      </c>
      <c r="E4049" s="2">
        <v>8.0</v>
      </c>
      <c r="F4049" s="2">
        <v>56.46</v>
      </c>
      <c r="G4049" s="4">
        <f t="shared" si="3"/>
        <v>9527008.55</v>
      </c>
      <c r="H4049" s="4">
        <f t="shared" si="1"/>
        <v>0.9981759537</v>
      </c>
      <c r="I4049" s="4" t="str">
        <f t="shared" si="2"/>
        <v>C</v>
      </c>
    </row>
    <row r="4050">
      <c r="A4050" s="2">
        <v>4049.0</v>
      </c>
      <c r="B4050" s="2" t="s">
        <v>5030</v>
      </c>
      <c r="C4050" s="2" t="s">
        <v>5031</v>
      </c>
      <c r="D4050" s="2">
        <v>3.75</v>
      </c>
      <c r="E4050" s="2">
        <v>15.0</v>
      </c>
      <c r="F4050" s="2">
        <v>56.4</v>
      </c>
      <c r="G4050" s="4">
        <f t="shared" si="3"/>
        <v>9527064.95</v>
      </c>
      <c r="H4050" s="4">
        <f t="shared" si="1"/>
        <v>0.998181863</v>
      </c>
      <c r="I4050" s="4" t="str">
        <f t="shared" si="2"/>
        <v>C</v>
      </c>
    </row>
    <row r="4051">
      <c r="A4051" s="2">
        <v>4050.0</v>
      </c>
      <c r="B4051" s="2" t="s">
        <v>5032</v>
      </c>
      <c r="C4051" s="2" t="s">
        <v>5033</v>
      </c>
      <c r="D4051" s="2">
        <v>5.95</v>
      </c>
      <c r="E4051" s="2">
        <v>10.0</v>
      </c>
      <c r="F4051" s="2">
        <v>56.39</v>
      </c>
      <c r="G4051" s="4">
        <f t="shared" si="3"/>
        <v>9527121.34</v>
      </c>
      <c r="H4051" s="4">
        <f t="shared" si="1"/>
        <v>0.9981877711</v>
      </c>
      <c r="I4051" s="4" t="str">
        <f t="shared" si="2"/>
        <v>C</v>
      </c>
    </row>
    <row r="4052">
      <c r="A4052" s="2">
        <v>4051.0</v>
      </c>
      <c r="B4052" s="2">
        <v>16043.0</v>
      </c>
      <c r="C4052" s="2" t="s">
        <v>5034</v>
      </c>
      <c r="D4052" s="2">
        <v>0.42</v>
      </c>
      <c r="E4052" s="2">
        <v>580.0</v>
      </c>
      <c r="F4052" s="2">
        <v>56.31</v>
      </c>
      <c r="G4052" s="4">
        <f t="shared" si="3"/>
        <v>9527177.65</v>
      </c>
      <c r="H4052" s="4">
        <f t="shared" si="1"/>
        <v>0.9981936709</v>
      </c>
      <c r="I4052" s="4" t="str">
        <f t="shared" si="2"/>
        <v>C</v>
      </c>
    </row>
    <row r="4053">
      <c r="A4053" s="2">
        <v>4052.0</v>
      </c>
      <c r="B4053" s="2">
        <v>21089.0</v>
      </c>
      <c r="C4053" s="2" t="s">
        <v>5035</v>
      </c>
      <c r="D4053" s="2">
        <v>0.19</v>
      </c>
      <c r="E4053" s="2">
        <v>162.0</v>
      </c>
      <c r="F4053" s="2">
        <v>56.27</v>
      </c>
      <c r="G4053" s="4">
        <f t="shared" si="3"/>
        <v>9527233.92</v>
      </c>
      <c r="H4053" s="4">
        <f t="shared" si="1"/>
        <v>0.9981995665</v>
      </c>
      <c r="I4053" s="4" t="str">
        <f t="shared" si="2"/>
        <v>C</v>
      </c>
    </row>
    <row r="4054">
      <c r="A4054" s="2">
        <v>4053.0</v>
      </c>
      <c r="B4054" s="2">
        <v>84921.0</v>
      </c>
      <c r="C4054" s="2" t="s">
        <v>5036</v>
      </c>
      <c r="D4054" s="2">
        <v>3.75</v>
      </c>
      <c r="E4054" s="2">
        <v>15.0</v>
      </c>
      <c r="F4054" s="2">
        <v>56.25</v>
      </c>
      <c r="G4054" s="4">
        <f t="shared" si="3"/>
        <v>9527290.17</v>
      </c>
      <c r="H4054" s="4">
        <f t="shared" si="1"/>
        <v>0.99820546</v>
      </c>
      <c r="I4054" s="4" t="str">
        <f t="shared" si="2"/>
        <v>C</v>
      </c>
    </row>
    <row r="4055">
      <c r="A4055" s="2">
        <v>4054.0</v>
      </c>
      <c r="B4055" s="2">
        <v>44236.0</v>
      </c>
      <c r="C4055" s="2" t="s">
        <v>5037</v>
      </c>
      <c r="D4055" s="2">
        <v>4.65</v>
      </c>
      <c r="E4055" s="2">
        <v>32.0</v>
      </c>
      <c r="F4055" s="2">
        <v>56.16</v>
      </c>
      <c r="G4055" s="4">
        <f t="shared" si="3"/>
        <v>9527346.33</v>
      </c>
      <c r="H4055" s="4">
        <f t="shared" si="1"/>
        <v>0.9982113441</v>
      </c>
      <c r="I4055" s="4" t="str">
        <f t="shared" si="2"/>
        <v>C</v>
      </c>
    </row>
    <row r="4056">
      <c r="A4056" s="2">
        <v>4055.0</v>
      </c>
      <c r="B4056" s="2" t="s">
        <v>5038</v>
      </c>
      <c r="C4056" s="2" t="s">
        <v>5039</v>
      </c>
      <c r="D4056" s="2">
        <v>0.74</v>
      </c>
      <c r="E4056" s="2">
        <v>64.0</v>
      </c>
      <c r="F4056" s="2">
        <v>56.02</v>
      </c>
      <c r="G4056" s="4">
        <f t="shared" si="3"/>
        <v>9527402.35</v>
      </c>
      <c r="H4056" s="4">
        <f t="shared" si="1"/>
        <v>0.9982172135</v>
      </c>
      <c r="I4056" s="4" t="str">
        <f t="shared" si="2"/>
        <v>C</v>
      </c>
    </row>
    <row r="4057">
      <c r="A4057" s="2">
        <v>4056.0</v>
      </c>
      <c r="B4057" s="2">
        <v>71510.0</v>
      </c>
      <c r="C4057" s="2" t="s">
        <v>5040</v>
      </c>
      <c r="D4057" s="2">
        <v>0.85</v>
      </c>
      <c r="E4057" s="2">
        <v>88.0</v>
      </c>
      <c r="F4057" s="2">
        <v>56.02</v>
      </c>
      <c r="G4057" s="4">
        <f t="shared" si="3"/>
        <v>9527458.37</v>
      </c>
      <c r="H4057" s="4">
        <f t="shared" si="1"/>
        <v>0.9982230829</v>
      </c>
      <c r="I4057" s="4" t="str">
        <f t="shared" si="2"/>
        <v>C</v>
      </c>
    </row>
    <row r="4058">
      <c r="A4058" s="2">
        <v>4057.0</v>
      </c>
      <c r="B4058" s="2" t="s">
        <v>5041</v>
      </c>
      <c r="C4058" s="2" t="s">
        <v>5042</v>
      </c>
      <c r="D4058" s="2">
        <v>0.42</v>
      </c>
      <c r="E4058" s="2">
        <v>147.0</v>
      </c>
      <c r="F4058" s="2">
        <v>55.78</v>
      </c>
      <c r="G4058" s="4">
        <f t="shared" si="3"/>
        <v>9527514.15</v>
      </c>
      <c r="H4058" s="4">
        <f t="shared" si="1"/>
        <v>0.9982289271</v>
      </c>
      <c r="I4058" s="4" t="str">
        <f t="shared" si="2"/>
        <v>C</v>
      </c>
    </row>
    <row r="4059">
      <c r="A4059" s="2">
        <v>4058.0</v>
      </c>
      <c r="B4059" s="2">
        <v>35966.0</v>
      </c>
      <c r="C4059" s="2" t="s">
        <v>5043</v>
      </c>
      <c r="D4059" s="2">
        <v>0.38</v>
      </c>
      <c r="E4059" s="2">
        <v>128.0</v>
      </c>
      <c r="F4059" s="2">
        <v>55.67</v>
      </c>
      <c r="G4059" s="4">
        <f t="shared" si="3"/>
        <v>9527569.82</v>
      </c>
      <c r="H4059" s="4">
        <f t="shared" si="1"/>
        <v>0.9982347598</v>
      </c>
      <c r="I4059" s="4" t="str">
        <f t="shared" si="2"/>
        <v>C</v>
      </c>
    </row>
    <row r="4060">
      <c r="A4060" s="2">
        <v>4059.0</v>
      </c>
      <c r="B4060" s="2">
        <v>10138.0</v>
      </c>
      <c r="C4060" s="2" t="s">
        <v>5044</v>
      </c>
      <c r="D4060" s="2">
        <v>0.42</v>
      </c>
      <c r="E4060" s="2">
        <v>130.0</v>
      </c>
      <c r="F4060" s="2">
        <v>55.61</v>
      </c>
      <c r="G4060" s="4">
        <f t="shared" si="3"/>
        <v>9527625.43</v>
      </c>
      <c r="H4060" s="4">
        <f t="shared" si="1"/>
        <v>0.9982405863</v>
      </c>
      <c r="I4060" s="4" t="str">
        <f t="shared" si="2"/>
        <v>C</v>
      </c>
    </row>
    <row r="4061">
      <c r="A4061" s="2">
        <v>4060.0</v>
      </c>
      <c r="B4061" s="2">
        <v>90103.0</v>
      </c>
      <c r="C4061" s="2" t="s">
        <v>5045</v>
      </c>
      <c r="D4061" s="2">
        <v>2.54</v>
      </c>
      <c r="E4061" s="2">
        <v>22.0</v>
      </c>
      <c r="F4061" s="2">
        <v>55.42</v>
      </c>
      <c r="G4061" s="4">
        <f t="shared" si="3"/>
        <v>9527680.85</v>
      </c>
      <c r="H4061" s="4">
        <f t="shared" si="1"/>
        <v>0.9982463928</v>
      </c>
      <c r="I4061" s="4" t="str">
        <f t="shared" si="2"/>
        <v>C</v>
      </c>
    </row>
    <row r="4062">
      <c r="A4062" s="2">
        <v>4061.0</v>
      </c>
      <c r="B4062" s="2">
        <v>82069.0</v>
      </c>
      <c r="C4062" s="2" t="s">
        <v>5046</v>
      </c>
      <c r="D4062" s="2">
        <v>5.91</v>
      </c>
      <c r="E4062" s="2">
        <v>8.0</v>
      </c>
      <c r="F4062" s="2">
        <v>54.92</v>
      </c>
      <c r="G4062" s="4">
        <f t="shared" si="3"/>
        <v>9527735.77</v>
      </c>
      <c r="H4062" s="4">
        <f t="shared" si="1"/>
        <v>0.998252147</v>
      </c>
      <c r="I4062" s="4" t="str">
        <f t="shared" si="2"/>
        <v>C</v>
      </c>
    </row>
    <row r="4063">
      <c r="A4063" s="2">
        <v>4062.0</v>
      </c>
      <c r="B4063" s="2">
        <v>90048.0</v>
      </c>
      <c r="C4063" s="2" t="s">
        <v>5047</v>
      </c>
      <c r="D4063" s="2">
        <v>4.95</v>
      </c>
      <c r="E4063" s="2">
        <v>10.0</v>
      </c>
      <c r="F4063" s="2">
        <v>54.7</v>
      </c>
      <c r="G4063" s="4">
        <f t="shared" si="3"/>
        <v>9527790.47</v>
      </c>
      <c r="H4063" s="4">
        <f t="shared" si="1"/>
        <v>0.9982578781</v>
      </c>
      <c r="I4063" s="4" t="str">
        <f t="shared" si="2"/>
        <v>C</v>
      </c>
    </row>
    <row r="4064">
      <c r="A4064" s="2">
        <v>4063.0</v>
      </c>
      <c r="B4064" s="2" t="s">
        <v>5048</v>
      </c>
      <c r="C4064" s="2" t="s">
        <v>5049</v>
      </c>
      <c r="D4064" s="2">
        <v>2.95</v>
      </c>
      <c r="E4064" s="2">
        <v>18.0</v>
      </c>
      <c r="F4064" s="2">
        <v>54.58</v>
      </c>
      <c r="G4064" s="4">
        <f t="shared" si="3"/>
        <v>9527845.05</v>
      </c>
      <c r="H4064" s="4">
        <f t="shared" si="1"/>
        <v>0.9982635966</v>
      </c>
      <c r="I4064" s="4" t="str">
        <f t="shared" si="2"/>
        <v>C</v>
      </c>
    </row>
    <row r="4065">
      <c r="A4065" s="2">
        <v>4064.0</v>
      </c>
      <c r="B4065" s="2" t="s">
        <v>5050</v>
      </c>
      <c r="C4065" s="2" t="s">
        <v>5051</v>
      </c>
      <c r="D4065" s="2">
        <v>2.95</v>
      </c>
      <c r="E4065" s="2">
        <v>21.0</v>
      </c>
      <c r="F4065" s="2">
        <v>54.57</v>
      </c>
      <c r="G4065" s="4">
        <f t="shared" si="3"/>
        <v>9527899.62</v>
      </c>
      <c r="H4065" s="4">
        <f t="shared" si="1"/>
        <v>0.9982693141</v>
      </c>
      <c r="I4065" s="4" t="str">
        <f t="shared" si="2"/>
        <v>C</v>
      </c>
    </row>
    <row r="4066">
      <c r="A4066" s="2">
        <v>4065.0</v>
      </c>
      <c r="B4066" s="2">
        <v>90071.0</v>
      </c>
      <c r="C4066" s="2" t="s">
        <v>5052</v>
      </c>
      <c r="D4066" s="2">
        <v>1.26</v>
      </c>
      <c r="E4066" s="2">
        <v>44.0</v>
      </c>
      <c r="F4066" s="2">
        <v>54.5</v>
      </c>
      <c r="G4066" s="4">
        <f t="shared" si="3"/>
        <v>9527954.12</v>
      </c>
      <c r="H4066" s="4">
        <f t="shared" si="1"/>
        <v>0.9982750242</v>
      </c>
      <c r="I4066" s="4" t="str">
        <f t="shared" si="2"/>
        <v>C</v>
      </c>
    </row>
    <row r="4067">
      <c r="A4067" s="2">
        <v>4066.0</v>
      </c>
      <c r="B4067" s="2">
        <v>90104.0</v>
      </c>
      <c r="C4067" s="2" t="s">
        <v>5053</v>
      </c>
      <c r="D4067" s="2">
        <v>0.83</v>
      </c>
      <c r="E4067" s="2">
        <v>65.0</v>
      </c>
      <c r="F4067" s="2">
        <v>54.48</v>
      </c>
      <c r="G4067" s="4">
        <f t="shared" si="3"/>
        <v>9528008.6</v>
      </c>
      <c r="H4067" s="4">
        <f t="shared" si="1"/>
        <v>0.9982807323</v>
      </c>
      <c r="I4067" s="4" t="str">
        <f t="shared" si="2"/>
        <v>C</v>
      </c>
    </row>
    <row r="4068">
      <c r="A4068" s="2">
        <v>4067.0</v>
      </c>
      <c r="B4068" s="2">
        <v>20667.0</v>
      </c>
      <c r="C4068" s="2" t="s">
        <v>5054</v>
      </c>
      <c r="D4068" s="2">
        <v>2.46</v>
      </c>
      <c r="E4068" s="2">
        <v>20.0</v>
      </c>
      <c r="F4068" s="2">
        <v>54.34</v>
      </c>
      <c r="G4068" s="4">
        <f t="shared" si="3"/>
        <v>9528062.94</v>
      </c>
      <c r="H4068" s="4">
        <f t="shared" si="1"/>
        <v>0.9982864256</v>
      </c>
      <c r="I4068" s="4" t="str">
        <f t="shared" si="2"/>
        <v>C</v>
      </c>
    </row>
    <row r="4069">
      <c r="A4069" s="2">
        <v>4068.0</v>
      </c>
      <c r="B4069" s="2" t="s">
        <v>5055</v>
      </c>
      <c r="C4069" s="2" t="s">
        <v>5056</v>
      </c>
      <c r="D4069" s="2">
        <v>2.1</v>
      </c>
      <c r="E4069" s="2">
        <v>22.0</v>
      </c>
      <c r="F4069" s="2">
        <v>53.84</v>
      </c>
      <c r="G4069" s="4">
        <f t="shared" si="3"/>
        <v>9528116.78</v>
      </c>
      <c r="H4069" s="4">
        <f t="shared" si="1"/>
        <v>0.9982920666</v>
      </c>
      <c r="I4069" s="4" t="str">
        <f t="shared" si="2"/>
        <v>C</v>
      </c>
    </row>
    <row r="4070">
      <c r="A4070" s="2">
        <v>4069.0</v>
      </c>
      <c r="B4070" s="2" t="s">
        <v>5057</v>
      </c>
      <c r="C4070" s="2" t="s">
        <v>5058</v>
      </c>
      <c r="D4070" s="2">
        <v>0.42</v>
      </c>
      <c r="E4070" s="2">
        <v>148.0</v>
      </c>
      <c r="F4070" s="2">
        <v>53.66</v>
      </c>
      <c r="G4070" s="4">
        <f t="shared" si="3"/>
        <v>9528170.44</v>
      </c>
      <c r="H4070" s="4">
        <f t="shared" si="1"/>
        <v>0.9982976888</v>
      </c>
      <c r="I4070" s="4" t="str">
        <f t="shared" si="2"/>
        <v>C</v>
      </c>
    </row>
    <row r="4071">
      <c r="A4071" s="2">
        <v>4070.0</v>
      </c>
      <c r="B4071" s="2">
        <v>35840.0</v>
      </c>
      <c r="C4071" s="2" t="s">
        <v>5059</v>
      </c>
      <c r="D4071" s="2">
        <v>2.55</v>
      </c>
      <c r="E4071" s="2">
        <v>22.0</v>
      </c>
      <c r="F4071" s="2">
        <v>53.56</v>
      </c>
      <c r="G4071" s="4">
        <f t="shared" si="3"/>
        <v>9528224</v>
      </c>
      <c r="H4071" s="4">
        <f t="shared" si="1"/>
        <v>0.9983033004</v>
      </c>
      <c r="I4071" s="4" t="str">
        <f t="shared" si="2"/>
        <v>C</v>
      </c>
    </row>
    <row r="4072">
      <c r="A4072" s="2">
        <v>4071.0</v>
      </c>
      <c r="B4072" s="2">
        <v>23626.0</v>
      </c>
      <c r="C4072" s="2" t="s">
        <v>5060</v>
      </c>
      <c r="D4072" s="2">
        <v>2.49</v>
      </c>
      <c r="E4072" s="2">
        <v>22.0</v>
      </c>
      <c r="F4072" s="2">
        <v>53.54</v>
      </c>
      <c r="G4072" s="4">
        <f t="shared" si="3"/>
        <v>9528277.54</v>
      </c>
      <c r="H4072" s="4">
        <f t="shared" si="1"/>
        <v>0.99830891</v>
      </c>
      <c r="I4072" s="4" t="str">
        <f t="shared" si="2"/>
        <v>C</v>
      </c>
    </row>
    <row r="4073">
      <c r="A4073" s="2">
        <v>4072.0</v>
      </c>
      <c r="B4073" s="2" t="s">
        <v>5061</v>
      </c>
      <c r="C4073" s="2" t="s">
        <v>5062</v>
      </c>
      <c r="D4073" s="2">
        <v>7.95</v>
      </c>
      <c r="E4073" s="2">
        <v>5.0</v>
      </c>
      <c r="F4073" s="2">
        <v>53.3</v>
      </c>
      <c r="G4073" s="4">
        <f t="shared" si="3"/>
        <v>9528330.84</v>
      </c>
      <c r="H4073" s="4">
        <f t="shared" si="1"/>
        <v>0.9983144944</v>
      </c>
      <c r="I4073" s="4" t="str">
        <f t="shared" si="2"/>
        <v>C</v>
      </c>
    </row>
    <row r="4074">
      <c r="A4074" s="2">
        <v>4073.0</v>
      </c>
      <c r="B4074" s="2" t="s">
        <v>5063</v>
      </c>
      <c r="C4074" s="2" t="s">
        <v>5064</v>
      </c>
      <c r="D4074" s="2">
        <v>2.54</v>
      </c>
      <c r="E4074" s="2">
        <v>21.0</v>
      </c>
      <c r="F4074" s="2">
        <v>53.24</v>
      </c>
      <c r="G4074" s="4">
        <f t="shared" si="3"/>
        <v>9528384.08</v>
      </c>
      <c r="H4074" s="4">
        <f t="shared" si="1"/>
        <v>0.9983200725</v>
      </c>
      <c r="I4074" s="4" t="str">
        <f t="shared" si="2"/>
        <v>C</v>
      </c>
    </row>
    <row r="4075">
      <c r="A4075" s="2">
        <v>4074.0</v>
      </c>
      <c r="B4075" s="2">
        <v>90168.0</v>
      </c>
      <c r="C4075" s="2" t="s">
        <v>5065</v>
      </c>
      <c r="D4075" s="2">
        <v>2.95</v>
      </c>
      <c r="E4075" s="2">
        <v>18.0</v>
      </c>
      <c r="F4075" s="2">
        <v>53.03</v>
      </c>
      <c r="G4075" s="4">
        <f t="shared" si="3"/>
        <v>9528437.11</v>
      </c>
      <c r="H4075" s="4">
        <f t="shared" si="1"/>
        <v>0.9983256287</v>
      </c>
      <c r="I4075" s="4" t="str">
        <f t="shared" si="2"/>
        <v>C</v>
      </c>
    </row>
    <row r="4076">
      <c r="A4076" s="2">
        <v>4075.0</v>
      </c>
      <c r="B4076" s="2" t="s">
        <v>5066</v>
      </c>
      <c r="C4076" s="2" t="s">
        <v>5067</v>
      </c>
      <c r="D4076" s="2">
        <v>0.14</v>
      </c>
      <c r="E4076" s="2">
        <v>500.0</v>
      </c>
      <c r="F4076" s="2">
        <v>53.0</v>
      </c>
      <c r="G4076" s="4">
        <f t="shared" si="3"/>
        <v>9528490.11</v>
      </c>
      <c r="H4076" s="4">
        <f t="shared" si="1"/>
        <v>0.9983311816</v>
      </c>
      <c r="I4076" s="4" t="str">
        <f t="shared" si="2"/>
        <v>C</v>
      </c>
    </row>
    <row r="4077">
      <c r="A4077" s="2">
        <v>4076.0</v>
      </c>
      <c r="B4077" s="2">
        <v>22987.0</v>
      </c>
      <c r="C4077" s="2" t="s">
        <v>5068</v>
      </c>
      <c r="D4077" s="2">
        <v>0.42</v>
      </c>
      <c r="E4077" s="2">
        <v>126.0</v>
      </c>
      <c r="F4077" s="2">
        <v>52.92</v>
      </c>
      <c r="G4077" s="4">
        <f t="shared" si="3"/>
        <v>9528543.03</v>
      </c>
      <c r="H4077" s="4">
        <f t="shared" si="1"/>
        <v>0.9983367262</v>
      </c>
      <c r="I4077" s="4" t="str">
        <f t="shared" si="2"/>
        <v>C</v>
      </c>
    </row>
    <row r="4078">
      <c r="A4078" s="2">
        <v>4077.0</v>
      </c>
      <c r="B4078" s="2" t="s">
        <v>5069</v>
      </c>
      <c r="C4078" s="2" t="s">
        <v>5070</v>
      </c>
      <c r="D4078" s="2">
        <v>6.95</v>
      </c>
      <c r="E4078" s="2">
        <v>8.0</v>
      </c>
      <c r="F4078" s="2">
        <v>52.91</v>
      </c>
      <c r="G4078" s="4">
        <f t="shared" si="3"/>
        <v>9528595.94</v>
      </c>
      <c r="H4078" s="4">
        <f t="shared" si="1"/>
        <v>0.9983422698</v>
      </c>
      <c r="I4078" s="4" t="str">
        <f t="shared" si="2"/>
        <v>C</v>
      </c>
    </row>
    <row r="4079">
      <c r="A4079" s="2">
        <v>4078.0</v>
      </c>
      <c r="B4079" s="2">
        <v>90051.0</v>
      </c>
      <c r="C4079" s="2" t="s">
        <v>5071</v>
      </c>
      <c r="D4079" s="2">
        <v>6.95</v>
      </c>
      <c r="E4079" s="2">
        <v>8.0</v>
      </c>
      <c r="F4079" s="2">
        <v>52.86</v>
      </c>
      <c r="G4079" s="4">
        <f t="shared" si="3"/>
        <v>9528648.8</v>
      </c>
      <c r="H4079" s="4">
        <f t="shared" si="1"/>
        <v>0.9983478081</v>
      </c>
      <c r="I4079" s="4" t="str">
        <f t="shared" si="2"/>
        <v>C</v>
      </c>
    </row>
    <row r="4080">
      <c r="A4080" s="2">
        <v>4079.0</v>
      </c>
      <c r="B4080" s="2">
        <v>35594.0</v>
      </c>
      <c r="C4080" s="2" t="s">
        <v>5072</v>
      </c>
      <c r="D4080" s="2">
        <v>0.42</v>
      </c>
      <c r="E4080" s="2">
        <v>86.0</v>
      </c>
      <c r="F4080" s="2">
        <v>52.79</v>
      </c>
      <c r="G4080" s="4">
        <f t="shared" si="3"/>
        <v>9528701.59</v>
      </c>
      <c r="H4080" s="4">
        <f t="shared" si="1"/>
        <v>0.9983533391</v>
      </c>
      <c r="I4080" s="4" t="str">
        <f t="shared" si="2"/>
        <v>C</v>
      </c>
    </row>
    <row r="4081">
      <c r="A4081" s="2">
        <v>4080.0</v>
      </c>
      <c r="B4081" s="2" t="s">
        <v>5073</v>
      </c>
      <c r="C4081" s="2" t="s">
        <v>5074</v>
      </c>
      <c r="D4081" s="2">
        <v>1.25</v>
      </c>
      <c r="E4081" s="2">
        <v>72.0</v>
      </c>
      <c r="F4081" s="2">
        <v>52.72</v>
      </c>
      <c r="G4081" s="4">
        <f t="shared" si="3"/>
        <v>9528754.31</v>
      </c>
      <c r="H4081" s="4">
        <f t="shared" si="1"/>
        <v>0.9983588627</v>
      </c>
      <c r="I4081" s="4" t="str">
        <f t="shared" si="2"/>
        <v>C</v>
      </c>
    </row>
    <row r="4082">
      <c r="A4082" s="2">
        <v>4081.0</v>
      </c>
      <c r="B4082" s="2">
        <v>84458.0</v>
      </c>
      <c r="C4082" s="2" t="s">
        <v>5075</v>
      </c>
      <c r="D4082" s="2">
        <v>0.85</v>
      </c>
      <c r="E4082" s="2">
        <v>62.0</v>
      </c>
      <c r="F4082" s="2">
        <v>52.7</v>
      </c>
      <c r="G4082" s="4">
        <f t="shared" si="3"/>
        <v>9528807.01</v>
      </c>
      <c r="H4082" s="4">
        <f t="shared" si="1"/>
        <v>0.9983643843</v>
      </c>
      <c r="I4082" s="4" t="str">
        <f t="shared" si="2"/>
        <v>C</v>
      </c>
    </row>
    <row r="4083">
      <c r="A4083" s="2">
        <v>4082.0</v>
      </c>
      <c r="B4083" s="2" t="s">
        <v>5076</v>
      </c>
      <c r="C4083" s="2" t="s">
        <v>5077</v>
      </c>
      <c r="D4083" s="2">
        <v>1.25</v>
      </c>
      <c r="E4083" s="2">
        <v>44.0</v>
      </c>
      <c r="F4083" s="2">
        <v>52.6</v>
      </c>
      <c r="G4083" s="4">
        <f t="shared" si="3"/>
        <v>9528859.61</v>
      </c>
      <c r="H4083" s="4">
        <f t="shared" si="1"/>
        <v>0.9983698954</v>
      </c>
      <c r="I4083" s="4" t="str">
        <f t="shared" si="2"/>
        <v>C</v>
      </c>
    </row>
    <row r="4084">
      <c r="A4084" s="2">
        <v>4083.0</v>
      </c>
      <c r="B4084" s="2" t="s">
        <v>5078</v>
      </c>
      <c r="C4084" s="2" t="s">
        <v>5079</v>
      </c>
      <c r="D4084" s="2">
        <v>0.42</v>
      </c>
      <c r="E4084" s="2">
        <v>125.0</v>
      </c>
      <c r="F4084" s="2">
        <v>52.5</v>
      </c>
      <c r="G4084" s="4">
        <f t="shared" si="3"/>
        <v>9528912.11</v>
      </c>
      <c r="H4084" s="4">
        <f t="shared" si="1"/>
        <v>0.998375396</v>
      </c>
      <c r="I4084" s="4" t="str">
        <f t="shared" si="2"/>
        <v>C</v>
      </c>
    </row>
    <row r="4085">
      <c r="A4085" s="2">
        <v>4084.0</v>
      </c>
      <c r="B4085" s="2" t="s">
        <v>5080</v>
      </c>
      <c r="C4085" s="2" t="s">
        <v>5081</v>
      </c>
      <c r="D4085" s="2">
        <v>5.4</v>
      </c>
      <c r="E4085" s="2">
        <v>10.0</v>
      </c>
      <c r="F4085" s="2">
        <v>52.48</v>
      </c>
      <c r="G4085" s="4">
        <f t="shared" si="3"/>
        <v>9528964.59</v>
      </c>
      <c r="H4085" s="4">
        <f t="shared" si="1"/>
        <v>0.9983808945</v>
      </c>
      <c r="I4085" s="4" t="str">
        <f t="shared" si="2"/>
        <v>C</v>
      </c>
    </row>
    <row r="4086">
      <c r="A4086" s="2">
        <v>4085.0</v>
      </c>
      <c r="B4086" s="2">
        <v>90079.0</v>
      </c>
      <c r="C4086" s="2" t="s">
        <v>5082</v>
      </c>
      <c r="D4086" s="2">
        <v>4.95</v>
      </c>
      <c r="E4086" s="2">
        <v>10.0</v>
      </c>
      <c r="F4086" s="2">
        <v>52.39</v>
      </c>
      <c r="G4086" s="4">
        <f t="shared" si="3"/>
        <v>9529016.98</v>
      </c>
      <c r="H4086" s="4">
        <f t="shared" si="1"/>
        <v>0.9983863835</v>
      </c>
      <c r="I4086" s="4" t="str">
        <f t="shared" si="2"/>
        <v>C</v>
      </c>
    </row>
    <row r="4087">
      <c r="A4087" s="2">
        <v>4086.0</v>
      </c>
      <c r="B4087" s="2">
        <v>21118.0</v>
      </c>
      <c r="C4087" s="2" t="s">
        <v>5083</v>
      </c>
      <c r="D4087" s="2">
        <v>1.25</v>
      </c>
      <c r="E4087" s="2">
        <v>34.0</v>
      </c>
      <c r="F4087" s="2">
        <v>52.12</v>
      </c>
      <c r="G4087" s="4">
        <f t="shared" si="3"/>
        <v>9529069.1</v>
      </c>
      <c r="H4087" s="4">
        <f t="shared" si="1"/>
        <v>0.9983918443</v>
      </c>
      <c r="I4087" s="4" t="str">
        <f t="shared" si="2"/>
        <v>C</v>
      </c>
    </row>
    <row r="4088">
      <c r="A4088" s="2">
        <v>4087.0</v>
      </c>
      <c r="B4088" s="2">
        <v>21337.0</v>
      </c>
      <c r="C4088" s="2" t="s">
        <v>5084</v>
      </c>
      <c r="D4088" s="2">
        <v>2.95</v>
      </c>
      <c r="E4088" s="2">
        <v>16.0</v>
      </c>
      <c r="F4088" s="2">
        <v>51.77</v>
      </c>
      <c r="G4088" s="4">
        <f t="shared" si="3"/>
        <v>9529120.87</v>
      </c>
      <c r="H4088" s="4">
        <f t="shared" si="1"/>
        <v>0.9983972684</v>
      </c>
      <c r="I4088" s="4" t="str">
        <f t="shared" si="2"/>
        <v>C</v>
      </c>
    </row>
    <row r="4089">
      <c r="A4089" s="2">
        <v>4088.0</v>
      </c>
      <c r="B4089" s="2" t="s">
        <v>5085</v>
      </c>
      <c r="C4089" s="2" t="s">
        <v>5086</v>
      </c>
      <c r="D4089" s="2">
        <v>1.95</v>
      </c>
      <c r="E4089" s="2">
        <v>26.0</v>
      </c>
      <c r="F4089" s="2">
        <v>51.68</v>
      </c>
      <c r="G4089" s="4">
        <f t="shared" si="3"/>
        <v>9529172.55</v>
      </c>
      <c r="H4089" s="4">
        <f t="shared" si="1"/>
        <v>0.9984026831</v>
      </c>
      <c r="I4089" s="4" t="str">
        <f t="shared" si="2"/>
        <v>C</v>
      </c>
    </row>
    <row r="4090">
      <c r="A4090" s="2">
        <v>4089.0</v>
      </c>
      <c r="B4090" s="2">
        <v>84679.0</v>
      </c>
      <c r="C4090" s="2" t="s">
        <v>5087</v>
      </c>
      <c r="D4090" s="2">
        <v>5.95</v>
      </c>
      <c r="E4090" s="2">
        <v>7.0</v>
      </c>
      <c r="F4090" s="2">
        <v>51.65</v>
      </c>
      <c r="G4090" s="4">
        <f t="shared" si="3"/>
        <v>9529224.2</v>
      </c>
      <c r="H4090" s="4">
        <f t="shared" si="1"/>
        <v>0.9984080947</v>
      </c>
      <c r="I4090" s="4" t="str">
        <f t="shared" si="2"/>
        <v>C</v>
      </c>
    </row>
    <row r="4091">
      <c r="A4091" s="2">
        <v>4090.0</v>
      </c>
      <c r="B4091" s="2" t="s">
        <v>5088</v>
      </c>
      <c r="C4091" s="2" t="s">
        <v>5089</v>
      </c>
      <c r="D4091" s="2">
        <v>1.25</v>
      </c>
      <c r="E4091" s="2">
        <v>41.0</v>
      </c>
      <c r="F4091" s="2">
        <v>51.25</v>
      </c>
      <c r="G4091" s="4">
        <f t="shared" si="3"/>
        <v>9529275.45</v>
      </c>
      <c r="H4091" s="4">
        <f t="shared" si="1"/>
        <v>0.9984134643</v>
      </c>
      <c r="I4091" s="4" t="str">
        <f t="shared" si="2"/>
        <v>C</v>
      </c>
    </row>
    <row r="4092">
      <c r="A4092" s="2">
        <v>4091.0</v>
      </c>
      <c r="B4092" s="2" t="s">
        <v>5090</v>
      </c>
      <c r="C4092" s="2" t="s">
        <v>5091</v>
      </c>
      <c r="D4092" s="2">
        <v>4.65</v>
      </c>
      <c r="E4092" s="2">
        <v>11.0</v>
      </c>
      <c r="F4092" s="2">
        <v>51.15</v>
      </c>
      <c r="G4092" s="4">
        <f t="shared" si="3"/>
        <v>9529326.6</v>
      </c>
      <c r="H4092" s="4">
        <f t="shared" si="1"/>
        <v>0.9984188234</v>
      </c>
      <c r="I4092" s="4" t="str">
        <f t="shared" si="2"/>
        <v>C</v>
      </c>
    </row>
    <row r="4093">
      <c r="A4093" s="2">
        <v>4092.0</v>
      </c>
      <c r="B4093" s="2">
        <v>20697.0</v>
      </c>
      <c r="C4093" s="2" t="s">
        <v>5092</v>
      </c>
      <c r="D4093" s="2">
        <v>2.55</v>
      </c>
      <c r="E4093" s="2">
        <v>21.0</v>
      </c>
      <c r="F4093" s="2">
        <v>50.85</v>
      </c>
      <c r="G4093" s="4">
        <f t="shared" si="3"/>
        <v>9529377.45</v>
      </c>
      <c r="H4093" s="4">
        <f t="shared" si="1"/>
        <v>0.9984241512</v>
      </c>
      <c r="I4093" s="4" t="str">
        <f t="shared" si="2"/>
        <v>C</v>
      </c>
    </row>
    <row r="4094">
      <c r="A4094" s="2">
        <v>4093.0</v>
      </c>
      <c r="B4094" s="2" t="s">
        <v>5093</v>
      </c>
      <c r="C4094" s="2" t="s">
        <v>5094</v>
      </c>
      <c r="D4094" s="2">
        <v>1.64</v>
      </c>
      <c r="E4094" s="2">
        <v>46.0</v>
      </c>
      <c r="F4094" s="2">
        <v>50.68</v>
      </c>
      <c r="G4094" s="4">
        <f t="shared" si="3"/>
        <v>9529428.13</v>
      </c>
      <c r="H4094" s="4">
        <f t="shared" si="1"/>
        <v>0.9984294611</v>
      </c>
      <c r="I4094" s="4" t="str">
        <f t="shared" si="2"/>
        <v>C</v>
      </c>
    </row>
    <row r="4095">
      <c r="A4095" s="2">
        <v>4094.0</v>
      </c>
      <c r="B4095" s="2" t="s">
        <v>5095</v>
      </c>
      <c r="C4095" s="2" t="s">
        <v>5096</v>
      </c>
      <c r="D4095" s="2">
        <v>1.25</v>
      </c>
      <c r="E4095" s="2">
        <v>34.0</v>
      </c>
      <c r="F4095" s="2">
        <v>50.64</v>
      </c>
      <c r="G4095" s="4">
        <f t="shared" si="3"/>
        <v>9529478.77</v>
      </c>
      <c r="H4095" s="4">
        <f t="shared" si="1"/>
        <v>0.9984347668</v>
      </c>
      <c r="I4095" s="4" t="str">
        <f t="shared" si="2"/>
        <v>C</v>
      </c>
    </row>
    <row r="4096">
      <c r="A4096" s="2">
        <v>4095.0</v>
      </c>
      <c r="B4096" s="2">
        <v>85050.0</v>
      </c>
      <c r="C4096" s="2" t="s">
        <v>5097</v>
      </c>
      <c r="D4096" s="2">
        <v>2.1</v>
      </c>
      <c r="E4096" s="2">
        <v>24.0</v>
      </c>
      <c r="F4096" s="2">
        <v>50.4</v>
      </c>
      <c r="G4096" s="4">
        <f t="shared" si="3"/>
        <v>9529529.17</v>
      </c>
      <c r="H4096" s="4">
        <f t="shared" si="1"/>
        <v>0.9984400474</v>
      </c>
      <c r="I4096" s="4" t="str">
        <f t="shared" si="2"/>
        <v>C</v>
      </c>
    </row>
    <row r="4097">
      <c r="A4097" s="2">
        <v>4096.0</v>
      </c>
      <c r="B4097" s="2">
        <v>72821.0</v>
      </c>
      <c r="C4097" s="2" t="s">
        <v>5098</v>
      </c>
      <c r="D4097" s="2">
        <v>1.65</v>
      </c>
      <c r="E4097" s="2">
        <v>30.0</v>
      </c>
      <c r="F4097" s="2">
        <v>50.32</v>
      </c>
      <c r="G4097" s="4">
        <f t="shared" si="3"/>
        <v>9529579.49</v>
      </c>
      <c r="H4097" s="4">
        <f t="shared" si="1"/>
        <v>0.9984453196</v>
      </c>
      <c r="I4097" s="4" t="str">
        <f t="shared" si="2"/>
        <v>C</v>
      </c>
    </row>
    <row r="4098">
      <c r="A4098" s="2">
        <v>4097.0</v>
      </c>
      <c r="B4098" s="2" t="s">
        <v>5099</v>
      </c>
      <c r="C4098" s="2" t="s">
        <v>976</v>
      </c>
      <c r="D4098" s="2">
        <v>24.96</v>
      </c>
      <c r="E4098" s="2">
        <v>2.0</v>
      </c>
      <c r="F4098" s="2">
        <v>50.18</v>
      </c>
      <c r="G4098" s="4">
        <f t="shared" si="3"/>
        <v>9529629.67</v>
      </c>
      <c r="H4098" s="4">
        <f t="shared" si="1"/>
        <v>0.9984505771</v>
      </c>
      <c r="I4098" s="4" t="str">
        <f t="shared" si="2"/>
        <v>C</v>
      </c>
    </row>
    <row r="4099">
      <c r="A4099" s="2">
        <v>4098.0</v>
      </c>
      <c r="B4099" s="2">
        <v>75172.0</v>
      </c>
      <c r="C4099" s="2" t="s">
        <v>5100</v>
      </c>
      <c r="D4099" s="2">
        <v>0.79</v>
      </c>
      <c r="E4099" s="2">
        <v>48.0</v>
      </c>
      <c r="F4099" s="2">
        <v>50.16</v>
      </c>
      <c r="G4099" s="4">
        <f t="shared" si="3"/>
        <v>9529679.83</v>
      </c>
      <c r="H4099" s="4">
        <f t="shared" si="1"/>
        <v>0.9984558325</v>
      </c>
      <c r="I4099" s="4" t="str">
        <f t="shared" si="2"/>
        <v>C</v>
      </c>
    </row>
    <row r="4100">
      <c r="A4100" s="2">
        <v>4099.0</v>
      </c>
      <c r="B4100" s="2">
        <v>78027.0</v>
      </c>
      <c r="C4100" s="2" t="s">
        <v>5101</v>
      </c>
      <c r="D4100" s="2">
        <v>15.95</v>
      </c>
      <c r="E4100" s="2">
        <v>3.0</v>
      </c>
      <c r="F4100" s="2">
        <v>50.08</v>
      </c>
      <c r="G4100" s="4">
        <f t="shared" si="3"/>
        <v>9529729.91</v>
      </c>
      <c r="H4100" s="4">
        <f t="shared" si="1"/>
        <v>0.9984610796</v>
      </c>
      <c r="I4100" s="4" t="str">
        <f t="shared" si="2"/>
        <v>C</v>
      </c>
    </row>
    <row r="4101">
      <c r="A4101" s="2">
        <v>4100.0</v>
      </c>
      <c r="B4101" s="2">
        <v>23611.0</v>
      </c>
      <c r="C4101" s="2" t="s">
        <v>5102</v>
      </c>
      <c r="D4101" s="2">
        <v>2.49</v>
      </c>
      <c r="E4101" s="2">
        <v>20.0</v>
      </c>
      <c r="F4101" s="2">
        <v>49.8</v>
      </c>
      <c r="G4101" s="4">
        <f t="shared" si="3"/>
        <v>9529779.71</v>
      </c>
      <c r="H4101" s="4">
        <f t="shared" si="1"/>
        <v>0.9984662973</v>
      </c>
      <c r="I4101" s="4" t="str">
        <f t="shared" si="2"/>
        <v>C</v>
      </c>
    </row>
    <row r="4102">
      <c r="A4102" s="2">
        <v>4101.0</v>
      </c>
      <c r="B4102" s="2">
        <v>84465.0</v>
      </c>
      <c r="C4102" s="2" t="s">
        <v>5103</v>
      </c>
      <c r="D4102" s="2">
        <v>2.95</v>
      </c>
      <c r="E4102" s="2">
        <v>16.0</v>
      </c>
      <c r="F4102" s="2">
        <v>49.73</v>
      </c>
      <c r="G4102" s="4">
        <f t="shared" si="3"/>
        <v>9529829.44</v>
      </c>
      <c r="H4102" s="4">
        <f t="shared" si="1"/>
        <v>0.9984715076</v>
      </c>
      <c r="I4102" s="4" t="str">
        <f t="shared" si="2"/>
        <v>C</v>
      </c>
    </row>
    <row r="4103">
      <c r="A4103" s="2">
        <v>4102.0</v>
      </c>
      <c r="B4103" s="2" t="s">
        <v>5104</v>
      </c>
      <c r="C4103" s="2" t="s">
        <v>5105</v>
      </c>
      <c r="D4103" s="2">
        <v>0.65</v>
      </c>
      <c r="E4103" s="2">
        <v>574.0</v>
      </c>
      <c r="F4103" s="2">
        <v>49.66</v>
      </c>
      <c r="G4103" s="4">
        <f t="shared" si="3"/>
        <v>9529879.1</v>
      </c>
      <c r="H4103" s="4">
        <f t="shared" si="1"/>
        <v>0.9984767107</v>
      </c>
      <c r="I4103" s="4" t="str">
        <f t="shared" si="2"/>
        <v>C</v>
      </c>
    </row>
    <row r="4104">
      <c r="A4104" s="2">
        <v>4103.0</v>
      </c>
      <c r="B4104" s="2">
        <v>23464.0</v>
      </c>
      <c r="C4104" s="2" t="s">
        <v>5106</v>
      </c>
      <c r="D4104" s="2">
        <v>4.95</v>
      </c>
      <c r="E4104" s="2">
        <v>9.0</v>
      </c>
      <c r="F4104" s="2">
        <v>49.6</v>
      </c>
      <c r="G4104" s="4">
        <f t="shared" si="3"/>
        <v>9529928.7</v>
      </c>
      <c r="H4104" s="4">
        <f t="shared" si="1"/>
        <v>0.9984819074</v>
      </c>
      <c r="I4104" s="4" t="str">
        <f t="shared" si="2"/>
        <v>C</v>
      </c>
    </row>
    <row r="4105">
      <c r="A4105" s="2">
        <v>4104.0</v>
      </c>
      <c r="B4105" s="2">
        <v>21266.0</v>
      </c>
      <c r="C4105" s="2" t="s">
        <v>5107</v>
      </c>
      <c r="D4105" s="2">
        <v>4.3</v>
      </c>
      <c r="E4105" s="2">
        <v>12.0</v>
      </c>
      <c r="F4105" s="2">
        <v>49.45</v>
      </c>
      <c r="G4105" s="4">
        <f t="shared" si="3"/>
        <v>9529978.15</v>
      </c>
      <c r="H4105" s="4">
        <f t="shared" si="1"/>
        <v>0.9984870885</v>
      </c>
      <c r="I4105" s="4" t="str">
        <f t="shared" si="2"/>
        <v>C</v>
      </c>
    </row>
    <row r="4106">
      <c r="A4106" s="2">
        <v>4105.0</v>
      </c>
      <c r="B4106" s="2" t="s">
        <v>5108</v>
      </c>
      <c r="C4106" s="2" t="s">
        <v>5109</v>
      </c>
      <c r="D4106" s="2">
        <v>5.95</v>
      </c>
      <c r="E4106" s="2">
        <v>12.0</v>
      </c>
      <c r="F4106" s="2">
        <v>49.4</v>
      </c>
      <c r="G4106" s="4">
        <f t="shared" si="3"/>
        <v>9530027.55</v>
      </c>
      <c r="H4106" s="4">
        <f t="shared" si="1"/>
        <v>0.9984922643</v>
      </c>
      <c r="I4106" s="4" t="str">
        <f t="shared" si="2"/>
        <v>C</v>
      </c>
    </row>
    <row r="4107">
      <c r="A4107" s="2">
        <v>4106.0</v>
      </c>
      <c r="B4107" s="2">
        <v>20861.0</v>
      </c>
      <c r="C4107" s="2" t="s">
        <v>5110</v>
      </c>
      <c r="D4107" s="2">
        <v>2.1</v>
      </c>
      <c r="E4107" s="2">
        <v>24.0</v>
      </c>
      <c r="F4107" s="2">
        <v>49.35</v>
      </c>
      <c r="G4107" s="4">
        <f t="shared" si="3"/>
        <v>9530076.9</v>
      </c>
      <c r="H4107" s="4">
        <f t="shared" si="1"/>
        <v>0.9984974348</v>
      </c>
      <c r="I4107" s="4" t="str">
        <f t="shared" si="2"/>
        <v>C</v>
      </c>
    </row>
    <row r="4108">
      <c r="A4108" s="2">
        <v>4107.0</v>
      </c>
      <c r="B4108" s="2" t="s">
        <v>5111</v>
      </c>
      <c r="C4108" s="2" t="s">
        <v>5112</v>
      </c>
      <c r="D4108" s="2">
        <v>7.5</v>
      </c>
      <c r="E4108" s="2">
        <v>6.0</v>
      </c>
      <c r="F4108" s="2">
        <v>49.22</v>
      </c>
      <c r="G4108" s="4">
        <f t="shared" si="3"/>
        <v>9530126.12</v>
      </c>
      <c r="H4108" s="4">
        <f t="shared" si="1"/>
        <v>0.9985025918</v>
      </c>
      <c r="I4108" s="4" t="str">
        <f t="shared" si="2"/>
        <v>C</v>
      </c>
    </row>
    <row r="4109">
      <c r="A4109" s="2">
        <v>4108.0</v>
      </c>
      <c r="B4109" s="2" t="s">
        <v>5113</v>
      </c>
      <c r="C4109" s="2" t="s">
        <v>5114</v>
      </c>
      <c r="D4109" s="2">
        <v>4.21</v>
      </c>
      <c r="E4109" s="2">
        <v>11.0</v>
      </c>
      <c r="F4109" s="2">
        <v>48.95</v>
      </c>
      <c r="G4109" s="4">
        <f t="shared" si="3"/>
        <v>9530175.07</v>
      </c>
      <c r="H4109" s="4">
        <f t="shared" si="1"/>
        <v>0.9985077204</v>
      </c>
      <c r="I4109" s="4" t="str">
        <f t="shared" si="2"/>
        <v>C</v>
      </c>
    </row>
    <row r="4110">
      <c r="A4110" s="2">
        <v>4109.0</v>
      </c>
      <c r="B4110" s="2" t="s">
        <v>5115</v>
      </c>
      <c r="C4110" s="2" t="s">
        <v>5116</v>
      </c>
      <c r="D4110" s="2">
        <v>0.1</v>
      </c>
      <c r="E4110" s="2">
        <v>488.0</v>
      </c>
      <c r="F4110" s="2">
        <v>48.75</v>
      </c>
      <c r="G4110" s="4">
        <f t="shared" si="3"/>
        <v>9530223.82</v>
      </c>
      <c r="H4110" s="4">
        <f t="shared" si="1"/>
        <v>0.9985128281</v>
      </c>
      <c r="I4110" s="4" t="str">
        <f t="shared" si="2"/>
        <v>C</v>
      </c>
    </row>
    <row r="4111">
      <c r="A4111" s="2">
        <v>4110.0</v>
      </c>
      <c r="B4111" s="2">
        <v>90150.0</v>
      </c>
      <c r="C4111" s="2" t="s">
        <v>5117</v>
      </c>
      <c r="D4111" s="2">
        <v>7.5</v>
      </c>
      <c r="E4111" s="2">
        <v>6.0</v>
      </c>
      <c r="F4111" s="2">
        <v>48.75</v>
      </c>
      <c r="G4111" s="4">
        <f t="shared" si="3"/>
        <v>9530272.57</v>
      </c>
      <c r="H4111" s="4">
        <f t="shared" si="1"/>
        <v>0.9985179358</v>
      </c>
      <c r="I4111" s="4" t="str">
        <f t="shared" si="2"/>
        <v>C</v>
      </c>
    </row>
    <row r="4112">
      <c r="A4112" s="2">
        <v>4111.0</v>
      </c>
      <c r="B4112" s="2" t="s">
        <v>5118</v>
      </c>
      <c r="C4112" s="2" t="s">
        <v>5119</v>
      </c>
      <c r="D4112" s="2">
        <v>2.95</v>
      </c>
      <c r="E4112" s="2">
        <v>16.0</v>
      </c>
      <c r="F4112" s="2">
        <v>48.62</v>
      </c>
      <c r="G4112" s="4">
        <f t="shared" si="3"/>
        <v>9530321.19</v>
      </c>
      <c r="H4112" s="4">
        <f t="shared" si="1"/>
        <v>0.9985230299</v>
      </c>
      <c r="I4112" s="4" t="str">
        <f t="shared" si="2"/>
        <v>C</v>
      </c>
    </row>
    <row r="4113">
      <c r="A4113" s="2">
        <v>4112.0</v>
      </c>
      <c r="B4113" s="2" t="s">
        <v>5120</v>
      </c>
      <c r="C4113" s="2" t="s">
        <v>5121</v>
      </c>
      <c r="D4113" s="2">
        <v>1.69</v>
      </c>
      <c r="E4113" s="2">
        <v>29.0</v>
      </c>
      <c r="F4113" s="2">
        <v>48.42</v>
      </c>
      <c r="G4113" s="4">
        <f t="shared" si="3"/>
        <v>9530369.61</v>
      </c>
      <c r="H4113" s="4">
        <f t="shared" si="1"/>
        <v>0.998528103</v>
      </c>
      <c r="I4113" s="4" t="str">
        <f t="shared" si="2"/>
        <v>C</v>
      </c>
    </row>
    <row r="4114">
      <c r="A4114" s="2">
        <v>4113.0</v>
      </c>
      <c r="B4114" s="2" t="s">
        <v>5122</v>
      </c>
      <c r="C4114" s="2" t="s">
        <v>1586</v>
      </c>
      <c r="D4114" s="2">
        <v>8.29</v>
      </c>
      <c r="E4114" s="2">
        <v>5.0</v>
      </c>
      <c r="F4114" s="2">
        <v>47.92</v>
      </c>
      <c r="G4114" s="4">
        <f t="shared" si="3"/>
        <v>9530417.53</v>
      </c>
      <c r="H4114" s="4">
        <f t="shared" si="1"/>
        <v>0.9985331238</v>
      </c>
      <c r="I4114" s="4" t="str">
        <f t="shared" si="2"/>
        <v>C</v>
      </c>
    </row>
    <row r="4115">
      <c r="A4115" s="2">
        <v>4114.0</v>
      </c>
      <c r="B4115" s="2" t="s">
        <v>5123</v>
      </c>
      <c r="C4115" s="2" t="s">
        <v>5124</v>
      </c>
      <c r="D4115" s="2">
        <v>0.85</v>
      </c>
      <c r="E4115" s="2">
        <v>52.0</v>
      </c>
      <c r="F4115" s="2">
        <v>47.9</v>
      </c>
      <c r="G4115" s="4">
        <f t="shared" si="3"/>
        <v>9530465.43</v>
      </c>
      <c r="H4115" s="4">
        <f t="shared" si="1"/>
        <v>0.9985381424</v>
      </c>
      <c r="I4115" s="4" t="str">
        <f t="shared" si="2"/>
        <v>C</v>
      </c>
    </row>
    <row r="4116">
      <c r="A4116" s="2">
        <v>4115.0</v>
      </c>
      <c r="B4116" s="2" t="s">
        <v>5125</v>
      </c>
      <c r="C4116" s="2" t="s">
        <v>5126</v>
      </c>
      <c r="D4116" s="2">
        <v>0.21</v>
      </c>
      <c r="E4116" s="2">
        <v>228.0</v>
      </c>
      <c r="F4116" s="2">
        <v>47.88</v>
      </c>
      <c r="G4116" s="4">
        <f t="shared" si="3"/>
        <v>9530513.31</v>
      </c>
      <c r="H4116" s="4">
        <f t="shared" si="1"/>
        <v>0.9985431589</v>
      </c>
      <c r="I4116" s="4" t="str">
        <f t="shared" si="2"/>
        <v>C</v>
      </c>
    </row>
    <row r="4117">
      <c r="A4117" s="2">
        <v>4116.0</v>
      </c>
      <c r="B4117" s="2" t="s">
        <v>5127</v>
      </c>
      <c r="C4117" s="2" t="s">
        <v>2612</v>
      </c>
      <c r="D4117" s="2">
        <v>1.69</v>
      </c>
      <c r="E4117" s="2">
        <v>28.0</v>
      </c>
      <c r="F4117" s="2">
        <v>47.85</v>
      </c>
      <c r="G4117" s="4">
        <f t="shared" si="3"/>
        <v>9530561.16</v>
      </c>
      <c r="H4117" s="4">
        <f t="shared" si="1"/>
        <v>0.9985481723</v>
      </c>
      <c r="I4117" s="4" t="str">
        <f t="shared" si="2"/>
        <v>C</v>
      </c>
    </row>
    <row r="4118">
      <c r="A4118" s="2">
        <v>4117.0</v>
      </c>
      <c r="B4118" s="2">
        <v>84539.0</v>
      </c>
      <c r="C4118" s="2" t="s">
        <v>5128</v>
      </c>
      <c r="D4118" s="2">
        <v>1.65</v>
      </c>
      <c r="E4118" s="2">
        <v>29.0</v>
      </c>
      <c r="F4118" s="2">
        <v>47.85</v>
      </c>
      <c r="G4118" s="4">
        <f t="shared" si="3"/>
        <v>9530609.01</v>
      </c>
      <c r="H4118" s="4">
        <f t="shared" si="1"/>
        <v>0.9985531857</v>
      </c>
      <c r="I4118" s="4" t="str">
        <f t="shared" si="2"/>
        <v>C</v>
      </c>
    </row>
    <row r="4119">
      <c r="A4119" s="2">
        <v>4118.0</v>
      </c>
      <c r="B4119" s="2">
        <v>90174.0</v>
      </c>
      <c r="C4119" s="2" t="s">
        <v>5129</v>
      </c>
      <c r="D4119" s="2">
        <v>2.48</v>
      </c>
      <c r="E4119" s="2">
        <v>19.0</v>
      </c>
      <c r="F4119" s="2">
        <v>47.76</v>
      </c>
      <c r="G4119" s="4">
        <f t="shared" si="3"/>
        <v>9530656.77</v>
      </c>
      <c r="H4119" s="4">
        <f t="shared" si="1"/>
        <v>0.9985581897</v>
      </c>
      <c r="I4119" s="4" t="str">
        <f t="shared" si="2"/>
        <v>C</v>
      </c>
    </row>
    <row r="4120">
      <c r="A4120" s="2">
        <v>4119.0</v>
      </c>
      <c r="B4120" s="2" t="s">
        <v>5130</v>
      </c>
      <c r="C4120" s="2" t="s">
        <v>5131</v>
      </c>
      <c r="D4120" s="2">
        <v>7.95</v>
      </c>
      <c r="E4120" s="2">
        <v>6.0</v>
      </c>
      <c r="F4120" s="2">
        <v>47.7</v>
      </c>
      <c r="G4120" s="4">
        <f t="shared" si="3"/>
        <v>9530704.47</v>
      </c>
      <c r="H4120" s="4">
        <f t="shared" si="1"/>
        <v>0.9985631874</v>
      </c>
      <c r="I4120" s="4" t="str">
        <f t="shared" si="2"/>
        <v>C</v>
      </c>
    </row>
    <row r="4121">
      <c r="A4121" s="2">
        <v>4120.0</v>
      </c>
      <c r="B4121" s="2" t="s">
        <v>5132</v>
      </c>
      <c r="C4121" s="2" t="s">
        <v>5133</v>
      </c>
      <c r="D4121" s="2">
        <v>0.85</v>
      </c>
      <c r="E4121" s="2">
        <v>46.0</v>
      </c>
      <c r="F4121" s="2">
        <v>47.49</v>
      </c>
      <c r="G4121" s="4">
        <f t="shared" si="3"/>
        <v>9530751.96</v>
      </c>
      <c r="H4121" s="4">
        <f t="shared" si="1"/>
        <v>0.9985681631</v>
      </c>
      <c r="I4121" s="4" t="str">
        <f t="shared" si="2"/>
        <v>C</v>
      </c>
    </row>
    <row r="4122">
      <c r="A4122" s="2">
        <v>4121.0</v>
      </c>
      <c r="B4122" s="2" t="s">
        <v>5134</v>
      </c>
      <c r="C4122" s="2" t="s">
        <v>5135</v>
      </c>
      <c r="D4122" s="2">
        <v>47.48</v>
      </c>
      <c r="E4122" s="2">
        <v>1.0</v>
      </c>
      <c r="F4122" s="2">
        <v>47.48</v>
      </c>
      <c r="G4122" s="4">
        <f t="shared" si="3"/>
        <v>9530799.44</v>
      </c>
      <c r="H4122" s="4">
        <f t="shared" si="1"/>
        <v>0.9985731377</v>
      </c>
      <c r="I4122" s="4" t="str">
        <f t="shared" si="2"/>
        <v>C</v>
      </c>
    </row>
    <row r="4123">
      <c r="A4123" s="2">
        <v>4122.0</v>
      </c>
      <c r="B4123" s="2" t="s">
        <v>5136</v>
      </c>
      <c r="C4123" s="2" t="s">
        <v>5137</v>
      </c>
      <c r="D4123" s="2">
        <v>0.42</v>
      </c>
      <c r="E4123" s="2">
        <v>113.0</v>
      </c>
      <c r="F4123" s="2">
        <v>47.46</v>
      </c>
      <c r="G4123" s="4">
        <f t="shared" si="3"/>
        <v>9530846.9</v>
      </c>
      <c r="H4123" s="4">
        <f t="shared" si="1"/>
        <v>0.9985781103</v>
      </c>
      <c r="I4123" s="4" t="str">
        <f t="shared" si="2"/>
        <v>C</v>
      </c>
    </row>
    <row r="4124">
      <c r="A4124" s="2">
        <v>4123.0</v>
      </c>
      <c r="B4124" s="2" t="s">
        <v>5138</v>
      </c>
      <c r="C4124" s="2" t="s">
        <v>5139</v>
      </c>
      <c r="D4124" s="2">
        <v>3.95</v>
      </c>
      <c r="E4124" s="2">
        <v>12.0</v>
      </c>
      <c r="F4124" s="2">
        <v>47.4</v>
      </c>
      <c r="G4124" s="4">
        <f t="shared" si="3"/>
        <v>9530894.3</v>
      </c>
      <c r="H4124" s="4">
        <f t="shared" si="1"/>
        <v>0.9985830765</v>
      </c>
      <c r="I4124" s="4" t="str">
        <f t="shared" si="2"/>
        <v>C</v>
      </c>
    </row>
    <row r="4125">
      <c r="A4125" s="2">
        <v>4124.0</v>
      </c>
      <c r="B4125" s="2">
        <v>90089.0</v>
      </c>
      <c r="C4125" s="2" t="s">
        <v>5140</v>
      </c>
      <c r="D4125" s="2">
        <v>1.63</v>
      </c>
      <c r="E4125" s="2">
        <v>58.0</v>
      </c>
      <c r="F4125" s="2">
        <v>47.09</v>
      </c>
      <c r="G4125" s="4">
        <f t="shared" si="3"/>
        <v>9530941.39</v>
      </c>
      <c r="H4125" s="4">
        <f t="shared" si="1"/>
        <v>0.9985880103</v>
      </c>
      <c r="I4125" s="4" t="str">
        <f t="shared" si="2"/>
        <v>C</v>
      </c>
    </row>
    <row r="4126">
      <c r="A4126" s="2">
        <v>4125.0</v>
      </c>
      <c r="B4126" s="2" t="s">
        <v>5141</v>
      </c>
      <c r="C4126" s="2" t="s">
        <v>5142</v>
      </c>
      <c r="D4126" s="2">
        <v>8.5</v>
      </c>
      <c r="E4126" s="2">
        <v>6.0</v>
      </c>
      <c r="F4126" s="2">
        <v>46.74</v>
      </c>
      <c r="G4126" s="4">
        <f t="shared" si="3"/>
        <v>9530988.13</v>
      </c>
      <c r="H4126" s="4">
        <f t="shared" si="1"/>
        <v>0.9985929074</v>
      </c>
      <c r="I4126" s="4" t="str">
        <f t="shared" si="2"/>
        <v>C</v>
      </c>
    </row>
    <row r="4127">
      <c r="A4127" s="2">
        <v>4126.0</v>
      </c>
      <c r="B4127" s="2" t="s">
        <v>5143</v>
      </c>
      <c r="C4127" s="2" t="s">
        <v>5144</v>
      </c>
      <c r="D4127" s="2">
        <v>8.5</v>
      </c>
      <c r="E4127" s="2">
        <v>6.0</v>
      </c>
      <c r="F4127" s="2">
        <v>46.74</v>
      </c>
      <c r="G4127" s="4">
        <f t="shared" si="3"/>
        <v>9531034.87</v>
      </c>
      <c r="H4127" s="4">
        <f t="shared" si="1"/>
        <v>0.9985978045</v>
      </c>
      <c r="I4127" s="4" t="str">
        <f t="shared" si="2"/>
        <v>C</v>
      </c>
    </row>
    <row r="4128">
      <c r="A4128" s="2">
        <v>4127.0</v>
      </c>
      <c r="B4128" s="2" t="s">
        <v>5145</v>
      </c>
      <c r="C4128" s="2" t="s">
        <v>5146</v>
      </c>
      <c r="D4128" s="2">
        <v>0.21</v>
      </c>
      <c r="E4128" s="2">
        <v>221.0</v>
      </c>
      <c r="F4128" s="2">
        <v>46.41</v>
      </c>
      <c r="G4128" s="4">
        <f t="shared" si="3"/>
        <v>9531081.28</v>
      </c>
      <c r="H4128" s="4">
        <f t="shared" si="1"/>
        <v>0.998602667</v>
      </c>
      <c r="I4128" s="4" t="str">
        <f t="shared" si="2"/>
        <v>C</v>
      </c>
    </row>
    <row r="4129">
      <c r="A4129" s="2">
        <v>4128.0</v>
      </c>
      <c r="B4129" s="2">
        <v>84388.0</v>
      </c>
      <c r="C4129" s="2" t="s">
        <v>5147</v>
      </c>
      <c r="D4129" s="2">
        <v>1.65</v>
      </c>
      <c r="E4129" s="2">
        <v>36.0</v>
      </c>
      <c r="F4129" s="2">
        <v>46.17</v>
      </c>
      <c r="G4129" s="4">
        <f t="shared" si="3"/>
        <v>9531127.45</v>
      </c>
      <c r="H4129" s="4">
        <f t="shared" si="1"/>
        <v>0.9986075044</v>
      </c>
      <c r="I4129" s="4" t="str">
        <f t="shared" si="2"/>
        <v>C</v>
      </c>
    </row>
    <row r="4130">
      <c r="A4130" s="2">
        <v>4129.0</v>
      </c>
      <c r="B4130" s="2">
        <v>90075.0</v>
      </c>
      <c r="C4130" s="2" t="s">
        <v>5148</v>
      </c>
      <c r="D4130" s="2">
        <v>8.95</v>
      </c>
      <c r="E4130" s="2">
        <v>5.0</v>
      </c>
      <c r="F4130" s="2">
        <v>46.09</v>
      </c>
      <c r="G4130" s="4">
        <f t="shared" si="3"/>
        <v>9531173.54</v>
      </c>
      <c r="H4130" s="4">
        <f t="shared" si="1"/>
        <v>0.9986123334</v>
      </c>
      <c r="I4130" s="4" t="str">
        <f t="shared" si="2"/>
        <v>C</v>
      </c>
    </row>
    <row r="4131">
      <c r="A4131" s="2">
        <v>4130.0</v>
      </c>
      <c r="B4131" s="2" t="s">
        <v>5149</v>
      </c>
      <c r="C4131" s="2" t="s">
        <v>5150</v>
      </c>
      <c r="D4131" s="2">
        <v>0.85</v>
      </c>
      <c r="E4131" s="2">
        <v>48.0</v>
      </c>
      <c r="F4131" s="2">
        <v>46.08</v>
      </c>
      <c r="G4131" s="4">
        <f t="shared" si="3"/>
        <v>9531219.62</v>
      </c>
      <c r="H4131" s="4">
        <f t="shared" si="1"/>
        <v>0.9986171614</v>
      </c>
      <c r="I4131" s="4" t="str">
        <f t="shared" si="2"/>
        <v>C</v>
      </c>
    </row>
    <row r="4132">
      <c r="A4132" s="2">
        <v>4131.0</v>
      </c>
      <c r="B4132" s="2">
        <v>90118.0</v>
      </c>
      <c r="C4132" s="2" t="s">
        <v>5151</v>
      </c>
      <c r="D4132" s="2">
        <v>2.46</v>
      </c>
      <c r="E4132" s="2">
        <v>18.0</v>
      </c>
      <c r="F4132" s="2">
        <v>46.04</v>
      </c>
      <c r="G4132" s="4">
        <f t="shared" si="3"/>
        <v>9531265.66</v>
      </c>
      <c r="H4132" s="4">
        <f t="shared" si="1"/>
        <v>0.9986219851</v>
      </c>
      <c r="I4132" s="4" t="str">
        <f t="shared" si="2"/>
        <v>C</v>
      </c>
    </row>
    <row r="4133">
      <c r="A4133" s="2">
        <v>4132.0</v>
      </c>
      <c r="B4133" s="2">
        <v>21343.0</v>
      </c>
      <c r="C4133" s="2" t="s">
        <v>5152</v>
      </c>
      <c r="D4133" s="2">
        <v>3.95</v>
      </c>
      <c r="E4133" s="2">
        <v>10.0</v>
      </c>
      <c r="F4133" s="2">
        <v>46.0</v>
      </c>
      <c r="G4133" s="4">
        <f t="shared" si="3"/>
        <v>9531311.66</v>
      </c>
      <c r="H4133" s="4">
        <f t="shared" si="1"/>
        <v>0.9986268047</v>
      </c>
      <c r="I4133" s="4" t="str">
        <f t="shared" si="2"/>
        <v>C</v>
      </c>
    </row>
    <row r="4134">
      <c r="A4134" s="2">
        <v>4133.0</v>
      </c>
      <c r="B4134" s="2" t="s">
        <v>5153</v>
      </c>
      <c r="C4134" s="2" t="s">
        <v>5154</v>
      </c>
      <c r="D4134" s="2">
        <v>0.85</v>
      </c>
      <c r="E4134" s="2">
        <v>50.0</v>
      </c>
      <c r="F4134" s="2">
        <v>45.96</v>
      </c>
      <c r="G4134" s="4">
        <f t="shared" si="3"/>
        <v>9531357.62</v>
      </c>
      <c r="H4134" s="4">
        <f t="shared" si="1"/>
        <v>0.9986316201</v>
      </c>
      <c r="I4134" s="4" t="str">
        <f t="shared" si="2"/>
        <v>C</v>
      </c>
    </row>
    <row r="4135">
      <c r="A4135" s="2">
        <v>4134.0</v>
      </c>
      <c r="B4135" s="2" t="s">
        <v>5155</v>
      </c>
      <c r="C4135" s="2" t="s">
        <v>5156</v>
      </c>
      <c r="D4135" s="2">
        <v>2.95</v>
      </c>
      <c r="E4135" s="2">
        <v>16.0</v>
      </c>
      <c r="F4135" s="2">
        <v>45.69</v>
      </c>
      <c r="G4135" s="4">
        <f t="shared" si="3"/>
        <v>9531403.31</v>
      </c>
      <c r="H4135" s="4">
        <f t="shared" si="1"/>
        <v>0.9986364072</v>
      </c>
      <c r="I4135" s="4" t="str">
        <f t="shared" si="2"/>
        <v>C</v>
      </c>
    </row>
    <row r="4136">
      <c r="A4136" s="2">
        <v>4135.0</v>
      </c>
      <c r="B4136" s="2" t="s">
        <v>5157</v>
      </c>
      <c r="C4136" s="2" t="s">
        <v>5158</v>
      </c>
      <c r="D4136" s="2">
        <v>2.95</v>
      </c>
      <c r="E4136" s="2">
        <v>16.0</v>
      </c>
      <c r="F4136" s="2">
        <v>45.66</v>
      </c>
      <c r="G4136" s="4">
        <f t="shared" si="3"/>
        <v>9531448.97</v>
      </c>
      <c r="H4136" s="4">
        <f t="shared" si="1"/>
        <v>0.9986411911</v>
      </c>
      <c r="I4136" s="4" t="str">
        <f t="shared" si="2"/>
        <v>C</v>
      </c>
    </row>
    <row r="4137">
      <c r="A4137" s="2">
        <v>4136.0</v>
      </c>
      <c r="B4137" s="2">
        <v>90112.0</v>
      </c>
      <c r="C4137" s="2" t="s">
        <v>5159</v>
      </c>
      <c r="D4137" s="2">
        <v>1.05</v>
      </c>
      <c r="E4137" s="2">
        <v>42.0</v>
      </c>
      <c r="F4137" s="2">
        <v>45.62</v>
      </c>
      <c r="G4137" s="4">
        <f t="shared" si="3"/>
        <v>9531494.59</v>
      </c>
      <c r="H4137" s="4">
        <f t="shared" si="1"/>
        <v>0.9986459709</v>
      </c>
      <c r="I4137" s="4" t="str">
        <f t="shared" si="2"/>
        <v>C</v>
      </c>
    </row>
    <row r="4138">
      <c r="A4138" s="2">
        <v>4137.0</v>
      </c>
      <c r="B4138" s="2">
        <v>20660.0</v>
      </c>
      <c r="C4138" s="2" t="s">
        <v>5160</v>
      </c>
      <c r="D4138" s="2">
        <v>1.25</v>
      </c>
      <c r="E4138" s="2">
        <v>36.0</v>
      </c>
      <c r="F4138" s="2">
        <v>45.62</v>
      </c>
      <c r="G4138" s="4">
        <f t="shared" si="3"/>
        <v>9531540.21</v>
      </c>
      <c r="H4138" s="4">
        <f t="shared" si="1"/>
        <v>0.9986507506</v>
      </c>
      <c r="I4138" s="4" t="str">
        <f t="shared" si="2"/>
        <v>C</v>
      </c>
    </row>
    <row r="4139">
      <c r="A4139" s="2">
        <v>4138.0</v>
      </c>
      <c r="B4139" s="2" t="s">
        <v>5161</v>
      </c>
      <c r="C4139" s="2" t="s">
        <v>5162</v>
      </c>
      <c r="D4139" s="2">
        <v>0.85</v>
      </c>
      <c r="E4139" s="2">
        <v>53.0</v>
      </c>
      <c r="F4139" s="2">
        <v>45.47</v>
      </c>
      <c r="G4139" s="4">
        <f t="shared" si="3"/>
        <v>9531585.68</v>
      </c>
      <c r="H4139" s="4">
        <f t="shared" si="1"/>
        <v>0.9986555147</v>
      </c>
      <c r="I4139" s="4" t="str">
        <f t="shared" si="2"/>
        <v>C</v>
      </c>
    </row>
    <row r="4140">
      <c r="A4140" s="2">
        <v>4139.0</v>
      </c>
      <c r="B4140" s="2" t="s">
        <v>5163</v>
      </c>
      <c r="C4140" s="2" t="s">
        <v>5164</v>
      </c>
      <c r="D4140" s="2">
        <v>0.85</v>
      </c>
      <c r="E4140" s="2">
        <v>50.0</v>
      </c>
      <c r="F4140" s="2">
        <v>45.41</v>
      </c>
      <c r="G4140" s="4">
        <f t="shared" si="3"/>
        <v>9531631.09</v>
      </c>
      <c r="H4140" s="4">
        <f t="shared" si="1"/>
        <v>0.9986602724</v>
      </c>
      <c r="I4140" s="4" t="str">
        <f t="shared" si="2"/>
        <v>C</v>
      </c>
    </row>
    <row r="4141">
      <c r="A4141" s="2">
        <v>4140.0</v>
      </c>
      <c r="B4141" s="2" t="s">
        <v>5165</v>
      </c>
      <c r="C4141" s="2" t="s">
        <v>5166</v>
      </c>
      <c r="D4141" s="2">
        <v>1.25</v>
      </c>
      <c r="E4141" s="2">
        <v>35.0</v>
      </c>
      <c r="F4141" s="2">
        <v>45.25</v>
      </c>
      <c r="G4141" s="4">
        <f t="shared" si="3"/>
        <v>9531676.34</v>
      </c>
      <c r="H4141" s="4">
        <f t="shared" si="1"/>
        <v>0.9986650134</v>
      </c>
      <c r="I4141" s="4" t="str">
        <f t="shared" si="2"/>
        <v>C</v>
      </c>
    </row>
    <row r="4142">
      <c r="A4142" s="2">
        <v>4141.0</v>
      </c>
      <c r="B4142" s="2">
        <v>72783.0</v>
      </c>
      <c r="C4142" s="2" t="s">
        <v>5167</v>
      </c>
      <c r="D4142" s="2">
        <v>2.1</v>
      </c>
      <c r="E4142" s="2">
        <v>22.0</v>
      </c>
      <c r="F4142" s="2">
        <v>45.15</v>
      </c>
      <c r="G4142" s="4">
        <f t="shared" si="3"/>
        <v>9531721.49</v>
      </c>
      <c r="H4142" s="4">
        <f t="shared" si="1"/>
        <v>0.9986697439</v>
      </c>
      <c r="I4142" s="4" t="str">
        <f t="shared" si="2"/>
        <v>C</v>
      </c>
    </row>
    <row r="4143">
      <c r="A4143" s="2">
        <v>4142.0</v>
      </c>
      <c r="B4143" s="2">
        <v>23574.0</v>
      </c>
      <c r="C4143" s="2" t="s">
        <v>5168</v>
      </c>
      <c r="D4143" s="2">
        <v>7.5</v>
      </c>
      <c r="E4143" s="2">
        <v>6.0</v>
      </c>
      <c r="F4143" s="2">
        <v>45.0</v>
      </c>
      <c r="G4143" s="4">
        <f t="shared" si="3"/>
        <v>9531766.49</v>
      </c>
      <c r="H4143" s="4">
        <f t="shared" si="1"/>
        <v>0.9986744587</v>
      </c>
      <c r="I4143" s="4" t="str">
        <f t="shared" si="2"/>
        <v>C</v>
      </c>
    </row>
    <row r="4144">
      <c r="A4144" s="2">
        <v>4143.0</v>
      </c>
      <c r="B4144" s="2" t="s">
        <v>5169</v>
      </c>
      <c r="C4144" s="2" t="s">
        <v>5170</v>
      </c>
      <c r="D4144" s="2">
        <v>0.42</v>
      </c>
      <c r="E4144" s="2">
        <v>105.0</v>
      </c>
      <c r="F4144" s="2">
        <v>44.96</v>
      </c>
      <c r="G4144" s="4">
        <f t="shared" si="3"/>
        <v>9531811.45</v>
      </c>
      <c r="H4144" s="4">
        <f t="shared" si="1"/>
        <v>0.9986791693</v>
      </c>
      <c r="I4144" s="4" t="str">
        <f t="shared" si="2"/>
        <v>C</v>
      </c>
    </row>
    <row r="4145">
      <c r="A4145" s="2">
        <v>4144.0</v>
      </c>
      <c r="B4145" s="2">
        <v>47598.0</v>
      </c>
      <c r="C4145" s="2" t="s">
        <v>5171</v>
      </c>
      <c r="D4145" s="2">
        <v>0.55</v>
      </c>
      <c r="E4145" s="2">
        <v>69.0</v>
      </c>
      <c r="F4145" s="2">
        <v>44.56</v>
      </c>
      <c r="G4145" s="4">
        <f t="shared" si="3"/>
        <v>9531856.01</v>
      </c>
      <c r="H4145" s="4">
        <f t="shared" si="1"/>
        <v>0.998683838</v>
      </c>
      <c r="I4145" s="4" t="str">
        <f t="shared" si="2"/>
        <v>C</v>
      </c>
    </row>
    <row r="4146">
      <c r="A4146" s="2">
        <v>4145.0</v>
      </c>
      <c r="B4146" s="2" t="s">
        <v>5172</v>
      </c>
      <c r="C4146" s="2" t="s">
        <v>5173</v>
      </c>
      <c r="D4146" s="2">
        <v>2.95</v>
      </c>
      <c r="E4146" s="2">
        <v>15.0</v>
      </c>
      <c r="F4146" s="2">
        <v>44.25</v>
      </c>
      <c r="G4146" s="4">
        <f t="shared" si="3"/>
        <v>9531900.26</v>
      </c>
      <c r="H4146" s="4">
        <f t="shared" si="1"/>
        <v>0.9986884742</v>
      </c>
      <c r="I4146" s="4" t="str">
        <f t="shared" si="2"/>
        <v>C</v>
      </c>
    </row>
    <row r="4147">
      <c r="A4147" s="2">
        <v>4146.0</v>
      </c>
      <c r="B4147" s="2" t="s">
        <v>5174</v>
      </c>
      <c r="C4147" s="2" t="s">
        <v>5175</v>
      </c>
      <c r="D4147" s="2">
        <v>3.95</v>
      </c>
      <c r="E4147" s="2">
        <v>20.0</v>
      </c>
      <c r="F4147" s="2">
        <v>44.02</v>
      </c>
      <c r="G4147" s="4">
        <f t="shared" si="3"/>
        <v>9531944.28</v>
      </c>
      <c r="H4147" s="4">
        <f t="shared" si="1"/>
        <v>0.9986930864</v>
      </c>
      <c r="I4147" s="4" t="str">
        <f t="shared" si="2"/>
        <v>C</v>
      </c>
    </row>
    <row r="4148">
      <c r="A4148" s="2">
        <v>4147.0</v>
      </c>
      <c r="B4148" s="2" t="s">
        <v>5176</v>
      </c>
      <c r="C4148" s="2" t="s">
        <v>5177</v>
      </c>
      <c r="D4148" s="2">
        <v>0.83</v>
      </c>
      <c r="E4148" s="2">
        <v>112.0</v>
      </c>
      <c r="F4148" s="2">
        <v>43.98</v>
      </c>
      <c r="G4148" s="4">
        <f t="shared" si="3"/>
        <v>9531988.26</v>
      </c>
      <c r="H4148" s="4">
        <f t="shared" si="1"/>
        <v>0.9986976943</v>
      </c>
      <c r="I4148" s="4" t="str">
        <f t="shared" si="2"/>
        <v>C</v>
      </c>
    </row>
    <row r="4149">
      <c r="A4149" s="2">
        <v>4148.0</v>
      </c>
      <c r="B4149" s="2">
        <v>84721.0</v>
      </c>
      <c r="C4149" s="2" t="s">
        <v>5178</v>
      </c>
      <c r="D4149" s="2">
        <v>8.35</v>
      </c>
      <c r="E4149" s="2">
        <v>10.0</v>
      </c>
      <c r="F4149" s="2">
        <v>43.9</v>
      </c>
      <c r="G4149" s="4">
        <f t="shared" si="3"/>
        <v>9532032.16</v>
      </c>
      <c r="H4149" s="4">
        <f t="shared" si="1"/>
        <v>0.9987022938</v>
      </c>
      <c r="I4149" s="4" t="str">
        <f t="shared" si="2"/>
        <v>C</v>
      </c>
    </row>
    <row r="4150">
      <c r="A4150" s="2">
        <v>4149.0</v>
      </c>
      <c r="B4150" s="2">
        <v>23442.0</v>
      </c>
      <c r="C4150" s="2" t="s">
        <v>5179</v>
      </c>
      <c r="D4150" s="2">
        <v>2.08</v>
      </c>
      <c r="E4150" s="2">
        <v>21.0</v>
      </c>
      <c r="F4150" s="2">
        <v>43.68</v>
      </c>
      <c r="G4150" s="4">
        <f t="shared" si="3"/>
        <v>9532075.84</v>
      </c>
      <c r="H4150" s="4">
        <f t="shared" si="1"/>
        <v>0.9987068703</v>
      </c>
      <c r="I4150" s="4" t="str">
        <f t="shared" si="2"/>
        <v>C</v>
      </c>
    </row>
    <row r="4151">
      <c r="A4151" s="2">
        <v>4150.0</v>
      </c>
      <c r="B4151" s="2">
        <v>20835.0</v>
      </c>
      <c r="C4151" s="2" t="s">
        <v>3636</v>
      </c>
      <c r="D4151" s="2">
        <v>0.83</v>
      </c>
      <c r="E4151" s="2">
        <v>40.0</v>
      </c>
      <c r="F4151" s="2">
        <v>43.51</v>
      </c>
      <c r="G4151" s="4">
        <f t="shared" si="3"/>
        <v>9532119.35</v>
      </c>
      <c r="H4151" s="4">
        <f t="shared" si="1"/>
        <v>0.998711429</v>
      </c>
      <c r="I4151" s="4" t="str">
        <f t="shared" si="2"/>
        <v>C</v>
      </c>
    </row>
    <row r="4152">
      <c r="A4152" s="2">
        <v>4151.0</v>
      </c>
      <c r="B4152" s="2" t="s">
        <v>5180</v>
      </c>
      <c r="C4152" s="2" t="s">
        <v>5181</v>
      </c>
      <c r="D4152" s="2">
        <v>0.38</v>
      </c>
      <c r="E4152" s="2">
        <v>114.0</v>
      </c>
      <c r="F4152" s="2">
        <v>43.51</v>
      </c>
      <c r="G4152" s="4">
        <f t="shared" si="3"/>
        <v>9532162.86</v>
      </c>
      <c r="H4152" s="4">
        <f t="shared" si="1"/>
        <v>0.9987159877</v>
      </c>
      <c r="I4152" s="4" t="str">
        <f t="shared" si="2"/>
        <v>C</v>
      </c>
    </row>
    <row r="4153">
      <c r="A4153" s="2">
        <v>4152.0</v>
      </c>
      <c r="B4153" s="2">
        <v>35265.0</v>
      </c>
      <c r="C4153" s="2" t="s">
        <v>5182</v>
      </c>
      <c r="D4153" s="2">
        <v>1.95</v>
      </c>
      <c r="E4153" s="2">
        <v>11.0</v>
      </c>
      <c r="F4153" s="2">
        <v>43.48</v>
      </c>
      <c r="G4153" s="4">
        <f t="shared" si="3"/>
        <v>9532206.34</v>
      </c>
      <c r="H4153" s="4">
        <f t="shared" si="1"/>
        <v>0.9987205433</v>
      </c>
      <c r="I4153" s="4" t="str">
        <f t="shared" si="2"/>
        <v>C</v>
      </c>
    </row>
    <row r="4154">
      <c r="A4154" s="2">
        <v>4153.0</v>
      </c>
      <c r="B4154" s="2" t="s">
        <v>5183</v>
      </c>
      <c r="C4154" s="2" t="s">
        <v>5184</v>
      </c>
      <c r="D4154" s="2">
        <v>0.84</v>
      </c>
      <c r="E4154" s="2">
        <v>84.0</v>
      </c>
      <c r="F4154" s="2">
        <v>43.43</v>
      </c>
      <c r="G4154" s="4">
        <f t="shared" si="3"/>
        <v>9532249.77</v>
      </c>
      <c r="H4154" s="4">
        <f t="shared" si="1"/>
        <v>0.9987250936</v>
      </c>
      <c r="I4154" s="4" t="str">
        <f t="shared" si="2"/>
        <v>C</v>
      </c>
    </row>
    <row r="4155">
      <c r="A4155" s="2">
        <v>4154.0</v>
      </c>
      <c r="B4155" s="2" t="s">
        <v>5185</v>
      </c>
      <c r="C4155" s="2" t="s">
        <v>5186</v>
      </c>
      <c r="D4155" s="2">
        <v>3.75</v>
      </c>
      <c r="E4155" s="2">
        <v>12.0</v>
      </c>
      <c r="F4155" s="2">
        <v>43.32</v>
      </c>
      <c r="G4155" s="4">
        <f t="shared" si="3"/>
        <v>9532293.09</v>
      </c>
      <c r="H4155" s="4">
        <f t="shared" si="1"/>
        <v>0.9987296323</v>
      </c>
      <c r="I4155" s="4" t="str">
        <f t="shared" si="2"/>
        <v>C</v>
      </c>
    </row>
    <row r="4156">
      <c r="A4156" s="2">
        <v>4155.0</v>
      </c>
      <c r="B4156" s="2">
        <v>23614.0</v>
      </c>
      <c r="C4156" s="2" t="s">
        <v>5187</v>
      </c>
      <c r="D4156" s="2">
        <v>3.33</v>
      </c>
      <c r="E4156" s="2">
        <v>13.0</v>
      </c>
      <c r="F4156" s="2">
        <v>43.29</v>
      </c>
      <c r="G4156" s="4">
        <f t="shared" si="3"/>
        <v>9532336.38</v>
      </c>
      <c r="H4156" s="4">
        <f t="shared" si="1"/>
        <v>0.998734168</v>
      </c>
      <c r="I4156" s="4" t="str">
        <f t="shared" si="2"/>
        <v>C</v>
      </c>
    </row>
    <row r="4157">
      <c r="A4157" s="2">
        <v>4156.0</v>
      </c>
      <c r="B4157" s="2" t="s">
        <v>5188</v>
      </c>
      <c r="C4157" s="2" t="s">
        <v>5189</v>
      </c>
      <c r="D4157" s="2">
        <v>3.75</v>
      </c>
      <c r="E4157" s="2">
        <v>12.0</v>
      </c>
      <c r="F4157" s="2">
        <v>43.12</v>
      </c>
      <c r="G4157" s="4">
        <f t="shared" si="3"/>
        <v>9532379.5</v>
      </c>
      <c r="H4157" s="4">
        <f t="shared" si="1"/>
        <v>0.9987386858</v>
      </c>
      <c r="I4157" s="4" t="str">
        <f t="shared" si="2"/>
        <v>C</v>
      </c>
    </row>
    <row r="4158">
      <c r="A4158" s="2">
        <v>4157.0</v>
      </c>
      <c r="B4158" s="2" t="s">
        <v>5190</v>
      </c>
      <c r="C4158" s="2" t="s">
        <v>5191</v>
      </c>
      <c r="D4158" s="2">
        <v>0.19</v>
      </c>
      <c r="E4158" s="2">
        <v>210.0</v>
      </c>
      <c r="F4158" s="2">
        <v>42.98</v>
      </c>
      <c r="G4158" s="4">
        <f t="shared" si="3"/>
        <v>9532422.48</v>
      </c>
      <c r="H4158" s="4">
        <f t="shared" si="1"/>
        <v>0.998743189</v>
      </c>
      <c r="I4158" s="4" t="str">
        <f t="shared" si="2"/>
        <v>C</v>
      </c>
    </row>
    <row r="4159">
      <c r="A4159" s="2">
        <v>4158.0</v>
      </c>
      <c r="B4159" s="2" t="s">
        <v>5192</v>
      </c>
      <c r="C4159" s="2" t="s">
        <v>5193</v>
      </c>
      <c r="D4159" s="2">
        <v>9.95</v>
      </c>
      <c r="E4159" s="2">
        <v>8.0</v>
      </c>
      <c r="F4159" s="2">
        <v>42.95</v>
      </c>
      <c r="G4159" s="4">
        <f t="shared" si="3"/>
        <v>9532465.43</v>
      </c>
      <c r="H4159" s="4">
        <f t="shared" si="1"/>
        <v>0.998747689</v>
      </c>
      <c r="I4159" s="4" t="str">
        <f t="shared" si="2"/>
        <v>C</v>
      </c>
    </row>
    <row r="4160">
      <c r="A4160" s="2">
        <v>4159.0</v>
      </c>
      <c r="B4160" s="2" t="s">
        <v>5194</v>
      </c>
      <c r="C4160" s="2" t="s">
        <v>5195</v>
      </c>
      <c r="D4160" s="2">
        <v>2.95</v>
      </c>
      <c r="E4160" s="2">
        <v>14.0</v>
      </c>
      <c r="F4160" s="2">
        <v>42.78</v>
      </c>
      <c r="G4160" s="4">
        <f t="shared" si="3"/>
        <v>9532508.21</v>
      </c>
      <c r="H4160" s="4">
        <f t="shared" si="1"/>
        <v>0.9987521712</v>
      </c>
      <c r="I4160" s="4" t="str">
        <f t="shared" si="2"/>
        <v>C</v>
      </c>
    </row>
    <row r="4161">
      <c r="A4161" s="2">
        <v>4160.0</v>
      </c>
      <c r="B4161" s="2">
        <v>84454.0</v>
      </c>
      <c r="C4161" s="2" t="s">
        <v>5196</v>
      </c>
      <c r="D4161" s="2">
        <v>0.85</v>
      </c>
      <c r="E4161" s="2">
        <v>46.0</v>
      </c>
      <c r="F4161" s="2">
        <v>42.76</v>
      </c>
      <c r="G4161" s="4">
        <f t="shared" si="3"/>
        <v>9532550.97</v>
      </c>
      <c r="H4161" s="4">
        <f t="shared" si="1"/>
        <v>0.9987566513</v>
      </c>
      <c r="I4161" s="4" t="str">
        <f t="shared" si="2"/>
        <v>C</v>
      </c>
    </row>
    <row r="4162">
      <c r="A4162" s="2">
        <v>4161.0</v>
      </c>
      <c r="B4162" s="2" t="s">
        <v>5197</v>
      </c>
      <c r="C4162" s="2" t="s">
        <v>73</v>
      </c>
      <c r="D4162" s="2">
        <v>5.06</v>
      </c>
      <c r="E4162" s="2">
        <v>8.0</v>
      </c>
      <c r="F4162" s="2">
        <v>42.58</v>
      </c>
      <c r="G4162" s="4">
        <f t="shared" si="3"/>
        <v>9532593.55</v>
      </c>
      <c r="H4162" s="4">
        <f t="shared" si="1"/>
        <v>0.9987611125</v>
      </c>
      <c r="I4162" s="4" t="str">
        <f t="shared" si="2"/>
        <v>C</v>
      </c>
    </row>
    <row r="4163">
      <c r="A4163" s="2">
        <v>4162.0</v>
      </c>
      <c r="B4163" s="2" t="s">
        <v>5198</v>
      </c>
      <c r="C4163" s="2" t="s">
        <v>5199</v>
      </c>
      <c r="D4163" s="2">
        <v>0.85</v>
      </c>
      <c r="E4163" s="2">
        <v>50.0</v>
      </c>
      <c r="F4163" s="2">
        <v>42.5</v>
      </c>
      <c r="G4163" s="4">
        <f t="shared" si="3"/>
        <v>9532636.05</v>
      </c>
      <c r="H4163" s="4">
        <f t="shared" si="1"/>
        <v>0.9987655654</v>
      </c>
      <c r="I4163" s="4" t="str">
        <f t="shared" si="2"/>
        <v>C</v>
      </c>
    </row>
    <row r="4164">
      <c r="A4164" s="2">
        <v>4163.0</v>
      </c>
      <c r="B4164" s="2" t="s">
        <v>5200</v>
      </c>
      <c r="C4164" s="2" t="s">
        <v>5201</v>
      </c>
      <c r="D4164" s="2">
        <v>8.5</v>
      </c>
      <c r="E4164" s="2">
        <v>5.0</v>
      </c>
      <c r="F4164" s="2">
        <v>42.5</v>
      </c>
      <c r="G4164" s="4">
        <f t="shared" si="3"/>
        <v>9532678.55</v>
      </c>
      <c r="H4164" s="4">
        <f t="shared" si="1"/>
        <v>0.9987700182</v>
      </c>
      <c r="I4164" s="4" t="str">
        <f t="shared" si="2"/>
        <v>C</v>
      </c>
    </row>
    <row r="4165">
      <c r="A4165" s="2">
        <v>4164.0</v>
      </c>
      <c r="B4165" s="2" t="s">
        <v>5202</v>
      </c>
      <c r="C4165" s="2" t="s">
        <v>5203</v>
      </c>
      <c r="D4165" s="2">
        <v>4.25</v>
      </c>
      <c r="E4165" s="2">
        <v>10.0</v>
      </c>
      <c r="F4165" s="2">
        <v>42.48</v>
      </c>
      <c r="G4165" s="4">
        <f t="shared" si="3"/>
        <v>9532721.03</v>
      </c>
      <c r="H4165" s="4">
        <f t="shared" si="1"/>
        <v>0.998774469</v>
      </c>
      <c r="I4165" s="4" t="str">
        <f t="shared" si="2"/>
        <v>C</v>
      </c>
    </row>
    <row r="4166">
      <c r="A4166" s="2">
        <v>4165.0</v>
      </c>
      <c r="B4166" s="2" t="s">
        <v>5204</v>
      </c>
      <c r="C4166" s="2" t="s">
        <v>5205</v>
      </c>
      <c r="D4166" s="2">
        <v>0.36</v>
      </c>
      <c r="E4166" s="2">
        <v>114.0</v>
      </c>
      <c r="F4166" s="2">
        <v>42.42</v>
      </c>
      <c r="G4166" s="4">
        <f t="shared" si="3"/>
        <v>9532763.45</v>
      </c>
      <c r="H4166" s="4">
        <f t="shared" si="1"/>
        <v>0.9987789135</v>
      </c>
      <c r="I4166" s="4" t="str">
        <f t="shared" si="2"/>
        <v>C</v>
      </c>
    </row>
    <row r="4167">
      <c r="A4167" s="2">
        <v>4166.0</v>
      </c>
      <c r="B4167" s="2" t="s">
        <v>5206</v>
      </c>
      <c r="C4167" s="2" t="s">
        <v>5207</v>
      </c>
      <c r="D4167" s="2">
        <v>16.95</v>
      </c>
      <c r="E4167" s="2">
        <v>2.0</v>
      </c>
      <c r="F4167" s="2">
        <v>42.38</v>
      </c>
      <c r="G4167" s="4">
        <f t="shared" si="3"/>
        <v>9532805.83</v>
      </c>
      <c r="H4167" s="4">
        <f t="shared" si="1"/>
        <v>0.9987833538</v>
      </c>
      <c r="I4167" s="4" t="str">
        <f t="shared" si="2"/>
        <v>C</v>
      </c>
    </row>
    <row r="4168">
      <c r="A4168" s="2">
        <v>4167.0</v>
      </c>
      <c r="B4168" s="2">
        <v>16051.0</v>
      </c>
      <c r="C4168" s="2" t="s">
        <v>5208</v>
      </c>
      <c r="D4168" s="2">
        <v>0.42</v>
      </c>
      <c r="E4168" s="2">
        <v>470.0</v>
      </c>
      <c r="F4168" s="2">
        <v>42.34</v>
      </c>
      <c r="G4168" s="4">
        <f t="shared" si="3"/>
        <v>9532848.17</v>
      </c>
      <c r="H4168" s="4">
        <f t="shared" si="1"/>
        <v>0.9987877899</v>
      </c>
      <c r="I4168" s="4" t="str">
        <f t="shared" si="2"/>
        <v>C</v>
      </c>
    </row>
    <row r="4169">
      <c r="A4169" s="2">
        <v>4168.0</v>
      </c>
      <c r="B4169" s="2" t="s">
        <v>5209</v>
      </c>
      <c r="C4169" s="2" t="s">
        <v>5210</v>
      </c>
      <c r="D4169" s="2">
        <v>0.81</v>
      </c>
      <c r="E4169" s="2">
        <v>70.0</v>
      </c>
      <c r="F4169" s="2">
        <v>42.28</v>
      </c>
      <c r="G4169" s="4">
        <f t="shared" si="3"/>
        <v>9532890.45</v>
      </c>
      <c r="H4169" s="4">
        <f t="shared" si="1"/>
        <v>0.9987922197</v>
      </c>
      <c r="I4169" s="4" t="str">
        <f t="shared" si="2"/>
        <v>C</v>
      </c>
    </row>
    <row r="4170">
      <c r="A4170" s="2">
        <v>4169.0</v>
      </c>
      <c r="B4170" s="2" t="s">
        <v>5211</v>
      </c>
      <c r="C4170" s="2" t="s">
        <v>5212</v>
      </c>
      <c r="D4170" s="2">
        <v>0.74</v>
      </c>
      <c r="E4170" s="2">
        <v>127.0</v>
      </c>
      <c r="F4170" s="2">
        <v>42.28</v>
      </c>
      <c r="G4170" s="4">
        <f t="shared" si="3"/>
        <v>9532932.73</v>
      </c>
      <c r="H4170" s="4">
        <f t="shared" si="1"/>
        <v>0.9987966495</v>
      </c>
      <c r="I4170" s="4" t="str">
        <f t="shared" si="2"/>
        <v>C</v>
      </c>
    </row>
    <row r="4171">
      <c r="A4171" s="2">
        <v>4170.0</v>
      </c>
      <c r="B4171" s="2" t="s">
        <v>5213</v>
      </c>
      <c r="C4171" s="2" t="s">
        <v>5214</v>
      </c>
      <c r="D4171" s="2">
        <v>0.19</v>
      </c>
      <c r="E4171" s="2">
        <v>170.0</v>
      </c>
      <c r="F4171" s="2">
        <v>41.98</v>
      </c>
      <c r="G4171" s="4">
        <f t="shared" si="3"/>
        <v>9532974.71</v>
      </c>
      <c r="H4171" s="4">
        <f t="shared" si="1"/>
        <v>0.9988010479</v>
      </c>
      <c r="I4171" s="4" t="str">
        <f t="shared" si="2"/>
        <v>C</v>
      </c>
    </row>
    <row r="4172">
      <c r="A4172" s="2">
        <v>4171.0</v>
      </c>
      <c r="B4172" s="2" t="s">
        <v>5215</v>
      </c>
      <c r="C4172" s="2" t="s">
        <v>5216</v>
      </c>
      <c r="D4172" s="2">
        <v>5.4</v>
      </c>
      <c r="E4172" s="2">
        <v>8.0</v>
      </c>
      <c r="F4172" s="2">
        <v>41.84</v>
      </c>
      <c r="G4172" s="4">
        <f t="shared" si="3"/>
        <v>9533016.55</v>
      </c>
      <c r="H4172" s="4">
        <f t="shared" si="1"/>
        <v>0.9988054316</v>
      </c>
      <c r="I4172" s="4" t="str">
        <f t="shared" si="2"/>
        <v>C</v>
      </c>
    </row>
    <row r="4173">
      <c r="A4173" s="2">
        <v>4172.0</v>
      </c>
      <c r="B4173" s="2">
        <v>90169.0</v>
      </c>
      <c r="C4173" s="2" t="s">
        <v>5217</v>
      </c>
      <c r="D4173" s="2">
        <v>2.54</v>
      </c>
      <c r="E4173" s="2">
        <v>16.0</v>
      </c>
      <c r="F4173" s="2">
        <v>41.78</v>
      </c>
      <c r="G4173" s="4">
        <f t="shared" si="3"/>
        <v>9533058.33</v>
      </c>
      <c r="H4173" s="4">
        <f t="shared" si="1"/>
        <v>0.998809809</v>
      </c>
      <c r="I4173" s="4" t="str">
        <f t="shared" si="2"/>
        <v>C</v>
      </c>
    </row>
    <row r="4174">
      <c r="A4174" s="2">
        <v>4173.0</v>
      </c>
      <c r="B4174" s="2">
        <v>22016.0</v>
      </c>
      <c r="C4174" s="2" t="s">
        <v>5218</v>
      </c>
      <c r="D4174" s="2">
        <v>83.33</v>
      </c>
      <c r="E4174" s="2">
        <v>0.0</v>
      </c>
      <c r="F4174" s="2">
        <v>41.66</v>
      </c>
      <c r="G4174" s="4">
        <f t="shared" si="3"/>
        <v>9533099.99</v>
      </c>
      <c r="H4174" s="4">
        <f t="shared" si="1"/>
        <v>0.9988141739</v>
      </c>
      <c r="I4174" s="4" t="str">
        <f t="shared" si="2"/>
        <v>C</v>
      </c>
    </row>
    <row r="4175">
      <c r="A4175" s="2">
        <v>4174.0</v>
      </c>
      <c r="B4175" s="2">
        <v>72779.0</v>
      </c>
      <c r="C4175" s="2" t="s">
        <v>5219</v>
      </c>
      <c r="D4175" s="2">
        <v>1.69</v>
      </c>
      <c r="E4175" s="2">
        <v>24.0</v>
      </c>
      <c r="F4175" s="2">
        <v>41.4</v>
      </c>
      <c r="G4175" s="4">
        <f t="shared" si="3"/>
        <v>9533141.39</v>
      </c>
      <c r="H4175" s="4">
        <f t="shared" si="1"/>
        <v>0.9988185115</v>
      </c>
      <c r="I4175" s="4" t="str">
        <f t="shared" si="2"/>
        <v>C</v>
      </c>
    </row>
    <row r="4176">
      <c r="A4176" s="2">
        <v>4175.0</v>
      </c>
      <c r="B4176" s="2" t="s">
        <v>5220</v>
      </c>
      <c r="C4176" s="2" t="s">
        <v>5221</v>
      </c>
      <c r="D4176" s="2">
        <v>7.5</v>
      </c>
      <c r="E4176" s="2">
        <v>6.0</v>
      </c>
      <c r="F4176" s="2">
        <v>41.4</v>
      </c>
      <c r="G4176" s="4">
        <f t="shared" si="3"/>
        <v>9533182.79</v>
      </c>
      <c r="H4176" s="4">
        <f t="shared" si="1"/>
        <v>0.9988228491</v>
      </c>
      <c r="I4176" s="4" t="str">
        <f t="shared" si="2"/>
        <v>C</v>
      </c>
    </row>
    <row r="4177">
      <c r="A4177" s="2">
        <v>4176.0</v>
      </c>
      <c r="B4177" s="2" t="s">
        <v>5222</v>
      </c>
      <c r="C4177" s="2" t="s">
        <v>4424</v>
      </c>
      <c r="D4177" s="2">
        <v>3.75</v>
      </c>
      <c r="E4177" s="2">
        <v>10.0</v>
      </c>
      <c r="F4177" s="2">
        <v>41.39</v>
      </c>
      <c r="G4177" s="4">
        <f t="shared" si="3"/>
        <v>9533224.18</v>
      </c>
      <c r="H4177" s="4">
        <f t="shared" si="1"/>
        <v>0.9988271857</v>
      </c>
      <c r="I4177" s="4" t="str">
        <f t="shared" si="2"/>
        <v>C</v>
      </c>
    </row>
    <row r="4178">
      <c r="A4178" s="2">
        <v>4177.0</v>
      </c>
      <c r="B4178" s="2" t="s">
        <v>5223</v>
      </c>
      <c r="C4178" s="2" t="s">
        <v>5224</v>
      </c>
      <c r="D4178" s="2">
        <v>3.75</v>
      </c>
      <c r="E4178" s="2">
        <v>11.0</v>
      </c>
      <c r="F4178" s="2">
        <v>41.37</v>
      </c>
      <c r="G4178" s="4">
        <f t="shared" si="3"/>
        <v>9533265.55</v>
      </c>
      <c r="H4178" s="4">
        <f t="shared" si="1"/>
        <v>0.9988315202</v>
      </c>
      <c r="I4178" s="4" t="str">
        <f t="shared" si="2"/>
        <v>C</v>
      </c>
    </row>
    <row r="4179">
      <c r="A4179" s="2">
        <v>4178.0</v>
      </c>
      <c r="B4179" s="2" t="s">
        <v>5225</v>
      </c>
      <c r="C4179" s="2" t="s">
        <v>5226</v>
      </c>
      <c r="D4179" s="2">
        <v>7.5</v>
      </c>
      <c r="E4179" s="2">
        <v>6.0</v>
      </c>
      <c r="F4179" s="2">
        <v>41.32</v>
      </c>
      <c r="G4179" s="4">
        <f t="shared" si="3"/>
        <v>9533306.87</v>
      </c>
      <c r="H4179" s="4">
        <f t="shared" si="1"/>
        <v>0.9988358494</v>
      </c>
      <c r="I4179" s="4" t="str">
        <f t="shared" si="2"/>
        <v>C</v>
      </c>
    </row>
    <row r="4180">
      <c r="A4180" s="2">
        <v>4179.0</v>
      </c>
      <c r="B4180" s="2" t="s">
        <v>5227</v>
      </c>
      <c r="C4180" s="2" t="s">
        <v>5228</v>
      </c>
      <c r="D4180" s="2">
        <v>0.42</v>
      </c>
      <c r="E4180" s="2">
        <v>154.0</v>
      </c>
      <c r="F4180" s="2">
        <v>41.28</v>
      </c>
      <c r="G4180" s="4">
        <f t="shared" si="3"/>
        <v>9533348.15</v>
      </c>
      <c r="H4180" s="4">
        <f t="shared" si="1"/>
        <v>0.9988401744</v>
      </c>
      <c r="I4180" s="4" t="str">
        <f t="shared" si="2"/>
        <v>C</v>
      </c>
    </row>
    <row r="4181">
      <c r="A4181" s="2">
        <v>4180.0</v>
      </c>
      <c r="B4181" s="2" t="s">
        <v>5229</v>
      </c>
      <c r="C4181" s="2" t="s">
        <v>5230</v>
      </c>
      <c r="D4181" s="2">
        <v>2.95</v>
      </c>
      <c r="E4181" s="2">
        <v>14.0</v>
      </c>
      <c r="F4181" s="2">
        <v>41.26</v>
      </c>
      <c r="G4181" s="4">
        <f t="shared" si="3"/>
        <v>9533389.41</v>
      </c>
      <c r="H4181" s="4">
        <f t="shared" si="1"/>
        <v>0.9988444974</v>
      </c>
      <c r="I4181" s="4" t="str">
        <f t="shared" si="2"/>
        <v>C</v>
      </c>
    </row>
    <row r="4182">
      <c r="A4182" s="2">
        <v>4181.0</v>
      </c>
      <c r="B4182" s="2">
        <v>90069.0</v>
      </c>
      <c r="C4182" s="2" t="s">
        <v>5231</v>
      </c>
      <c r="D4182" s="2">
        <v>7.5</v>
      </c>
      <c r="E4182" s="2">
        <v>6.0</v>
      </c>
      <c r="F4182" s="2">
        <v>41.25</v>
      </c>
      <c r="G4182" s="4">
        <f t="shared" si="3"/>
        <v>9533430.66</v>
      </c>
      <c r="H4182" s="4">
        <f t="shared" si="1"/>
        <v>0.9988488193</v>
      </c>
      <c r="I4182" s="4" t="str">
        <f t="shared" si="2"/>
        <v>C</v>
      </c>
    </row>
    <row r="4183">
      <c r="A4183" s="2">
        <v>4182.0</v>
      </c>
      <c r="B4183" s="2">
        <v>21699.0</v>
      </c>
      <c r="C4183" s="2" t="s">
        <v>5232</v>
      </c>
      <c r="D4183" s="2">
        <v>1.69</v>
      </c>
      <c r="E4183" s="2">
        <v>54.0</v>
      </c>
      <c r="F4183" s="2">
        <v>41.22</v>
      </c>
      <c r="G4183" s="4">
        <f t="shared" si="3"/>
        <v>9533471.88</v>
      </c>
      <c r="H4183" s="4">
        <f t="shared" si="1"/>
        <v>0.998853138</v>
      </c>
      <c r="I4183" s="4" t="str">
        <f t="shared" si="2"/>
        <v>C</v>
      </c>
    </row>
    <row r="4184">
      <c r="A4184" s="2">
        <v>4183.0</v>
      </c>
      <c r="B4184" s="2" t="s">
        <v>5233</v>
      </c>
      <c r="C4184" s="2" t="s">
        <v>5234</v>
      </c>
      <c r="D4184" s="2">
        <v>2.9</v>
      </c>
      <c r="E4184" s="2">
        <v>14.0</v>
      </c>
      <c r="F4184" s="2">
        <v>40.96</v>
      </c>
      <c r="G4184" s="4">
        <f t="shared" si="3"/>
        <v>9533512.84</v>
      </c>
      <c r="H4184" s="4">
        <f t="shared" si="1"/>
        <v>0.9988574295</v>
      </c>
      <c r="I4184" s="4" t="str">
        <f t="shared" si="2"/>
        <v>C</v>
      </c>
    </row>
    <row r="4185">
      <c r="A4185" s="2">
        <v>4184.0</v>
      </c>
      <c r="B4185" s="2" t="s">
        <v>5235</v>
      </c>
      <c r="C4185" s="2" t="s">
        <v>5236</v>
      </c>
      <c r="D4185" s="2">
        <v>1.25</v>
      </c>
      <c r="E4185" s="2">
        <v>47.0</v>
      </c>
      <c r="F4185" s="2">
        <v>40.78</v>
      </c>
      <c r="G4185" s="4">
        <f t="shared" si="3"/>
        <v>9533553.62</v>
      </c>
      <c r="H4185" s="4">
        <f t="shared" si="1"/>
        <v>0.9988617022</v>
      </c>
      <c r="I4185" s="4" t="str">
        <f t="shared" si="2"/>
        <v>C</v>
      </c>
    </row>
    <row r="4186">
      <c r="A4186" s="2">
        <v>4185.0</v>
      </c>
      <c r="B4186" s="2" t="s">
        <v>5237</v>
      </c>
      <c r="C4186" s="2" t="s">
        <v>4028</v>
      </c>
      <c r="D4186" s="2">
        <v>3.43</v>
      </c>
      <c r="E4186" s="2">
        <v>17.0</v>
      </c>
      <c r="F4186" s="2">
        <v>40.55</v>
      </c>
      <c r="G4186" s="4">
        <f t="shared" si="3"/>
        <v>9533594.17</v>
      </c>
      <c r="H4186" s="4">
        <f t="shared" si="1"/>
        <v>0.9988659508</v>
      </c>
      <c r="I4186" s="4" t="str">
        <f t="shared" si="2"/>
        <v>C</v>
      </c>
    </row>
    <row r="4187">
      <c r="A4187" s="2">
        <v>4186.0</v>
      </c>
      <c r="B4187" s="2" t="s">
        <v>5238</v>
      </c>
      <c r="C4187" s="2" t="s">
        <v>5239</v>
      </c>
      <c r="D4187" s="2">
        <v>1.25</v>
      </c>
      <c r="E4187" s="2">
        <v>36.0</v>
      </c>
      <c r="F4187" s="2">
        <v>40.31</v>
      </c>
      <c r="G4187" s="4">
        <f t="shared" si="3"/>
        <v>9533634.48</v>
      </c>
      <c r="H4187" s="4">
        <f t="shared" si="1"/>
        <v>0.9988701742</v>
      </c>
      <c r="I4187" s="4" t="str">
        <f t="shared" si="2"/>
        <v>C</v>
      </c>
    </row>
    <row r="4188">
      <c r="A4188" s="2">
        <v>4187.0</v>
      </c>
      <c r="B4188" s="2" t="s">
        <v>5240</v>
      </c>
      <c r="C4188" s="2" t="s">
        <v>5241</v>
      </c>
      <c r="D4188" s="2">
        <v>0.65</v>
      </c>
      <c r="E4188" s="2">
        <v>62.0</v>
      </c>
      <c r="F4188" s="2">
        <v>40.3</v>
      </c>
      <c r="G4188" s="4">
        <f t="shared" si="3"/>
        <v>9533674.78</v>
      </c>
      <c r="H4188" s="4">
        <f t="shared" si="1"/>
        <v>0.9988743965</v>
      </c>
      <c r="I4188" s="4" t="str">
        <f t="shared" si="2"/>
        <v>C</v>
      </c>
    </row>
    <row r="4189">
      <c r="A4189" s="2">
        <v>4188.0</v>
      </c>
      <c r="B4189" s="2" t="s">
        <v>5242</v>
      </c>
      <c r="C4189" s="2" t="s">
        <v>5243</v>
      </c>
      <c r="D4189" s="2">
        <v>3.75</v>
      </c>
      <c r="E4189" s="2">
        <v>12.0</v>
      </c>
      <c r="F4189" s="2">
        <v>40.0</v>
      </c>
      <c r="G4189" s="4">
        <f t="shared" si="3"/>
        <v>9533714.78</v>
      </c>
      <c r="H4189" s="4">
        <f t="shared" si="1"/>
        <v>0.9988785875</v>
      </c>
      <c r="I4189" s="4" t="str">
        <f t="shared" si="2"/>
        <v>C</v>
      </c>
    </row>
    <row r="4190">
      <c r="A4190" s="2">
        <v>4189.0</v>
      </c>
      <c r="B4190" s="2">
        <v>90049.0</v>
      </c>
      <c r="C4190" s="2" t="s">
        <v>5244</v>
      </c>
      <c r="D4190" s="2">
        <v>9.96</v>
      </c>
      <c r="E4190" s="2">
        <v>6.0</v>
      </c>
      <c r="F4190" s="2">
        <v>39.8</v>
      </c>
      <c r="G4190" s="4">
        <f t="shared" si="3"/>
        <v>9533754.58</v>
      </c>
      <c r="H4190" s="4">
        <f t="shared" si="1"/>
        <v>0.9988827574</v>
      </c>
      <c r="I4190" s="4" t="str">
        <f t="shared" si="2"/>
        <v>C</v>
      </c>
    </row>
    <row r="4191">
      <c r="A4191" s="2">
        <v>4190.0</v>
      </c>
      <c r="B4191" s="2" t="s">
        <v>5245</v>
      </c>
      <c r="C4191" s="2" t="s">
        <v>5246</v>
      </c>
      <c r="D4191" s="2">
        <v>4.96</v>
      </c>
      <c r="E4191" s="2">
        <v>8.0</v>
      </c>
      <c r="F4191" s="2">
        <v>39.8</v>
      </c>
      <c r="G4191" s="4">
        <f t="shared" si="3"/>
        <v>9533794.38</v>
      </c>
      <c r="H4191" s="4">
        <f t="shared" si="1"/>
        <v>0.9988869274</v>
      </c>
      <c r="I4191" s="4" t="str">
        <f t="shared" si="2"/>
        <v>C</v>
      </c>
    </row>
    <row r="4192">
      <c r="A4192" s="2">
        <v>4191.0</v>
      </c>
      <c r="B4192" s="2" t="s">
        <v>5247</v>
      </c>
      <c r="C4192" s="2" t="s">
        <v>5248</v>
      </c>
      <c r="D4192" s="2">
        <v>2.1</v>
      </c>
      <c r="E4192" s="2">
        <v>22.0</v>
      </c>
      <c r="F4192" s="2">
        <v>39.78</v>
      </c>
      <c r="G4192" s="4">
        <f t="shared" si="3"/>
        <v>9533834.16</v>
      </c>
      <c r="H4192" s="4">
        <f t="shared" si="1"/>
        <v>0.9988910953</v>
      </c>
      <c r="I4192" s="4" t="str">
        <f t="shared" si="2"/>
        <v>C</v>
      </c>
    </row>
    <row r="4193">
      <c r="A4193" s="2">
        <v>4192.0</v>
      </c>
      <c r="B4193" s="2" t="s">
        <v>5249</v>
      </c>
      <c r="C4193" s="2" t="s">
        <v>5250</v>
      </c>
      <c r="D4193" s="2">
        <v>7.95</v>
      </c>
      <c r="E4193" s="2">
        <v>5.0</v>
      </c>
      <c r="F4193" s="2">
        <v>39.75</v>
      </c>
      <c r="G4193" s="4">
        <f t="shared" si="3"/>
        <v>9533873.91</v>
      </c>
      <c r="H4193" s="4">
        <f t="shared" si="1"/>
        <v>0.99889526</v>
      </c>
      <c r="I4193" s="4" t="str">
        <f t="shared" si="2"/>
        <v>C</v>
      </c>
    </row>
    <row r="4194">
      <c r="A4194" s="2">
        <v>4193.0</v>
      </c>
      <c r="B4194" s="2">
        <v>84548.0</v>
      </c>
      <c r="C4194" s="2" t="s">
        <v>5251</v>
      </c>
      <c r="D4194" s="2">
        <v>1.65</v>
      </c>
      <c r="E4194" s="2">
        <v>24.0</v>
      </c>
      <c r="F4194" s="2">
        <v>39.6</v>
      </c>
      <c r="G4194" s="4">
        <f t="shared" si="3"/>
        <v>9533913.51</v>
      </c>
      <c r="H4194" s="4">
        <f t="shared" si="1"/>
        <v>0.9988994091</v>
      </c>
      <c r="I4194" s="4" t="str">
        <f t="shared" si="2"/>
        <v>C</v>
      </c>
    </row>
    <row r="4195">
      <c r="A4195" s="2">
        <v>4194.0</v>
      </c>
      <c r="B4195" s="2" t="s">
        <v>5252</v>
      </c>
      <c r="C4195" s="2" t="s">
        <v>5253</v>
      </c>
      <c r="D4195" s="2">
        <v>3.75</v>
      </c>
      <c r="E4195" s="2">
        <v>10.0</v>
      </c>
      <c r="F4195" s="2">
        <v>39.6</v>
      </c>
      <c r="G4195" s="4">
        <f t="shared" si="3"/>
        <v>9533953.11</v>
      </c>
      <c r="H4195" s="4">
        <f t="shared" si="1"/>
        <v>0.9989035581</v>
      </c>
      <c r="I4195" s="4" t="str">
        <f t="shared" si="2"/>
        <v>C</v>
      </c>
    </row>
    <row r="4196">
      <c r="A4196" s="2">
        <v>4195.0</v>
      </c>
      <c r="B4196" s="2" t="s">
        <v>5254</v>
      </c>
      <c r="C4196" s="2" t="s">
        <v>5255</v>
      </c>
      <c r="D4196" s="2">
        <v>4.15</v>
      </c>
      <c r="E4196" s="2">
        <v>10.0</v>
      </c>
      <c r="F4196" s="2">
        <v>39.57</v>
      </c>
      <c r="G4196" s="4">
        <f t="shared" si="3"/>
        <v>9533992.68</v>
      </c>
      <c r="H4196" s="4">
        <f t="shared" si="1"/>
        <v>0.998907704</v>
      </c>
      <c r="I4196" s="4" t="str">
        <f t="shared" si="2"/>
        <v>C</v>
      </c>
    </row>
    <row r="4197">
      <c r="A4197" s="2">
        <v>4196.0</v>
      </c>
      <c r="B4197" s="2" t="s">
        <v>5256</v>
      </c>
      <c r="C4197" s="2" t="s">
        <v>5257</v>
      </c>
      <c r="D4197" s="2">
        <v>3.75</v>
      </c>
      <c r="E4197" s="2">
        <v>10.0</v>
      </c>
      <c r="F4197" s="2">
        <v>39.49</v>
      </c>
      <c r="G4197" s="4">
        <f t="shared" si="3"/>
        <v>9534032.17</v>
      </c>
      <c r="H4197" s="4">
        <f t="shared" si="1"/>
        <v>0.9989118415</v>
      </c>
      <c r="I4197" s="4" t="str">
        <f t="shared" si="2"/>
        <v>C</v>
      </c>
    </row>
    <row r="4198">
      <c r="A4198" s="2">
        <v>4197.0</v>
      </c>
      <c r="B4198" s="2" t="s">
        <v>5258</v>
      </c>
      <c r="C4198" s="2" t="s">
        <v>5259</v>
      </c>
      <c r="D4198" s="2">
        <v>0.42</v>
      </c>
      <c r="E4198" s="2">
        <v>130.0</v>
      </c>
      <c r="F4198" s="2">
        <v>39.48</v>
      </c>
      <c r="G4198" s="4">
        <f t="shared" si="3"/>
        <v>9534071.65</v>
      </c>
      <c r="H4198" s="4">
        <f t="shared" si="1"/>
        <v>0.9989159779</v>
      </c>
      <c r="I4198" s="4" t="str">
        <f t="shared" si="2"/>
        <v>C</v>
      </c>
    </row>
    <row r="4199">
      <c r="A4199" s="2">
        <v>4198.0</v>
      </c>
      <c r="B4199" s="2">
        <v>84455.0</v>
      </c>
      <c r="C4199" s="2" t="s">
        <v>5260</v>
      </c>
      <c r="D4199" s="2">
        <v>0.85</v>
      </c>
      <c r="E4199" s="2">
        <v>43.0</v>
      </c>
      <c r="F4199" s="2">
        <v>39.4</v>
      </c>
      <c r="G4199" s="4">
        <f t="shared" si="3"/>
        <v>9534111.05</v>
      </c>
      <c r="H4199" s="4">
        <f t="shared" si="1"/>
        <v>0.998920106</v>
      </c>
      <c r="I4199" s="4" t="str">
        <f t="shared" si="2"/>
        <v>C</v>
      </c>
    </row>
    <row r="4200">
      <c r="A4200" s="2">
        <v>4199.0</v>
      </c>
      <c r="B4200" s="2" t="s">
        <v>5261</v>
      </c>
      <c r="C4200" s="2" t="s">
        <v>5262</v>
      </c>
      <c r="D4200" s="2">
        <v>1.67</v>
      </c>
      <c r="E4200" s="2">
        <v>24.0</v>
      </c>
      <c r="F4200" s="2">
        <v>39.2</v>
      </c>
      <c r="G4200" s="4">
        <f t="shared" si="3"/>
        <v>9534150.25</v>
      </c>
      <c r="H4200" s="4">
        <f t="shared" si="1"/>
        <v>0.9989242131</v>
      </c>
      <c r="I4200" s="4" t="str">
        <f t="shared" si="2"/>
        <v>C</v>
      </c>
    </row>
    <row r="4201">
      <c r="A4201" s="2">
        <v>4200.0</v>
      </c>
      <c r="B4201" s="2">
        <v>35931.0</v>
      </c>
      <c r="C4201" s="2" t="s">
        <v>5263</v>
      </c>
      <c r="D4201" s="2">
        <v>0.38</v>
      </c>
      <c r="E4201" s="2">
        <v>78.0</v>
      </c>
      <c r="F4201" s="2">
        <v>39.06</v>
      </c>
      <c r="G4201" s="4">
        <f t="shared" si="3"/>
        <v>9534189.31</v>
      </c>
      <c r="H4201" s="4">
        <f t="shared" si="1"/>
        <v>0.9989283055</v>
      </c>
      <c r="I4201" s="4" t="str">
        <f t="shared" si="2"/>
        <v>C</v>
      </c>
    </row>
    <row r="4202">
      <c r="A4202" s="2">
        <v>4201.0</v>
      </c>
      <c r="B4202" s="2" t="s">
        <v>5264</v>
      </c>
      <c r="C4202" s="2" t="s">
        <v>5265</v>
      </c>
      <c r="D4202" s="2">
        <v>0.85</v>
      </c>
      <c r="E4202" s="2">
        <v>42.0</v>
      </c>
      <c r="F4202" s="2">
        <v>38.85</v>
      </c>
      <c r="G4202" s="4">
        <f t="shared" si="3"/>
        <v>9534228.16</v>
      </c>
      <c r="H4202" s="4">
        <f t="shared" si="1"/>
        <v>0.998932376</v>
      </c>
      <c r="I4202" s="4" t="str">
        <f t="shared" si="2"/>
        <v>C</v>
      </c>
    </row>
    <row r="4203">
      <c r="A4203" s="2">
        <v>4202.0</v>
      </c>
      <c r="B4203" s="2" t="s">
        <v>5266</v>
      </c>
      <c r="C4203" s="2" t="s">
        <v>5267</v>
      </c>
      <c r="D4203" s="2">
        <v>0.85</v>
      </c>
      <c r="E4203" s="2">
        <v>40.0</v>
      </c>
      <c r="F4203" s="2">
        <v>38.82</v>
      </c>
      <c r="G4203" s="4">
        <f t="shared" si="3"/>
        <v>9534266.98</v>
      </c>
      <c r="H4203" s="4">
        <f t="shared" si="1"/>
        <v>0.9989364433</v>
      </c>
      <c r="I4203" s="4" t="str">
        <f t="shared" si="2"/>
        <v>C</v>
      </c>
    </row>
    <row r="4204">
      <c r="A4204" s="2">
        <v>4203.0</v>
      </c>
      <c r="B4204" s="2">
        <v>21595.0</v>
      </c>
      <c r="C4204" s="2" t="s">
        <v>5268</v>
      </c>
      <c r="D4204" s="2">
        <v>8.47</v>
      </c>
      <c r="E4204" s="2">
        <v>4.0</v>
      </c>
      <c r="F4204" s="2">
        <v>38.48</v>
      </c>
      <c r="G4204" s="4">
        <f t="shared" si="3"/>
        <v>9534305.46</v>
      </c>
      <c r="H4204" s="4">
        <f t="shared" si="1"/>
        <v>0.9989404749</v>
      </c>
      <c r="I4204" s="4" t="str">
        <f t="shared" si="2"/>
        <v>C</v>
      </c>
    </row>
    <row r="4205">
      <c r="A4205" s="2">
        <v>4204.0</v>
      </c>
      <c r="B4205" s="2">
        <v>84593.0</v>
      </c>
      <c r="C4205" s="2" t="s">
        <v>5269</v>
      </c>
      <c r="D4205" s="2">
        <v>2.95</v>
      </c>
      <c r="E4205" s="2">
        <v>13.0</v>
      </c>
      <c r="F4205" s="2">
        <v>38.35</v>
      </c>
      <c r="G4205" s="4">
        <f t="shared" si="3"/>
        <v>9534343.81</v>
      </c>
      <c r="H4205" s="4">
        <f t="shared" si="1"/>
        <v>0.998944493</v>
      </c>
      <c r="I4205" s="4" t="str">
        <f t="shared" si="2"/>
        <v>C</v>
      </c>
    </row>
    <row r="4206">
      <c r="A4206" s="2">
        <v>4205.0</v>
      </c>
      <c r="B4206" s="2" t="s">
        <v>5270</v>
      </c>
      <c r="C4206" s="2" t="s">
        <v>5271</v>
      </c>
      <c r="D4206" s="2">
        <v>4.25</v>
      </c>
      <c r="E4206" s="2">
        <v>9.0</v>
      </c>
      <c r="F4206" s="2">
        <v>38.3</v>
      </c>
      <c r="G4206" s="4">
        <f t="shared" si="3"/>
        <v>9534382.11</v>
      </c>
      <c r="H4206" s="4">
        <f t="shared" si="1"/>
        <v>0.9989485058</v>
      </c>
      <c r="I4206" s="4" t="str">
        <f t="shared" si="2"/>
        <v>C</v>
      </c>
    </row>
    <row r="4207">
      <c r="A4207" s="2">
        <v>4206.0</v>
      </c>
      <c r="B4207" s="2">
        <v>90100.0</v>
      </c>
      <c r="C4207" s="2" t="s">
        <v>5272</v>
      </c>
      <c r="D4207" s="2">
        <v>2.55</v>
      </c>
      <c r="E4207" s="2">
        <v>15.0</v>
      </c>
      <c r="F4207" s="2">
        <v>38.25</v>
      </c>
      <c r="G4207" s="4">
        <f t="shared" si="3"/>
        <v>9534420.36</v>
      </c>
      <c r="H4207" s="4">
        <f t="shared" si="1"/>
        <v>0.9989525134</v>
      </c>
      <c r="I4207" s="4" t="str">
        <f t="shared" si="2"/>
        <v>C</v>
      </c>
    </row>
    <row r="4208">
      <c r="A4208" s="2">
        <v>4207.0</v>
      </c>
      <c r="B4208" s="2">
        <v>90020.0</v>
      </c>
      <c r="C4208" s="2" t="s">
        <v>5273</v>
      </c>
      <c r="D4208" s="2">
        <v>12.75</v>
      </c>
      <c r="E4208" s="2">
        <v>3.0</v>
      </c>
      <c r="F4208" s="2">
        <v>38.12</v>
      </c>
      <c r="G4208" s="4">
        <f t="shared" si="3"/>
        <v>9534458.48</v>
      </c>
      <c r="H4208" s="4">
        <f t="shared" si="1"/>
        <v>0.9989565074</v>
      </c>
      <c r="I4208" s="4" t="str">
        <f t="shared" si="2"/>
        <v>C</v>
      </c>
    </row>
    <row r="4209">
      <c r="A4209" s="2">
        <v>4208.0</v>
      </c>
      <c r="B4209" s="2" t="s">
        <v>5274</v>
      </c>
      <c r="C4209" s="2" t="s">
        <v>5275</v>
      </c>
      <c r="D4209" s="2">
        <v>7.5</v>
      </c>
      <c r="E4209" s="2">
        <v>5.0</v>
      </c>
      <c r="F4209" s="2">
        <v>37.94</v>
      </c>
      <c r="G4209" s="4">
        <f t="shared" si="3"/>
        <v>9534496.42</v>
      </c>
      <c r="H4209" s="4">
        <f t="shared" si="1"/>
        <v>0.9989604825</v>
      </c>
      <c r="I4209" s="4" t="str">
        <f t="shared" si="2"/>
        <v>C</v>
      </c>
    </row>
    <row r="4210">
      <c r="A4210" s="2">
        <v>4209.0</v>
      </c>
      <c r="B4210" s="2" t="s">
        <v>5276</v>
      </c>
      <c r="C4210" s="2" t="s">
        <v>5277</v>
      </c>
      <c r="D4210" s="2">
        <v>0.38</v>
      </c>
      <c r="E4210" s="2">
        <v>84.0</v>
      </c>
      <c r="F4210" s="2">
        <v>37.94</v>
      </c>
      <c r="G4210" s="4">
        <f t="shared" si="3"/>
        <v>9534534.36</v>
      </c>
      <c r="H4210" s="4">
        <f t="shared" si="1"/>
        <v>0.9989644576</v>
      </c>
      <c r="I4210" s="4" t="str">
        <f t="shared" si="2"/>
        <v>C</v>
      </c>
    </row>
    <row r="4211">
      <c r="A4211" s="2">
        <v>4210.0</v>
      </c>
      <c r="B4211" s="2">
        <v>84746.0</v>
      </c>
      <c r="C4211" s="2" t="s">
        <v>5278</v>
      </c>
      <c r="D4211" s="2">
        <v>3.75</v>
      </c>
      <c r="E4211" s="2">
        <v>12.0</v>
      </c>
      <c r="F4211" s="2">
        <v>37.9</v>
      </c>
      <c r="G4211" s="4">
        <f t="shared" si="3"/>
        <v>9534572.26</v>
      </c>
      <c r="H4211" s="4">
        <f t="shared" si="1"/>
        <v>0.9989684285</v>
      </c>
      <c r="I4211" s="4" t="str">
        <f t="shared" si="2"/>
        <v>C</v>
      </c>
    </row>
    <row r="4212">
      <c r="A4212" s="2">
        <v>4211.0</v>
      </c>
      <c r="B4212" s="2">
        <v>20879.0</v>
      </c>
      <c r="C4212" s="2" t="s">
        <v>5279</v>
      </c>
      <c r="D4212" s="2">
        <v>0.65</v>
      </c>
      <c r="E4212" s="2">
        <v>34.0</v>
      </c>
      <c r="F4212" s="2">
        <v>37.8</v>
      </c>
      <c r="G4212" s="4">
        <f t="shared" si="3"/>
        <v>9534610.06</v>
      </c>
      <c r="H4212" s="4">
        <f t="shared" si="1"/>
        <v>0.9989723889</v>
      </c>
      <c r="I4212" s="4" t="str">
        <f t="shared" si="2"/>
        <v>C</v>
      </c>
    </row>
    <row r="4213">
      <c r="A4213" s="2">
        <v>4212.0</v>
      </c>
      <c r="B4213" s="2" t="s">
        <v>5280</v>
      </c>
      <c r="C4213" s="2" t="s">
        <v>5281</v>
      </c>
      <c r="D4213" s="2">
        <v>1.24</v>
      </c>
      <c r="E4213" s="2">
        <v>27.0</v>
      </c>
      <c r="F4213" s="2">
        <v>37.58</v>
      </c>
      <c r="G4213" s="4">
        <f t="shared" si="3"/>
        <v>9534647.64</v>
      </c>
      <c r="H4213" s="4">
        <f t="shared" si="1"/>
        <v>0.9989763263</v>
      </c>
      <c r="I4213" s="4" t="str">
        <f t="shared" si="2"/>
        <v>C</v>
      </c>
    </row>
    <row r="4214">
      <c r="A4214" s="2">
        <v>4213.0</v>
      </c>
      <c r="B4214" s="2" t="s">
        <v>5282</v>
      </c>
      <c r="C4214" s="2" t="s">
        <v>5283</v>
      </c>
      <c r="D4214" s="2">
        <v>0.1</v>
      </c>
      <c r="E4214" s="2">
        <v>375.0</v>
      </c>
      <c r="F4214" s="2">
        <v>37.5</v>
      </c>
      <c r="G4214" s="4">
        <f t="shared" si="3"/>
        <v>9534685.14</v>
      </c>
      <c r="H4214" s="4">
        <f t="shared" si="1"/>
        <v>0.9989802553</v>
      </c>
      <c r="I4214" s="4" t="str">
        <f t="shared" si="2"/>
        <v>C</v>
      </c>
    </row>
    <row r="4215">
      <c r="A4215" s="2">
        <v>4214.0</v>
      </c>
      <c r="B4215" s="2" t="s">
        <v>5284</v>
      </c>
      <c r="C4215" s="2" t="s">
        <v>5285</v>
      </c>
      <c r="D4215" s="2">
        <v>3.75</v>
      </c>
      <c r="E4215" s="2">
        <v>10.0</v>
      </c>
      <c r="F4215" s="2">
        <v>37.5</v>
      </c>
      <c r="G4215" s="4">
        <f t="shared" si="3"/>
        <v>9534722.64</v>
      </c>
      <c r="H4215" s="4">
        <f t="shared" si="1"/>
        <v>0.9989841843</v>
      </c>
      <c r="I4215" s="4" t="str">
        <f t="shared" si="2"/>
        <v>C</v>
      </c>
    </row>
    <row r="4216">
      <c r="A4216" s="2">
        <v>4215.0</v>
      </c>
      <c r="B4216" s="2">
        <v>37399.0</v>
      </c>
      <c r="C4216" s="2" t="s">
        <v>5286</v>
      </c>
      <c r="D4216" s="2">
        <v>1.25</v>
      </c>
      <c r="E4216" s="2">
        <v>72.0</v>
      </c>
      <c r="F4216" s="2">
        <v>37.5</v>
      </c>
      <c r="G4216" s="4">
        <f t="shared" si="3"/>
        <v>9534760.14</v>
      </c>
      <c r="H4216" s="4">
        <f t="shared" si="1"/>
        <v>0.9989881133</v>
      </c>
      <c r="I4216" s="4" t="str">
        <f t="shared" si="2"/>
        <v>C</v>
      </c>
    </row>
    <row r="4217">
      <c r="A4217" s="2">
        <v>4216.0</v>
      </c>
      <c r="B4217" s="2" t="s">
        <v>5287</v>
      </c>
      <c r="C4217" s="2" t="s">
        <v>1283</v>
      </c>
      <c r="D4217" s="2">
        <v>8.38</v>
      </c>
      <c r="E4217" s="2">
        <v>4.0</v>
      </c>
      <c r="F4217" s="2">
        <v>37.48</v>
      </c>
      <c r="G4217" s="4">
        <f t="shared" si="3"/>
        <v>9534797.62</v>
      </c>
      <c r="H4217" s="4">
        <f t="shared" si="1"/>
        <v>0.9989920402</v>
      </c>
      <c r="I4217" s="4" t="str">
        <f t="shared" si="2"/>
        <v>C</v>
      </c>
    </row>
    <row r="4218">
      <c r="A4218" s="2">
        <v>4217.0</v>
      </c>
      <c r="B4218" s="2" t="s">
        <v>5288</v>
      </c>
      <c r="C4218" s="2" t="s">
        <v>1185</v>
      </c>
      <c r="D4218" s="2">
        <v>8.29</v>
      </c>
      <c r="E4218" s="2">
        <v>4.0</v>
      </c>
      <c r="F4218" s="2">
        <v>37.39</v>
      </c>
      <c r="G4218" s="4">
        <f t="shared" si="3"/>
        <v>9534835.01</v>
      </c>
      <c r="H4218" s="4">
        <f t="shared" si="1"/>
        <v>0.9989959576</v>
      </c>
      <c r="I4218" s="4" t="str">
        <f t="shared" si="2"/>
        <v>C</v>
      </c>
    </row>
    <row r="4219">
      <c r="A4219" s="2">
        <v>4218.0</v>
      </c>
      <c r="B4219" s="2">
        <v>84757.0</v>
      </c>
      <c r="C4219" s="2" t="s">
        <v>5289</v>
      </c>
      <c r="D4219" s="2">
        <v>14.95</v>
      </c>
      <c r="E4219" s="2">
        <v>2.0</v>
      </c>
      <c r="F4219" s="2">
        <v>37.38</v>
      </c>
      <c r="G4219" s="4">
        <f t="shared" si="3"/>
        <v>9534872.39</v>
      </c>
      <c r="H4219" s="4">
        <f t="shared" si="1"/>
        <v>0.9989998741</v>
      </c>
      <c r="I4219" s="4" t="str">
        <f t="shared" si="2"/>
        <v>C</v>
      </c>
    </row>
    <row r="4220">
      <c r="A4220" s="2">
        <v>4219.0</v>
      </c>
      <c r="B4220" s="2">
        <v>21267.0</v>
      </c>
      <c r="C4220" s="2" t="s">
        <v>5290</v>
      </c>
      <c r="D4220" s="2">
        <v>4.3</v>
      </c>
      <c r="E4220" s="2">
        <v>12.0</v>
      </c>
      <c r="F4220" s="2">
        <v>37.3</v>
      </c>
      <c r="G4220" s="4">
        <f t="shared" si="3"/>
        <v>9534909.69</v>
      </c>
      <c r="H4220" s="4">
        <f t="shared" si="1"/>
        <v>0.9990037821</v>
      </c>
      <c r="I4220" s="4" t="str">
        <f t="shared" si="2"/>
        <v>C</v>
      </c>
    </row>
    <row r="4221">
      <c r="A4221" s="2">
        <v>4220.0</v>
      </c>
      <c r="B4221" s="2" t="s">
        <v>5291</v>
      </c>
      <c r="C4221" s="2" t="s">
        <v>5292</v>
      </c>
      <c r="D4221" s="2">
        <v>9.98</v>
      </c>
      <c r="E4221" s="2">
        <v>6.0</v>
      </c>
      <c r="F4221" s="2">
        <v>37.19</v>
      </c>
      <c r="G4221" s="4">
        <f t="shared" si="3"/>
        <v>9534946.88</v>
      </c>
      <c r="H4221" s="4">
        <f t="shared" si="1"/>
        <v>0.9990076786</v>
      </c>
      <c r="I4221" s="4" t="str">
        <f t="shared" si="2"/>
        <v>C</v>
      </c>
    </row>
    <row r="4222">
      <c r="A4222" s="2">
        <v>4221.0</v>
      </c>
      <c r="B4222" s="2" t="s">
        <v>5293</v>
      </c>
      <c r="C4222" s="2" t="s">
        <v>5294</v>
      </c>
      <c r="D4222" s="2">
        <v>1.25</v>
      </c>
      <c r="E4222" s="2">
        <v>26.0</v>
      </c>
      <c r="F4222" s="2">
        <v>36.97</v>
      </c>
      <c r="G4222" s="4">
        <f t="shared" si="3"/>
        <v>9534983.85</v>
      </c>
      <c r="H4222" s="4">
        <f t="shared" si="1"/>
        <v>0.9990115521</v>
      </c>
      <c r="I4222" s="4" t="str">
        <f t="shared" si="2"/>
        <v>C</v>
      </c>
    </row>
    <row r="4223">
      <c r="A4223" s="2">
        <v>4222.0</v>
      </c>
      <c r="B4223" s="2">
        <v>37509.0</v>
      </c>
      <c r="C4223" s="2" t="s">
        <v>5295</v>
      </c>
      <c r="D4223" s="2">
        <v>2.55</v>
      </c>
      <c r="E4223" s="2">
        <v>14.0</v>
      </c>
      <c r="F4223" s="2">
        <v>36.97</v>
      </c>
      <c r="G4223" s="4">
        <f t="shared" si="3"/>
        <v>9535020.82</v>
      </c>
      <c r="H4223" s="4">
        <f t="shared" si="1"/>
        <v>0.9990154256</v>
      </c>
      <c r="I4223" s="4" t="str">
        <f t="shared" si="2"/>
        <v>C</v>
      </c>
    </row>
    <row r="4224">
      <c r="A4224" s="2">
        <v>4223.0</v>
      </c>
      <c r="B4224" s="2" t="s">
        <v>5296</v>
      </c>
      <c r="C4224" s="2" t="s">
        <v>5297</v>
      </c>
      <c r="D4224" s="2">
        <v>2.96</v>
      </c>
      <c r="E4224" s="2">
        <v>12.0</v>
      </c>
      <c r="F4224" s="2">
        <v>36.88</v>
      </c>
      <c r="G4224" s="4">
        <f t="shared" si="3"/>
        <v>9535057.7</v>
      </c>
      <c r="H4224" s="4">
        <f t="shared" si="1"/>
        <v>0.9990192896</v>
      </c>
      <c r="I4224" s="4" t="str">
        <f t="shared" si="2"/>
        <v>C</v>
      </c>
    </row>
    <row r="4225">
      <c r="A4225" s="2">
        <v>4224.0</v>
      </c>
      <c r="B4225" s="2">
        <v>15030.0</v>
      </c>
      <c r="C4225" s="2" t="s">
        <v>5298</v>
      </c>
      <c r="D4225" s="2">
        <v>0.29</v>
      </c>
      <c r="E4225" s="2">
        <v>127.0</v>
      </c>
      <c r="F4225" s="2">
        <v>36.83</v>
      </c>
      <c r="G4225" s="4">
        <f t="shared" si="3"/>
        <v>9535094.53</v>
      </c>
      <c r="H4225" s="4">
        <f t="shared" si="1"/>
        <v>0.9990231484</v>
      </c>
      <c r="I4225" s="4" t="str">
        <f t="shared" si="2"/>
        <v>C</v>
      </c>
    </row>
    <row r="4226">
      <c r="A4226" s="2">
        <v>4225.0</v>
      </c>
      <c r="B4226" s="2" t="s">
        <v>5299</v>
      </c>
      <c r="C4226" s="2" t="s">
        <v>5300</v>
      </c>
      <c r="D4226" s="2">
        <v>2.96</v>
      </c>
      <c r="E4226" s="2">
        <v>12.0</v>
      </c>
      <c r="F4226" s="2">
        <v>36.81</v>
      </c>
      <c r="G4226" s="4">
        <f t="shared" si="3"/>
        <v>9535131.34</v>
      </c>
      <c r="H4226" s="4">
        <f t="shared" si="1"/>
        <v>0.9990270051</v>
      </c>
      <c r="I4226" s="4" t="str">
        <f t="shared" si="2"/>
        <v>C</v>
      </c>
    </row>
    <row r="4227">
      <c r="A4227" s="2">
        <v>4226.0</v>
      </c>
      <c r="B4227" s="2">
        <v>79331.0</v>
      </c>
      <c r="C4227" s="2" t="s">
        <v>5301</v>
      </c>
      <c r="D4227" s="2">
        <v>1.65</v>
      </c>
      <c r="E4227" s="2">
        <v>30.0</v>
      </c>
      <c r="F4227" s="2">
        <v>36.8</v>
      </c>
      <c r="G4227" s="4">
        <f t="shared" si="3"/>
        <v>9535168.14</v>
      </c>
      <c r="H4227" s="4">
        <f t="shared" si="1"/>
        <v>0.9990308608</v>
      </c>
      <c r="I4227" s="4" t="str">
        <f t="shared" si="2"/>
        <v>C</v>
      </c>
    </row>
    <row r="4228">
      <c r="A4228" s="2">
        <v>4227.0</v>
      </c>
      <c r="B4228" s="2">
        <v>84447.0</v>
      </c>
      <c r="C4228" s="2" t="s">
        <v>5302</v>
      </c>
      <c r="D4228" s="2">
        <v>1.66</v>
      </c>
      <c r="E4228" s="2">
        <v>35.0</v>
      </c>
      <c r="F4228" s="2">
        <v>36.64</v>
      </c>
      <c r="G4228" s="4">
        <f t="shared" si="3"/>
        <v>9535204.78</v>
      </c>
      <c r="H4228" s="4">
        <f t="shared" si="1"/>
        <v>0.9990346997</v>
      </c>
      <c r="I4228" s="4" t="str">
        <f t="shared" si="2"/>
        <v>C</v>
      </c>
    </row>
    <row r="4229">
      <c r="A4229" s="2">
        <v>4228.0</v>
      </c>
      <c r="B4229" s="2" t="s">
        <v>5303</v>
      </c>
      <c r="C4229" s="2" t="s">
        <v>5304</v>
      </c>
      <c r="D4229" s="2">
        <v>2.92</v>
      </c>
      <c r="E4229" s="2">
        <v>12.0</v>
      </c>
      <c r="F4229" s="2">
        <v>36.6</v>
      </c>
      <c r="G4229" s="4">
        <f t="shared" si="3"/>
        <v>9535241.38</v>
      </c>
      <c r="H4229" s="4">
        <f t="shared" si="1"/>
        <v>0.9990385344</v>
      </c>
      <c r="I4229" s="4" t="str">
        <f t="shared" si="2"/>
        <v>C</v>
      </c>
    </row>
    <row r="4230">
      <c r="A4230" s="2">
        <v>4229.0</v>
      </c>
      <c r="B4230" s="2">
        <v>21950.0</v>
      </c>
      <c r="C4230" s="2" t="s">
        <v>5305</v>
      </c>
      <c r="D4230" s="2">
        <v>2.57</v>
      </c>
      <c r="E4230" s="2">
        <v>16.0</v>
      </c>
      <c r="F4230" s="2">
        <v>36.42</v>
      </c>
      <c r="G4230" s="4">
        <f t="shared" si="3"/>
        <v>9535277.8</v>
      </c>
      <c r="H4230" s="4">
        <f t="shared" si="1"/>
        <v>0.9990423502</v>
      </c>
      <c r="I4230" s="4" t="str">
        <f t="shared" si="2"/>
        <v>C</v>
      </c>
    </row>
    <row r="4231">
      <c r="A4231" s="2">
        <v>4230.0</v>
      </c>
      <c r="B4231" s="2" t="s">
        <v>5306</v>
      </c>
      <c r="C4231" s="2" t="s">
        <v>5307</v>
      </c>
      <c r="D4231" s="2">
        <v>1.25</v>
      </c>
      <c r="E4231" s="2">
        <v>26.0</v>
      </c>
      <c r="F4231" s="2">
        <v>36.25</v>
      </c>
      <c r="G4231" s="4">
        <f t="shared" si="3"/>
        <v>9535314.05</v>
      </c>
      <c r="H4231" s="4">
        <f t="shared" si="1"/>
        <v>0.9990461482</v>
      </c>
      <c r="I4231" s="4" t="str">
        <f t="shared" si="2"/>
        <v>C</v>
      </c>
    </row>
    <row r="4232">
      <c r="A4232" s="2">
        <v>4231.0</v>
      </c>
      <c r="B4232" s="2" t="s">
        <v>5308</v>
      </c>
      <c r="C4232" s="2" t="s">
        <v>5309</v>
      </c>
      <c r="D4232" s="2">
        <v>0.85</v>
      </c>
      <c r="E4232" s="2">
        <v>38.0</v>
      </c>
      <c r="F4232" s="2">
        <v>36.16</v>
      </c>
      <c r="G4232" s="4">
        <f t="shared" si="3"/>
        <v>9535350.21</v>
      </c>
      <c r="H4232" s="4">
        <f t="shared" si="1"/>
        <v>0.9990499368</v>
      </c>
      <c r="I4232" s="4" t="str">
        <f t="shared" si="2"/>
        <v>C</v>
      </c>
    </row>
    <row r="4233">
      <c r="A4233" s="2">
        <v>4232.0</v>
      </c>
      <c r="B4233" s="2" t="s">
        <v>5310</v>
      </c>
      <c r="C4233" s="2" t="s">
        <v>5311</v>
      </c>
      <c r="D4233" s="2">
        <v>4.25</v>
      </c>
      <c r="E4233" s="2">
        <v>8.0</v>
      </c>
      <c r="F4233" s="2">
        <v>36.12</v>
      </c>
      <c r="G4233" s="4">
        <f t="shared" si="3"/>
        <v>9535386.33</v>
      </c>
      <c r="H4233" s="4">
        <f t="shared" si="1"/>
        <v>0.9990537212</v>
      </c>
      <c r="I4233" s="4" t="str">
        <f t="shared" si="2"/>
        <v>C</v>
      </c>
    </row>
    <row r="4234">
      <c r="A4234" s="2">
        <v>4233.0</v>
      </c>
      <c r="B4234" s="2" t="s">
        <v>5312</v>
      </c>
      <c r="C4234" s="2" t="s">
        <v>5313</v>
      </c>
      <c r="D4234" s="2">
        <v>3.32</v>
      </c>
      <c r="E4234" s="2">
        <v>12.0</v>
      </c>
      <c r="F4234" s="2">
        <v>36.09</v>
      </c>
      <c r="G4234" s="4">
        <f t="shared" si="3"/>
        <v>9535422.42</v>
      </c>
      <c r="H4234" s="4">
        <f t="shared" si="1"/>
        <v>0.9990575025</v>
      </c>
      <c r="I4234" s="4" t="str">
        <f t="shared" si="2"/>
        <v>C</v>
      </c>
    </row>
    <row r="4235">
      <c r="A4235" s="2">
        <v>4234.0</v>
      </c>
      <c r="B4235" s="2">
        <v>90031.0</v>
      </c>
      <c r="C4235" s="2" t="s">
        <v>5314</v>
      </c>
      <c r="D4235" s="2">
        <v>1.0</v>
      </c>
      <c r="E4235" s="2">
        <v>26.0</v>
      </c>
      <c r="F4235" s="2">
        <v>35.95</v>
      </c>
      <c r="G4235" s="4">
        <f t="shared" si="3"/>
        <v>9535458.37</v>
      </c>
      <c r="H4235" s="4">
        <f t="shared" si="1"/>
        <v>0.9990612691</v>
      </c>
      <c r="I4235" s="4" t="str">
        <f t="shared" si="2"/>
        <v>C</v>
      </c>
    </row>
    <row r="4236">
      <c r="A4236" s="2">
        <v>4235.0</v>
      </c>
      <c r="B4236" s="2" t="s">
        <v>5315</v>
      </c>
      <c r="C4236" s="2" t="s">
        <v>5316</v>
      </c>
      <c r="D4236" s="2">
        <v>3.75</v>
      </c>
      <c r="E4236" s="2">
        <v>10.0</v>
      </c>
      <c r="F4236" s="2">
        <v>35.73</v>
      </c>
      <c r="G4236" s="4">
        <f t="shared" si="3"/>
        <v>9535494.1</v>
      </c>
      <c r="H4236" s="4">
        <f t="shared" si="1"/>
        <v>0.9990650127</v>
      </c>
      <c r="I4236" s="4" t="str">
        <f t="shared" si="2"/>
        <v>C</v>
      </c>
    </row>
    <row r="4237">
      <c r="A4237" s="2">
        <v>4236.0</v>
      </c>
      <c r="B4237" s="2">
        <v>35937.0</v>
      </c>
      <c r="C4237" s="2" t="s">
        <v>5317</v>
      </c>
      <c r="D4237" s="2">
        <v>0.38</v>
      </c>
      <c r="E4237" s="2">
        <v>94.0</v>
      </c>
      <c r="F4237" s="2">
        <v>35.72</v>
      </c>
      <c r="G4237" s="4">
        <f t="shared" si="3"/>
        <v>9535529.82</v>
      </c>
      <c r="H4237" s="4">
        <f t="shared" si="1"/>
        <v>0.9990687552</v>
      </c>
      <c r="I4237" s="4" t="str">
        <f t="shared" si="2"/>
        <v>C</v>
      </c>
    </row>
    <row r="4238">
      <c r="A4238" s="2">
        <v>4237.0</v>
      </c>
      <c r="B4238" s="2" t="s">
        <v>5318</v>
      </c>
      <c r="C4238" s="2" t="s">
        <v>5319</v>
      </c>
      <c r="D4238" s="2">
        <v>5.95</v>
      </c>
      <c r="E4238" s="2">
        <v>6.0</v>
      </c>
      <c r="F4238" s="2">
        <v>35.7</v>
      </c>
      <c r="G4238" s="4">
        <f t="shared" si="3"/>
        <v>9535565.52</v>
      </c>
      <c r="H4238" s="4">
        <f t="shared" si="1"/>
        <v>0.9990724956</v>
      </c>
      <c r="I4238" s="4" t="str">
        <f t="shared" si="2"/>
        <v>C</v>
      </c>
    </row>
    <row r="4239">
      <c r="A4239" s="2">
        <v>4238.0</v>
      </c>
      <c r="B4239" s="2" t="s">
        <v>5320</v>
      </c>
      <c r="C4239" s="2" t="s">
        <v>5321</v>
      </c>
      <c r="D4239" s="2">
        <v>2.55</v>
      </c>
      <c r="E4239" s="2">
        <v>14.0</v>
      </c>
      <c r="F4239" s="2">
        <v>35.7</v>
      </c>
      <c r="G4239" s="4">
        <f t="shared" si="3"/>
        <v>9535601.22</v>
      </c>
      <c r="H4239" s="4">
        <f t="shared" si="1"/>
        <v>0.999076236</v>
      </c>
      <c r="I4239" s="4" t="str">
        <f t="shared" si="2"/>
        <v>C</v>
      </c>
    </row>
    <row r="4240">
      <c r="A4240" s="2">
        <v>4239.0</v>
      </c>
      <c r="B4240" s="2" t="s">
        <v>5322</v>
      </c>
      <c r="C4240" s="2" t="s">
        <v>5323</v>
      </c>
      <c r="D4240" s="2">
        <v>2.1</v>
      </c>
      <c r="E4240" s="2">
        <v>17.0</v>
      </c>
      <c r="F4240" s="2">
        <v>35.7</v>
      </c>
      <c r="G4240" s="4">
        <f t="shared" si="3"/>
        <v>9535636.92</v>
      </c>
      <c r="H4240" s="4">
        <f t="shared" si="1"/>
        <v>0.9990799764</v>
      </c>
      <c r="I4240" s="4" t="str">
        <f t="shared" si="2"/>
        <v>C</v>
      </c>
    </row>
    <row r="4241">
      <c r="A4241" s="2">
        <v>4240.0</v>
      </c>
      <c r="B4241" s="2" t="s">
        <v>5324</v>
      </c>
      <c r="C4241" s="2" t="s">
        <v>5325</v>
      </c>
      <c r="D4241" s="2">
        <v>3.75</v>
      </c>
      <c r="E4241" s="2">
        <v>14.0</v>
      </c>
      <c r="F4241" s="2">
        <v>35.62</v>
      </c>
      <c r="G4241" s="4">
        <f t="shared" si="3"/>
        <v>9535672.54</v>
      </c>
      <c r="H4241" s="4">
        <f t="shared" si="1"/>
        <v>0.9990837084</v>
      </c>
      <c r="I4241" s="4" t="str">
        <f t="shared" si="2"/>
        <v>C</v>
      </c>
    </row>
    <row r="4242">
      <c r="A4242" s="2">
        <v>4241.0</v>
      </c>
      <c r="B4242" s="2" t="s">
        <v>5326</v>
      </c>
      <c r="C4242" s="2" t="s">
        <v>5327</v>
      </c>
      <c r="D4242" s="2">
        <v>2.54</v>
      </c>
      <c r="E4242" s="2">
        <v>14.0</v>
      </c>
      <c r="F4242" s="2">
        <v>35.58</v>
      </c>
      <c r="G4242" s="4">
        <f t="shared" si="3"/>
        <v>9535708.12</v>
      </c>
      <c r="H4242" s="4">
        <f t="shared" si="1"/>
        <v>0.9990874362</v>
      </c>
      <c r="I4242" s="4" t="str">
        <f t="shared" si="2"/>
        <v>C</v>
      </c>
    </row>
    <row r="4243">
      <c r="A4243" s="2">
        <v>4242.0</v>
      </c>
      <c r="B4243" s="2" t="s">
        <v>5328</v>
      </c>
      <c r="C4243" s="2" t="s">
        <v>5329</v>
      </c>
      <c r="D4243" s="2">
        <v>5.95</v>
      </c>
      <c r="E4243" s="2">
        <v>6.0</v>
      </c>
      <c r="F4243" s="2">
        <v>35.5</v>
      </c>
      <c r="G4243" s="4">
        <f t="shared" si="3"/>
        <v>9535743.62</v>
      </c>
      <c r="H4243" s="4">
        <f t="shared" si="1"/>
        <v>0.9990911557</v>
      </c>
      <c r="I4243" s="4" t="str">
        <f t="shared" si="2"/>
        <v>C</v>
      </c>
    </row>
    <row r="4244">
      <c r="A4244" s="2">
        <v>4243.0</v>
      </c>
      <c r="B4244" s="2" t="s">
        <v>5330</v>
      </c>
      <c r="C4244" s="2" t="s">
        <v>5331</v>
      </c>
      <c r="D4244" s="2">
        <v>1.69</v>
      </c>
      <c r="E4244" s="2">
        <v>21.0</v>
      </c>
      <c r="F4244" s="2">
        <v>35.49</v>
      </c>
      <c r="G4244" s="4">
        <f t="shared" si="3"/>
        <v>9535779.11</v>
      </c>
      <c r="H4244" s="4">
        <f t="shared" si="1"/>
        <v>0.9990948741</v>
      </c>
      <c r="I4244" s="4" t="str">
        <f t="shared" si="2"/>
        <v>C</v>
      </c>
    </row>
    <row r="4245">
      <c r="A4245" s="2">
        <v>4244.0</v>
      </c>
      <c r="B4245" s="2" t="s">
        <v>5332</v>
      </c>
      <c r="C4245" s="2" t="s">
        <v>5333</v>
      </c>
      <c r="D4245" s="2">
        <v>2.95</v>
      </c>
      <c r="E4245" s="2">
        <v>12.0</v>
      </c>
      <c r="F4245" s="2">
        <v>35.4</v>
      </c>
      <c r="G4245" s="4">
        <f t="shared" si="3"/>
        <v>9535814.51</v>
      </c>
      <c r="H4245" s="4">
        <f t="shared" si="1"/>
        <v>0.9990985831</v>
      </c>
      <c r="I4245" s="4" t="str">
        <f t="shared" si="2"/>
        <v>C</v>
      </c>
    </row>
    <row r="4246">
      <c r="A4246" s="2">
        <v>4245.0</v>
      </c>
      <c r="B4246" s="2" t="s">
        <v>5334</v>
      </c>
      <c r="C4246" s="2" t="s">
        <v>5335</v>
      </c>
      <c r="D4246" s="2">
        <v>3.35</v>
      </c>
      <c r="E4246" s="2">
        <v>10.0</v>
      </c>
      <c r="F4246" s="2">
        <v>35.3</v>
      </c>
      <c r="G4246" s="4">
        <f t="shared" si="3"/>
        <v>9535849.81</v>
      </c>
      <c r="H4246" s="4">
        <f t="shared" si="1"/>
        <v>0.9991022816</v>
      </c>
      <c r="I4246" s="4" t="str">
        <f t="shared" si="2"/>
        <v>C</v>
      </c>
    </row>
    <row r="4247">
      <c r="A4247" s="2">
        <v>4246.0</v>
      </c>
      <c r="B4247" s="2">
        <v>20958.0</v>
      </c>
      <c r="C4247" s="2" t="s">
        <v>5336</v>
      </c>
      <c r="D4247" s="2">
        <v>1.95</v>
      </c>
      <c r="E4247" s="2">
        <v>19.0</v>
      </c>
      <c r="F4247" s="2">
        <v>35.25</v>
      </c>
      <c r="G4247" s="4">
        <f t="shared" si="3"/>
        <v>9535885.06</v>
      </c>
      <c r="H4247" s="4">
        <f t="shared" si="1"/>
        <v>0.9991059748</v>
      </c>
      <c r="I4247" s="4" t="str">
        <f t="shared" si="2"/>
        <v>C</v>
      </c>
    </row>
    <row r="4248">
      <c r="A4248" s="2">
        <v>4247.0</v>
      </c>
      <c r="B4248" s="2">
        <v>90050.0</v>
      </c>
      <c r="C4248" s="2" t="s">
        <v>5337</v>
      </c>
      <c r="D4248" s="2">
        <v>7.01</v>
      </c>
      <c r="E4248" s="2">
        <v>5.0</v>
      </c>
      <c r="F4248" s="2">
        <v>35.08</v>
      </c>
      <c r="G4248" s="4">
        <f t="shared" si="3"/>
        <v>9535920.14</v>
      </c>
      <c r="H4248" s="4">
        <f t="shared" si="1"/>
        <v>0.9991096503</v>
      </c>
      <c r="I4248" s="4" t="str">
        <f t="shared" si="2"/>
        <v>C</v>
      </c>
    </row>
    <row r="4249">
      <c r="A4249" s="2">
        <v>4248.0</v>
      </c>
      <c r="B4249" s="2">
        <v>47420.0</v>
      </c>
      <c r="C4249" s="2" t="s">
        <v>5338</v>
      </c>
      <c r="D4249" s="2">
        <v>0.19</v>
      </c>
      <c r="E4249" s="2">
        <v>184.0</v>
      </c>
      <c r="F4249" s="2">
        <v>35.06</v>
      </c>
      <c r="G4249" s="4">
        <f t="shared" si="3"/>
        <v>9535955.2</v>
      </c>
      <c r="H4249" s="4">
        <f t="shared" si="1"/>
        <v>0.9991133236</v>
      </c>
      <c r="I4249" s="4" t="str">
        <f t="shared" si="2"/>
        <v>C</v>
      </c>
    </row>
    <row r="4250">
      <c r="A4250" s="2">
        <v>4249.0</v>
      </c>
      <c r="B4250" s="2" t="s">
        <v>5339</v>
      </c>
      <c r="C4250" s="2" t="s">
        <v>5340</v>
      </c>
      <c r="D4250" s="2">
        <v>1.65</v>
      </c>
      <c r="E4250" s="2">
        <v>21.0</v>
      </c>
      <c r="F4250" s="2">
        <v>34.98</v>
      </c>
      <c r="G4250" s="4">
        <f t="shared" si="3"/>
        <v>9535990.18</v>
      </c>
      <c r="H4250" s="4">
        <f t="shared" si="1"/>
        <v>0.9991169886</v>
      </c>
      <c r="I4250" s="4" t="str">
        <f t="shared" si="2"/>
        <v>C</v>
      </c>
    </row>
    <row r="4251">
      <c r="A4251" s="2">
        <v>4250.0</v>
      </c>
      <c r="B4251" s="2" t="s">
        <v>5341</v>
      </c>
      <c r="C4251" s="2" t="s">
        <v>5342</v>
      </c>
      <c r="D4251" s="2">
        <v>4.65</v>
      </c>
      <c r="E4251" s="2">
        <v>8.0</v>
      </c>
      <c r="F4251" s="2">
        <v>34.88</v>
      </c>
      <c r="G4251" s="4">
        <f t="shared" si="3"/>
        <v>9536025.06</v>
      </c>
      <c r="H4251" s="4">
        <f t="shared" si="1"/>
        <v>0.9991206431</v>
      </c>
      <c r="I4251" s="4" t="str">
        <f t="shared" si="2"/>
        <v>C</v>
      </c>
    </row>
    <row r="4252">
      <c r="A4252" s="2">
        <v>4251.0</v>
      </c>
      <c r="B4252" s="2">
        <v>90131.0</v>
      </c>
      <c r="C4252" s="2" t="s">
        <v>5343</v>
      </c>
      <c r="D4252" s="2">
        <v>6.95</v>
      </c>
      <c r="E4252" s="2">
        <v>5.0</v>
      </c>
      <c r="F4252" s="2">
        <v>34.81</v>
      </c>
      <c r="G4252" s="4">
        <f t="shared" si="3"/>
        <v>9536059.87</v>
      </c>
      <c r="H4252" s="4">
        <f t="shared" si="1"/>
        <v>0.9991242902</v>
      </c>
      <c r="I4252" s="4" t="str">
        <f t="shared" si="2"/>
        <v>C</v>
      </c>
    </row>
    <row r="4253">
      <c r="A4253" s="2">
        <v>4252.0</v>
      </c>
      <c r="B4253" s="2" t="s">
        <v>5344</v>
      </c>
      <c r="C4253" s="2" t="s">
        <v>5345</v>
      </c>
      <c r="D4253" s="2">
        <v>7.5</v>
      </c>
      <c r="E4253" s="2">
        <v>4.0</v>
      </c>
      <c r="F4253" s="2">
        <v>34.75</v>
      </c>
      <c r="G4253" s="4">
        <f t="shared" si="3"/>
        <v>9536094.62</v>
      </c>
      <c r="H4253" s="4">
        <f t="shared" si="1"/>
        <v>0.9991279311</v>
      </c>
      <c r="I4253" s="4" t="str">
        <f t="shared" si="2"/>
        <v>C</v>
      </c>
    </row>
    <row r="4254">
      <c r="A4254" s="2">
        <v>4253.0</v>
      </c>
      <c r="B4254" s="2" t="s">
        <v>5346</v>
      </c>
      <c r="C4254" s="2" t="s">
        <v>5347</v>
      </c>
      <c r="D4254" s="2">
        <v>0.42</v>
      </c>
      <c r="E4254" s="2">
        <v>88.0</v>
      </c>
      <c r="F4254" s="2">
        <v>34.59</v>
      </c>
      <c r="G4254" s="4">
        <f t="shared" si="3"/>
        <v>9536129.21</v>
      </c>
      <c r="H4254" s="4">
        <f t="shared" si="1"/>
        <v>0.9991315552</v>
      </c>
      <c r="I4254" s="4" t="str">
        <f t="shared" si="2"/>
        <v>C</v>
      </c>
    </row>
    <row r="4255">
      <c r="A4255" s="2">
        <v>4254.0</v>
      </c>
      <c r="B4255" s="2" t="s">
        <v>5348</v>
      </c>
      <c r="C4255" s="2" t="s">
        <v>5349</v>
      </c>
      <c r="D4255" s="2">
        <v>2.54</v>
      </c>
      <c r="E4255" s="2">
        <v>14.0</v>
      </c>
      <c r="F4255" s="2">
        <v>34.32</v>
      </c>
      <c r="G4255" s="4">
        <f t="shared" si="3"/>
        <v>9536163.53</v>
      </c>
      <c r="H4255" s="4">
        <f t="shared" si="1"/>
        <v>0.999135151</v>
      </c>
      <c r="I4255" s="4" t="str">
        <f t="shared" si="2"/>
        <v>C</v>
      </c>
    </row>
    <row r="4256">
      <c r="A4256" s="2">
        <v>4255.0</v>
      </c>
      <c r="B4256" s="2">
        <v>71215.0</v>
      </c>
      <c r="C4256" s="2" t="s">
        <v>5350</v>
      </c>
      <c r="D4256" s="2">
        <v>0.42</v>
      </c>
      <c r="E4256" s="2">
        <v>88.0</v>
      </c>
      <c r="F4256" s="2">
        <v>34.05</v>
      </c>
      <c r="G4256" s="4">
        <f t="shared" si="3"/>
        <v>9536197.58</v>
      </c>
      <c r="H4256" s="4">
        <f t="shared" si="1"/>
        <v>0.9991387186</v>
      </c>
      <c r="I4256" s="4" t="str">
        <f t="shared" si="2"/>
        <v>C</v>
      </c>
    </row>
    <row r="4257">
      <c r="A4257" s="2">
        <v>4256.0</v>
      </c>
      <c r="B4257" s="2" t="s">
        <v>5351</v>
      </c>
      <c r="C4257" s="2" t="s">
        <v>5352</v>
      </c>
      <c r="D4257" s="2">
        <v>4.25</v>
      </c>
      <c r="E4257" s="2">
        <v>8.0</v>
      </c>
      <c r="F4257" s="2">
        <v>34.0</v>
      </c>
      <c r="G4257" s="4">
        <f t="shared" si="3"/>
        <v>9536231.58</v>
      </c>
      <c r="H4257" s="4">
        <f t="shared" si="1"/>
        <v>0.9991422809</v>
      </c>
      <c r="I4257" s="4" t="str">
        <f t="shared" si="2"/>
        <v>C</v>
      </c>
    </row>
    <row r="4258">
      <c r="A4258" s="2">
        <v>4257.0</v>
      </c>
      <c r="B4258" s="2" t="s">
        <v>5353</v>
      </c>
      <c r="C4258" s="2" t="s">
        <v>5354</v>
      </c>
      <c r="D4258" s="2">
        <v>8.5</v>
      </c>
      <c r="E4258" s="2">
        <v>4.0</v>
      </c>
      <c r="F4258" s="2">
        <v>34.0</v>
      </c>
      <c r="G4258" s="4">
        <f t="shared" si="3"/>
        <v>9536265.58</v>
      </c>
      <c r="H4258" s="4">
        <f t="shared" si="1"/>
        <v>0.9991458432</v>
      </c>
      <c r="I4258" s="4" t="str">
        <f t="shared" si="2"/>
        <v>C</v>
      </c>
    </row>
    <row r="4259">
      <c r="A4259" s="2">
        <v>4258.0</v>
      </c>
      <c r="B4259" s="2">
        <v>90140.0</v>
      </c>
      <c r="C4259" s="2" t="s">
        <v>5355</v>
      </c>
      <c r="D4259" s="2">
        <v>7.5</v>
      </c>
      <c r="E4259" s="2">
        <v>4.0</v>
      </c>
      <c r="F4259" s="2">
        <v>33.95</v>
      </c>
      <c r="G4259" s="4">
        <f t="shared" si="3"/>
        <v>9536299.53</v>
      </c>
      <c r="H4259" s="4">
        <f t="shared" si="1"/>
        <v>0.9991494002</v>
      </c>
      <c r="I4259" s="4" t="str">
        <f t="shared" si="2"/>
        <v>C</v>
      </c>
    </row>
    <row r="4260">
      <c r="A4260" s="2">
        <v>4259.0</v>
      </c>
      <c r="B4260" s="2" t="s">
        <v>5356</v>
      </c>
      <c r="C4260" s="2" t="s">
        <v>5357</v>
      </c>
      <c r="D4260" s="2">
        <v>8.5</v>
      </c>
      <c r="E4260" s="2">
        <v>4.0</v>
      </c>
      <c r="F4260" s="2">
        <v>33.91</v>
      </c>
      <c r="G4260" s="4">
        <f t="shared" si="3"/>
        <v>9536333.44</v>
      </c>
      <c r="H4260" s="4">
        <f t="shared" si="1"/>
        <v>0.9991529531</v>
      </c>
      <c r="I4260" s="4" t="str">
        <f t="shared" si="2"/>
        <v>C</v>
      </c>
    </row>
    <row r="4261">
      <c r="A4261" s="2">
        <v>4260.0</v>
      </c>
      <c r="B4261" s="2" t="s">
        <v>5358</v>
      </c>
      <c r="C4261" s="2" t="s">
        <v>5359</v>
      </c>
      <c r="D4261" s="2">
        <v>8.5</v>
      </c>
      <c r="E4261" s="2">
        <v>4.0</v>
      </c>
      <c r="F4261" s="2">
        <v>33.91</v>
      </c>
      <c r="G4261" s="4">
        <f t="shared" si="3"/>
        <v>9536367.35</v>
      </c>
      <c r="H4261" s="4">
        <f t="shared" si="1"/>
        <v>0.9991565059</v>
      </c>
      <c r="I4261" s="4" t="str">
        <f t="shared" si="2"/>
        <v>C</v>
      </c>
    </row>
    <row r="4262">
      <c r="A4262" s="2">
        <v>4261.0</v>
      </c>
      <c r="B4262" s="2" t="s">
        <v>5360</v>
      </c>
      <c r="C4262" s="2" t="s">
        <v>5361</v>
      </c>
      <c r="D4262" s="2">
        <v>3.75</v>
      </c>
      <c r="E4262" s="2">
        <v>9.0</v>
      </c>
      <c r="F4262" s="2">
        <v>33.88</v>
      </c>
      <c r="G4262" s="4">
        <f t="shared" si="3"/>
        <v>9536401.23</v>
      </c>
      <c r="H4262" s="4">
        <f t="shared" si="1"/>
        <v>0.9991600556</v>
      </c>
      <c r="I4262" s="4" t="str">
        <f t="shared" si="2"/>
        <v>C</v>
      </c>
    </row>
    <row r="4263">
      <c r="A4263" s="2">
        <v>4262.0</v>
      </c>
      <c r="B4263" s="2" t="s">
        <v>5362</v>
      </c>
      <c r="C4263" s="2" t="s">
        <v>2657</v>
      </c>
      <c r="D4263" s="2">
        <v>2.51</v>
      </c>
      <c r="E4263" s="2">
        <v>14.0</v>
      </c>
      <c r="F4263" s="2">
        <v>33.88</v>
      </c>
      <c r="G4263" s="4">
        <f t="shared" si="3"/>
        <v>9536435.11</v>
      </c>
      <c r="H4263" s="4">
        <f t="shared" si="1"/>
        <v>0.9991636054</v>
      </c>
      <c r="I4263" s="4" t="str">
        <f t="shared" si="2"/>
        <v>C</v>
      </c>
    </row>
    <row r="4264">
      <c r="A4264" s="2">
        <v>4263.0</v>
      </c>
      <c r="B4264" s="2" t="s">
        <v>5363</v>
      </c>
      <c r="C4264" s="2" t="s">
        <v>5364</v>
      </c>
      <c r="D4264" s="2">
        <v>6.75</v>
      </c>
      <c r="E4264" s="2">
        <v>4.0</v>
      </c>
      <c r="F4264" s="2">
        <v>33.86</v>
      </c>
      <c r="G4264" s="4">
        <f t="shared" si="3"/>
        <v>9536468.97</v>
      </c>
      <c r="H4264" s="4">
        <f t="shared" si="1"/>
        <v>0.999167153</v>
      </c>
      <c r="I4264" s="4" t="str">
        <f t="shared" si="2"/>
        <v>C</v>
      </c>
    </row>
    <row r="4265">
      <c r="A4265" s="2">
        <v>4264.0</v>
      </c>
      <c r="B4265" s="2">
        <v>90078.0</v>
      </c>
      <c r="C4265" s="2" t="s">
        <v>5365</v>
      </c>
      <c r="D4265" s="2">
        <v>7.5</v>
      </c>
      <c r="E4265" s="2">
        <v>4.0</v>
      </c>
      <c r="F4265" s="2">
        <v>33.82</v>
      </c>
      <c r="G4265" s="4">
        <f t="shared" si="3"/>
        <v>9536502.79</v>
      </c>
      <c r="H4265" s="4">
        <f t="shared" si="1"/>
        <v>0.9991706964</v>
      </c>
      <c r="I4265" s="4" t="str">
        <f t="shared" si="2"/>
        <v>C</v>
      </c>
    </row>
    <row r="4266">
      <c r="A4266" s="2">
        <v>4265.0</v>
      </c>
      <c r="B4266" s="2" t="s">
        <v>5366</v>
      </c>
      <c r="C4266" s="2" t="s">
        <v>5367</v>
      </c>
      <c r="D4266" s="2">
        <v>8.49</v>
      </c>
      <c r="E4266" s="2">
        <v>4.0</v>
      </c>
      <c r="F4266" s="2">
        <v>33.8</v>
      </c>
      <c r="G4266" s="4">
        <f t="shared" si="3"/>
        <v>9536536.59</v>
      </c>
      <c r="H4266" s="4">
        <f t="shared" si="1"/>
        <v>0.9991742378</v>
      </c>
      <c r="I4266" s="4" t="str">
        <f t="shared" si="2"/>
        <v>C</v>
      </c>
    </row>
    <row r="4267">
      <c r="A4267" s="2">
        <v>4266.0</v>
      </c>
      <c r="B4267" s="2" t="s">
        <v>5368</v>
      </c>
      <c r="C4267" s="2" t="s">
        <v>5369</v>
      </c>
      <c r="D4267" s="2">
        <v>1.25</v>
      </c>
      <c r="E4267" s="2">
        <v>27.0</v>
      </c>
      <c r="F4267" s="2">
        <v>33.75</v>
      </c>
      <c r="G4267" s="4">
        <f t="shared" si="3"/>
        <v>9536570.34</v>
      </c>
      <c r="H4267" s="4">
        <f t="shared" si="1"/>
        <v>0.9991777739</v>
      </c>
      <c r="I4267" s="4" t="str">
        <f t="shared" si="2"/>
        <v>C</v>
      </c>
    </row>
    <row r="4268">
      <c r="A4268" s="2">
        <v>4267.0</v>
      </c>
      <c r="B4268" s="2" t="s">
        <v>5370</v>
      </c>
      <c r="C4268" s="2" t="s">
        <v>5371</v>
      </c>
      <c r="D4268" s="2">
        <v>1.25</v>
      </c>
      <c r="E4268" s="2">
        <v>24.0</v>
      </c>
      <c r="F4268" s="2">
        <v>33.75</v>
      </c>
      <c r="G4268" s="4">
        <f t="shared" si="3"/>
        <v>9536604.09</v>
      </c>
      <c r="H4268" s="4">
        <f t="shared" si="1"/>
        <v>0.99918131</v>
      </c>
      <c r="I4268" s="4" t="str">
        <f t="shared" si="2"/>
        <v>C</v>
      </c>
    </row>
    <row r="4269">
      <c r="A4269" s="2">
        <v>4268.0</v>
      </c>
      <c r="B4269" s="2" t="s">
        <v>5372</v>
      </c>
      <c r="C4269" s="2" t="s">
        <v>5373</v>
      </c>
      <c r="D4269" s="2">
        <v>14.82</v>
      </c>
      <c r="E4269" s="2">
        <v>2.0</v>
      </c>
      <c r="F4269" s="2">
        <v>33.62</v>
      </c>
      <c r="G4269" s="4">
        <f t="shared" si="3"/>
        <v>9536637.71</v>
      </c>
      <c r="H4269" s="4">
        <f t="shared" si="1"/>
        <v>0.9991848324</v>
      </c>
      <c r="I4269" s="4" t="str">
        <f t="shared" si="2"/>
        <v>C</v>
      </c>
    </row>
    <row r="4270">
      <c r="A4270" s="2">
        <v>4269.0</v>
      </c>
      <c r="B4270" s="2" t="s">
        <v>5374</v>
      </c>
      <c r="C4270" s="2" t="s">
        <v>5375</v>
      </c>
      <c r="D4270" s="2">
        <v>4.21</v>
      </c>
      <c r="E4270" s="2">
        <v>18.0</v>
      </c>
      <c r="F4270" s="2">
        <v>33.44</v>
      </c>
      <c r="G4270" s="4">
        <f t="shared" si="3"/>
        <v>9536671.15</v>
      </c>
      <c r="H4270" s="4">
        <f t="shared" si="1"/>
        <v>0.9991883361</v>
      </c>
      <c r="I4270" s="4" t="str">
        <f t="shared" si="2"/>
        <v>C</v>
      </c>
    </row>
    <row r="4271">
      <c r="A4271" s="2">
        <v>4270.0</v>
      </c>
      <c r="B4271" s="2" t="s">
        <v>5376</v>
      </c>
      <c r="C4271" s="2" t="s">
        <v>5377</v>
      </c>
      <c r="D4271" s="2">
        <v>1.25</v>
      </c>
      <c r="E4271" s="2">
        <v>38.0</v>
      </c>
      <c r="F4271" s="2">
        <v>33.3</v>
      </c>
      <c r="G4271" s="4">
        <f t="shared" si="3"/>
        <v>9536704.45</v>
      </c>
      <c r="H4271" s="4">
        <f t="shared" si="1"/>
        <v>0.999191825</v>
      </c>
      <c r="I4271" s="4" t="str">
        <f t="shared" si="2"/>
        <v>C</v>
      </c>
    </row>
    <row r="4272">
      <c r="A4272" s="2">
        <v>4271.0</v>
      </c>
      <c r="B4272" s="2" t="s">
        <v>5378</v>
      </c>
      <c r="C4272" s="2" t="s">
        <v>5379</v>
      </c>
      <c r="D4272" s="2">
        <v>0.38</v>
      </c>
      <c r="E4272" s="2">
        <v>48.0</v>
      </c>
      <c r="F4272" s="2">
        <v>33.28</v>
      </c>
      <c r="G4272" s="4">
        <f t="shared" si="3"/>
        <v>9536737.73</v>
      </c>
      <c r="H4272" s="4">
        <f t="shared" si="1"/>
        <v>0.9991953119</v>
      </c>
      <c r="I4272" s="4" t="str">
        <f t="shared" si="2"/>
        <v>C</v>
      </c>
    </row>
    <row r="4273">
      <c r="A4273" s="2">
        <v>4272.0</v>
      </c>
      <c r="B4273" s="2" t="s">
        <v>5380</v>
      </c>
      <c r="C4273" s="2" t="s">
        <v>5381</v>
      </c>
      <c r="D4273" s="2">
        <v>2.55</v>
      </c>
      <c r="E4273" s="2">
        <v>13.0</v>
      </c>
      <c r="F4273" s="2">
        <v>33.16</v>
      </c>
      <c r="G4273" s="4">
        <f t="shared" si="3"/>
        <v>9536770.89</v>
      </c>
      <c r="H4273" s="4">
        <f t="shared" si="1"/>
        <v>0.9991987861</v>
      </c>
      <c r="I4273" s="4" t="str">
        <f t="shared" si="2"/>
        <v>C</v>
      </c>
    </row>
    <row r="4274">
      <c r="A4274" s="2">
        <v>4273.0</v>
      </c>
      <c r="B4274" s="2">
        <v>40002.0</v>
      </c>
      <c r="C4274" s="2" t="s">
        <v>2026</v>
      </c>
      <c r="D4274" s="2">
        <v>0.85</v>
      </c>
      <c r="E4274" s="2">
        <v>39.0</v>
      </c>
      <c r="F4274" s="2">
        <v>33.15</v>
      </c>
      <c r="G4274" s="4">
        <f t="shared" si="3"/>
        <v>9536804.04</v>
      </c>
      <c r="H4274" s="4">
        <f t="shared" si="1"/>
        <v>0.9992022594</v>
      </c>
      <c r="I4274" s="4" t="str">
        <f t="shared" si="2"/>
        <v>C</v>
      </c>
    </row>
    <row r="4275">
      <c r="A4275" s="2">
        <v>4274.0</v>
      </c>
      <c r="B4275" s="2">
        <v>85072.0</v>
      </c>
      <c r="C4275" s="2" t="s">
        <v>5382</v>
      </c>
      <c r="D4275" s="2">
        <v>0.55</v>
      </c>
      <c r="E4275" s="2">
        <v>60.0</v>
      </c>
      <c r="F4275" s="2">
        <v>33.0</v>
      </c>
      <c r="G4275" s="4">
        <f t="shared" si="3"/>
        <v>9536837.04</v>
      </c>
      <c r="H4275" s="4">
        <f t="shared" si="1"/>
        <v>0.9992057169</v>
      </c>
      <c r="I4275" s="4" t="str">
        <f t="shared" si="2"/>
        <v>C</v>
      </c>
    </row>
    <row r="4276">
      <c r="A4276" s="2">
        <v>4275.0</v>
      </c>
      <c r="B4276" s="2" t="s">
        <v>5383</v>
      </c>
      <c r="C4276" s="2" t="s">
        <v>5384</v>
      </c>
      <c r="D4276" s="2">
        <v>0.08</v>
      </c>
      <c r="E4276" s="2">
        <v>398.0</v>
      </c>
      <c r="F4276" s="2">
        <v>32.97</v>
      </c>
      <c r="G4276" s="4">
        <f t="shared" si="3"/>
        <v>9536870.01</v>
      </c>
      <c r="H4276" s="4">
        <f t="shared" si="1"/>
        <v>0.9992091713</v>
      </c>
      <c r="I4276" s="4" t="str">
        <f t="shared" si="2"/>
        <v>C</v>
      </c>
    </row>
    <row r="4277">
      <c r="A4277" s="2">
        <v>4276.0</v>
      </c>
      <c r="B4277" s="2">
        <v>79329.0</v>
      </c>
      <c r="C4277" s="2" t="s">
        <v>5301</v>
      </c>
      <c r="D4277" s="2">
        <v>1.65</v>
      </c>
      <c r="E4277" s="2">
        <v>50.0</v>
      </c>
      <c r="F4277" s="2">
        <v>32.97</v>
      </c>
      <c r="G4277" s="4">
        <f t="shared" si="3"/>
        <v>9536902.98</v>
      </c>
      <c r="H4277" s="4">
        <f t="shared" si="1"/>
        <v>0.9992126256</v>
      </c>
      <c r="I4277" s="4" t="str">
        <f t="shared" si="2"/>
        <v>C</v>
      </c>
    </row>
    <row r="4278">
      <c r="A4278" s="2">
        <v>4277.0</v>
      </c>
      <c r="B4278" s="2">
        <v>84340.0</v>
      </c>
      <c r="C4278" s="2" t="s">
        <v>5385</v>
      </c>
      <c r="D4278" s="2">
        <v>2.55</v>
      </c>
      <c r="E4278" s="2">
        <v>10.0</v>
      </c>
      <c r="F4278" s="2">
        <v>32.88</v>
      </c>
      <c r="G4278" s="4">
        <f t="shared" si="3"/>
        <v>9536935.86</v>
      </c>
      <c r="H4278" s="4">
        <f t="shared" si="1"/>
        <v>0.9992160706</v>
      </c>
      <c r="I4278" s="4" t="str">
        <f t="shared" si="2"/>
        <v>C</v>
      </c>
    </row>
    <row r="4279">
      <c r="A4279" s="2">
        <v>4278.0</v>
      </c>
      <c r="B4279" s="2">
        <v>84493.0</v>
      </c>
      <c r="C4279" s="2" t="s">
        <v>5386</v>
      </c>
      <c r="D4279" s="2">
        <v>2.55</v>
      </c>
      <c r="E4279" s="2">
        <v>288.0</v>
      </c>
      <c r="F4279" s="2">
        <v>32.88</v>
      </c>
      <c r="G4279" s="4">
        <f t="shared" si="3"/>
        <v>9536968.74</v>
      </c>
      <c r="H4279" s="4">
        <f t="shared" si="1"/>
        <v>0.9992195155</v>
      </c>
      <c r="I4279" s="4" t="str">
        <f t="shared" si="2"/>
        <v>C</v>
      </c>
    </row>
    <row r="4280">
      <c r="A4280" s="2">
        <v>4279.0</v>
      </c>
      <c r="B4280" s="2">
        <v>79406.0</v>
      </c>
      <c r="C4280" s="2" t="s">
        <v>4611</v>
      </c>
      <c r="D4280" s="2">
        <v>0.22</v>
      </c>
      <c r="E4280" s="2">
        <v>130.0</v>
      </c>
      <c r="F4280" s="2">
        <v>32.81</v>
      </c>
      <c r="G4280" s="4">
        <f t="shared" si="3"/>
        <v>9537001.55</v>
      </c>
      <c r="H4280" s="4">
        <f t="shared" si="1"/>
        <v>0.9992229531</v>
      </c>
      <c r="I4280" s="4" t="str">
        <f t="shared" si="2"/>
        <v>C</v>
      </c>
    </row>
    <row r="4281">
      <c r="A4281" s="2">
        <v>4280.0</v>
      </c>
      <c r="B4281" s="2">
        <v>90088.0</v>
      </c>
      <c r="C4281" s="2" t="s">
        <v>5387</v>
      </c>
      <c r="D4281" s="2">
        <v>0.85</v>
      </c>
      <c r="E4281" s="2">
        <v>38.0</v>
      </c>
      <c r="F4281" s="2">
        <v>32.72</v>
      </c>
      <c r="G4281" s="4">
        <f t="shared" si="3"/>
        <v>9537034.27</v>
      </c>
      <c r="H4281" s="4">
        <f t="shared" si="1"/>
        <v>0.9992263813</v>
      </c>
      <c r="I4281" s="4" t="str">
        <f t="shared" si="2"/>
        <v>C</v>
      </c>
    </row>
    <row r="4282">
      <c r="A4282" s="2">
        <v>4281.0</v>
      </c>
      <c r="B4282" s="2" t="s">
        <v>5388</v>
      </c>
      <c r="C4282" s="2" t="s">
        <v>5389</v>
      </c>
      <c r="D4282" s="2">
        <v>5.95</v>
      </c>
      <c r="E4282" s="2">
        <v>6.0</v>
      </c>
      <c r="F4282" s="2">
        <v>32.66</v>
      </c>
      <c r="G4282" s="4">
        <f t="shared" si="3"/>
        <v>9537066.93</v>
      </c>
      <c r="H4282" s="4">
        <f t="shared" si="1"/>
        <v>0.9992298032</v>
      </c>
      <c r="I4282" s="4" t="str">
        <f t="shared" si="2"/>
        <v>C</v>
      </c>
    </row>
    <row r="4283">
      <c r="A4283" s="2">
        <v>4282.0</v>
      </c>
      <c r="B4283" s="2">
        <v>47016.0</v>
      </c>
      <c r="C4283" s="2" t="s">
        <v>5390</v>
      </c>
      <c r="D4283" s="2">
        <v>2.1</v>
      </c>
      <c r="E4283" s="2">
        <v>16.0</v>
      </c>
      <c r="F4283" s="2">
        <v>32.55</v>
      </c>
      <c r="G4283" s="4">
        <f t="shared" si="3"/>
        <v>9537099.48</v>
      </c>
      <c r="H4283" s="4">
        <f t="shared" si="1"/>
        <v>0.9992332136</v>
      </c>
      <c r="I4283" s="4" t="str">
        <f t="shared" si="2"/>
        <v>C</v>
      </c>
    </row>
    <row r="4284">
      <c r="A4284" s="2">
        <v>4283.0</v>
      </c>
      <c r="B4284" s="2" t="s">
        <v>5391</v>
      </c>
      <c r="C4284" s="2" t="s">
        <v>5392</v>
      </c>
      <c r="D4284" s="2">
        <v>0.42</v>
      </c>
      <c r="E4284" s="2">
        <v>78.0</v>
      </c>
      <c r="F4284" s="2">
        <v>32.55</v>
      </c>
      <c r="G4284" s="4">
        <f t="shared" si="3"/>
        <v>9537132.03</v>
      </c>
      <c r="H4284" s="4">
        <f t="shared" si="1"/>
        <v>0.999236624</v>
      </c>
      <c r="I4284" s="4" t="str">
        <f t="shared" si="2"/>
        <v>C</v>
      </c>
    </row>
    <row r="4285">
      <c r="A4285" s="2">
        <v>4284.0</v>
      </c>
      <c r="B4285" s="2" t="s">
        <v>5393</v>
      </c>
      <c r="C4285" s="2" t="s">
        <v>5394</v>
      </c>
      <c r="D4285" s="2">
        <v>2.96</v>
      </c>
      <c r="E4285" s="2">
        <v>11.0</v>
      </c>
      <c r="F4285" s="2">
        <v>32.51</v>
      </c>
      <c r="G4285" s="4">
        <f t="shared" si="3"/>
        <v>9537164.54</v>
      </c>
      <c r="H4285" s="4">
        <f t="shared" si="1"/>
        <v>0.9992400301</v>
      </c>
      <c r="I4285" s="4" t="str">
        <f t="shared" si="2"/>
        <v>C</v>
      </c>
    </row>
    <row r="4286">
      <c r="A4286" s="2">
        <v>4285.0</v>
      </c>
      <c r="B4286" s="2" t="s">
        <v>5395</v>
      </c>
      <c r="C4286" s="2" t="s">
        <v>5396</v>
      </c>
      <c r="D4286" s="2">
        <v>4.98</v>
      </c>
      <c r="E4286" s="2">
        <v>6.0</v>
      </c>
      <c r="F4286" s="2">
        <v>32.47</v>
      </c>
      <c r="G4286" s="4">
        <f t="shared" si="3"/>
        <v>9537197.01</v>
      </c>
      <c r="H4286" s="4">
        <f t="shared" si="1"/>
        <v>0.9992434321</v>
      </c>
      <c r="I4286" s="4" t="str">
        <f t="shared" si="2"/>
        <v>C</v>
      </c>
    </row>
    <row r="4287">
      <c r="A4287" s="2">
        <v>4286.0</v>
      </c>
      <c r="B4287" s="2">
        <v>90092.0</v>
      </c>
      <c r="C4287" s="2" t="s">
        <v>5397</v>
      </c>
      <c r="D4287" s="2">
        <v>0.85</v>
      </c>
      <c r="E4287" s="2">
        <v>38.0</v>
      </c>
      <c r="F4287" s="2">
        <v>32.28</v>
      </c>
      <c r="G4287" s="4">
        <f t="shared" si="3"/>
        <v>9537229.29</v>
      </c>
      <c r="H4287" s="4">
        <f t="shared" si="1"/>
        <v>0.9992468142</v>
      </c>
      <c r="I4287" s="4" t="str">
        <f t="shared" si="2"/>
        <v>C</v>
      </c>
    </row>
    <row r="4288">
      <c r="A4288" s="2">
        <v>4287.0</v>
      </c>
      <c r="B4288" s="2">
        <v>84551.0</v>
      </c>
      <c r="C4288" s="2" t="s">
        <v>5398</v>
      </c>
      <c r="D4288" s="2">
        <v>1.65</v>
      </c>
      <c r="E4288" s="2">
        <v>20.0</v>
      </c>
      <c r="F4288" s="2">
        <v>32.17</v>
      </c>
      <c r="G4288" s="4">
        <f t="shared" si="3"/>
        <v>9537261.46</v>
      </c>
      <c r="H4288" s="4">
        <f t="shared" si="1"/>
        <v>0.9992501848</v>
      </c>
      <c r="I4288" s="4" t="str">
        <f t="shared" si="2"/>
        <v>C</v>
      </c>
    </row>
    <row r="4289">
      <c r="A4289" s="2">
        <v>4288.0</v>
      </c>
      <c r="B4289" s="2">
        <v>90074.0</v>
      </c>
      <c r="C4289" s="2" t="s">
        <v>5399</v>
      </c>
      <c r="D4289" s="2">
        <v>8.95</v>
      </c>
      <c r="E4289" s="2">
        <v>4.0</v>
      </c>
      <c r="F4289" s="2">
        <v>32.04</v>
      </c>
      <c r="G4289" s="4">
        <f t="shared" si="3"/>
        <v>9537293.5</v>
      </c>
      <c r="H4289" s="4">
        <f t="shared" si="1"/>
        <v>0.9992535417</v>
      </c>
      <c r="I4289" s="4" t="str">
        <f t="shared" si="2"/>
        <v>C</v>
      </c>
    </row>
    <row r="4290">
      <c r="A4290" s="2">
        <v>4289.0</v>
      </c>
      <c r="B4290" s="2">
        <v>79534.0</v>
      </c>
      <c r="C4290" s="2" t="s">
        <v>5400</v>
      </c>
      <c r="D4290" s="2">
        <v>0.55</v>
      </c>
      <c r="E4290" s="2">
        <v>58.0</v>
      </c>
      <c r="F4290" s="2">
        <v>31.9</v>
      </c>
      <c r="G4290" s="4">
        <f t="shared" si="3"/>
        <v>9537325.4</v>
      </c>
      <c r="H4290" s="4">
        <f t="shared" si="1"/>
        <v>0.999256884</v>
      </c>
      <c r="I4290" s="4" t="str">
        <f t="shared" si="2"/>
        <v>C</v>
      </c>
    </row>
    <row r="4291">
      <c r="A4291" s="2">
        <v>4290.0</v>
      </c>
      <c r="B4291" s="2" t="s">
        <v>5401</v>
      </c>
      <c r="C4291" s="2" t="s">
        <v>5402</v>
      </c>
      <c r="D4291" s="2">
        <v>4.25</v>
      </c>
      <c r="E4291" s="2">
        <v>8.0</v>
      </c>
      <c r="F4291" s="2">
        <v>31.88</v>
      </c>
      <c r="G4291" s="4">
        <f t="shared" si="3"/>
        <v>9537357.28</v>
      </c>
      <c r="H4291" s="4">
        <f t="shared" si="1"/>
        <v>0.9992602241</v>
      </c>
      <c r="I4291" s="4" t="str">
        <f t="shared" si="2"/>
        <v>C</v>
      </c>
    </row>
    <row r="4292">
      <c r="A4292" s="2">
        <v>4291.0</v>
      </c>
      <c r="B4292" s="2" t="s">
        <v>5403</v>
      </c>
      <c r="C4292" s="2" t="s">
        <v>5404</v>
      </c>
      <c r="D4292" s="2">
        <v>4.25</v>
      </c>
      <c r="E4292" s="2">
        <v>8.0</v>
      </c>
      <c r="F4292" s="2">
        <v>31.88</v>
      </c>
      <c r="G4292" s="4">
        <f t="shared" si="3"/>
        <v>9537389.16</v>
      </c>
      <c r="H4292" s="4">
        <f t="shared" si="1"/>
        <v>0.9992635643</v>
      </c>
      <c r="I4292" s="4" t="str">
        <f t="shared" si="2"/>
        <v>C</v>
      </c>
    </row>
    <row r="4293">
      <c r="A4293" s="2">
        <v>4292.0</v>
      </c>
      <c r="B4293" s="2">
        <v>35973.0</v>
      </c>
      <c r="C4293" s="2" t="s">
        <v>5405</v>
      </c>
      <c r="D4293" s="2">
        <v>1.25</v>
      </c>
      <c r="E4293" s="2">
        <v>26.0</v>
      </c>
      <c r="F4293" s="2">
        <v>31.88</v>
      </c>
      <c r="G4293" s="4">
        <f t="shared" si="3"/>
        <v>9537421.04</v>
      </c>
      <c r="H4293" s="4">
        <f t="shared" si="1"/>
        <v>0.9992669045</v>
      </c>
      <c r="I4293" s="4" t="str">
        <f t="shared" si="2"/>
        <v>C</v>
      </c>
    </row>
    <row r="4294">
      <c r="A4294" s="2">
        <v>4293.0</v>
      </c>
      <c r="B4294" s="2">
        <v>84582.0</v>
      </c>
      <c r="C4294" s="2" t="s">
        <v>5406</v>
      </c>
      <c r="D4294" s="2">
        <v>4.25</v>
      </c>
      <c r="E4294" s="2">
        <v>8.0</v>
      </c>
      <c r="F4294" s="2">
        <v>31.88</v>
      </c>
      <c r="G4294" s="4">
        <f t="shared" si="3"/>
        <v>9537452.92</v>
      </c>
      <c r="H4294" s="4">
        <f t="shared" si="1"/>
        <v>0.9992702447</v>
      </c>
      <c r="I4294" s="4" t="str">
        <f t="shared" si="2"/>
        <v>C</v>
      </c>
    </row>
    <row r="4295">
      <c r="A4295" s="2">
        <v>4294.0</v>
      </c>
      <c r="B4295" s="2">
        <v>20905.0</v>
      </c>
      <c r="C4295" s="2" t="s">
        <v>5407</v>
      </c>
      <c r="D4295" s="2">
        <v>6.35</v>
      </c>
      <c r="E4295" s="2">
        <v>5.0</v>
      </c>
      <c r="F4295" s="2">
        <v>31.75</v>
      </c>
      <c r="G4295" s="4">
        <f t="shared" si="3"/>
        <v>9537484.67</v>
      </c>
      <c r="H4295" s="4">
        <f t="shared" si="1"/>
        <v>0.9992735712</v>
      </c>
      <c r="I4295" s="4" t="str">
        <f t="shared" si="2"/>
        <v>C</v>
      </c>
    </row>
    <row r="4296">
      <c r="A4296" s="2">
        <v>4295.0</v>
      </c>
      <c r="B4296" s="2" t="s">
        <v>5408</v>
      </c>
      <c r="C4296" s="2" t="s">
        <v>5409</v>
      </c>
      <c r="D4296" s="2">
        <v>1.67</v>
      </c>
      <c r="E4296" s="2">
        <v>19.0</v>
      </c>
      <c r="F4296" s="2">
        <v>31.73</v>
      </c>
      <c r="G4296" s="4">
        <f t="shared" si="3"/>
        <v>9537516.4</v>
      </c>
      <c r="H4296" s="4">
        <f t="shared" si="1"/>
        <v>0.9992768957</v>
      </c>
      <c r="I4296" s="4" t="str">
        <f t="shared" si="2"/>
        <v>C</v>
      </c>
    </row>
    <row r="4297">
      <c r="A4297" s="2">
        <v>4296.0</v>
      </c>
      <c r="B4297" s="2" t="s">
        <v>5410</v>
      </c>
      <c r="C4297" s="2" t="s">
        <v>5411</v>
      </c>
      <c r="D4297" s="2">
        <v>3.36</v>
      </c>
      <c r="E4297" s="2">
        <v>13.0</v>
      </c>
      <c r="F4297" s="2">
        <v>31.64</v>
      </c>
      <c r="G4297" s="4">
        <f t="shared" si="3"/>
        <v>9537548.04</v>
      </c>
      <c r="H4297" s="4">
        <f t="shared" si="1"/>
        <v>0.9992802107</v>
      </c>
      <c r="I4297" s="4" t="str">
        <f t="shared" si="2"/>
        <v>C</v>
      </c>
    </row>
    <row r="4298">
      <c r="A4298" s="2">
        <v>4297.0</v>
      </c>
      <c r="B4298" s="2">
        <v>72709.0</v>
      </c>
      <c r="C4298" s="2" t="s">
        <v>5412</v>
      </c>
      <c r="D4298" s="2">
        <v>0.85</v>
      </c>
      <c r="E4298" s="2">
        <v>37.0</v>
      </c>
      <c r="F4298" s="2">
        <v>31.45</v>
      </c>
      <c r="G4298" s="4">
        <f t="shared" si="3"/>
        <v>9537579.49</v>
      </c>
      <c r="H4298" s="4">
        <f t="shared" si="1"/>
        <v>0.9992835058</v>
      </c>
      <c r="I4298" s="4" t="str">
        <f t="shared" si="2"/>
        <v>C</v>
      </c>
    </row>
    <row r="4299">
      <c r="A4299" s="2">
        <v>4298.0</v>
      </c>
      <c r="B4299" s="2" t="s">
        <v>5413</v>
      </c>
      <c r="C4299" s="2" t="s">
        <v>5414</v>
      </c>
      <c r="D4299" s="2">
        <v>4.21</v>
      </c>
      <c r="E4299" s="2">
        <v>6.0</v>
      </c>
      <c r="F4299" s="2">
        <v>31.18</v>
      </c>
      <c r="G4299" s="4">
        <f t="shared" si="3"/>
        <v>9537610.67</v>
      </c>
      <c r="H4299" s="4">
        <f t="shared" si="1"/>
        <v>0.9992867726</v>
      </c>
      <c r="I4299" s="4" t="str">
        <f t="shared" si="2"/>
        <v>C</v>
      </c>
    </row>
    <row r="4300">
      <c r="A4300" s="2">
        <v>4299.0</v>
      </c>
      <c r="B4300" s="2" t="s">
        <v>5415</v>
      </c>
      <c r="C4300" s="2" t="s">
        <v>5416</v>
      </c>
      <c r="D4300" s="2">
        <v>0.19</v>
      </c>
      <c r="E4300" s="2">
        <v>156.0</v>
      </c>
      <c r="F4300" s="2">
        <v>31.15</v>
      </c>
      <c r="G4300" s="4">
        <f t="shared" si="3"/>
        <v>9537641.82</v>
      </c>
      <c r="H4300" s="4">
        <f t="shared" si="1"/>
        <v>0.9992900363</v>
      </c>
      <c r="I4300" s="4" t="str">
        <f t="shared" si="2"/>
        <v>C</v>
      </c>
    </row>
    <row r="4301">
      <c r="A4301" s="2">
        <v>4300.0</v>
      </c>
      <c r="B4301" s="2" t="s">
        <v>5417</v>
      </c>
      <c r="C4301" s="2" t="s">
        <v>5418</v>
      </c>
      <c r="D4301" s="2">
        <v>0.39</v>
      </c>
      <c r="E4301" s="2">
        <v>52.0</v>
      </c>
      <c r="F4301" s="2">
        <v>31.0</v>
      </c>
      <c r="G4301" s="4">
        <f t="shared" si="3"/>
        <v>9537672.82</v>
      </c>
      <c r="H4301" s="4">
        <f t="shared" si="1"/>
        <v>0.9992932843</v>
      </c>
      <c r="I4301" s="4" t="str">
        <f t="shared" si="2"/>
        <v>C</v>
      </c>
    </row>
    <row r="4302">
      <c r="A4302" s="2">
        <v>4301.0</v>
      </c>
      <c r="B4302" s="2" t="s">
        <v>5419</v>
      </c>
      <c r="C4302" s="2" t="s">
        <v>5420</v>
      </c>
      <c r="D4302" s="2">
        <v>0.42</v>
      </c>
      <c r="E4302" s="2">
        <v>64.0</v>
      </c>
      <c r="F4302" s="2">
        <v>30.97</v>
      </c>
      <c r="G4302" s="4">
        <f t="shared" si="3"/>
        <v>9537703.79</v>
      </c>
      <c r="H4302" s="4">
        <f t="shared" si="1"/>
        <v>0.9992965291</v>
      </c>
      <c r="I4302" s="4" t="str">
        <f t="shared" si="2"/>
        <v>C</v>
      </c>
    </row>
    <row r="4303">
      <c r="A4303" s="2">
        <v>4302.0</v>
      </c>
      <c r="B4303" s="2">
        <v>20620.0</v>
      </c>
      <c r="C4303" s="2" t="s">
        <v>5421</v>
      </c>
      <c r="D4303" s="2">
        <v>4.26</v>
      </c>
      <c r="E4303" s="2">
        <v>8.0</v>
      </c>
      <c r="F4303" s="2">
        <v>30.88</v>
      </c>
      <c r="G4303" s="4">
        <f t="shared" si="3"/>
        <v>9537734.67</v>
      </c>
      <c r="H4303" s="4">
        <f t="shared" si="1"/>
        <v>0.9992997645</v>
      </c>
      <c r="I4303" s="4" t="str">
        <f t="shared" si="2"/>
        <v>C</v>
      </c>
    </row>
    <row r="4304">
      <c r="A4304" s="2">
        <v>4303.0</v>
      </c>
      <c r="B4304" s="2" t="s">
        <v>5422</v>
      </c>
      <c r="C4304" s="2" t="s">
        <v>5423</v>
      </c>
      <c r="D4304" s="2">
        <v>2.55</v>
      </c>
      <c r="E4304" s="2">
        <v>72.0</v>
      </c>
      <c r="F4304" s="2">
        <v>30.65</v>
      </c>
      <c r="G4304" s="4">
        <f t="shared" si="3"/>
        <v>9537765.32</v>
      </c>
      <c r="H4304" s="4">
        <f t="shared" si="1"/>
        <v>0.9993029758</v>
      </c>
      <c r="I4304" s="4" t="str">
        <f t="shared" si="2"/>
        <v>C</v>
      </c>
    </row>
    <row r="4305">
      <c r="A4305" s="2">
        <v>4304.0</v>
      </c>
      <c r="B4305" s="2" t="s">
        <v>5424</v>
      </c>
      <c r="C4305" s="2" t="s">
        <v>5425</v>
      </c>
      <c r="D4305" s="2">
        <v>1.95</v>
      </c>
      <c r="E4305" s="2">
        <v>14.0</v>
      </c>
      <c r="F4305" s="2">
        <v>30.54</v>
      </c>
      <c r="G4305" s="4">
        <f t="shared" si="3"/>
        <v>9537795.86</v>
      </c>
      <c r="H4305" s="4">
        <f t="shared" si="1"/>
        <v>0.9993061756</v>
      </c>
      <c r="I4305" s="4" t="str">
        <f t="shared" si="2"/>
        <v>C</v>
      </c>
    </row>
    <row r="4306">
      <c r="A4306" s="2">
        <v>4305.0</v>
      </c>
      <c r="B4306" s="2">
        <v>90188.0</v>
      </c>
      <c r="C4306" s="2" t="s">
        <v>5426</v>
      </c>
      <c r="D4306" s="2">
        <v>2.54</v>
      </c>
      <c r="E4306" s="2">
        <v>12.0</v>
      </c>
      <c r="F4306" s="2">
        <v>30.52</v>
      </c>
      <c r="G4306" s="4">
        <f t="shared" si="3"/>
        <v>9537826.38</v>
      </c>
      <c r="H4306" s="4">
        <f t="shared" si="1"/>
        <v>0.9993093733</v>
      </c>
      <c r="I4306" s="4" t="str">
        <f t="shared" si="2"/>
        <v>C</v>
      </c>
    </row>
    <row r="4307">
      <c r="A4307" s="2">
        <v>4306.0</v>
      </c>
      <c r="B4307" s="2" t="s">
        <v>5427</v>
      </c>
      <c r="C4307" s="2" t="s">
        <v>5428</v>
      </c>
      <c r="D4307" s="2">
        <v>0.85</v>
      </c>
      <c r="E4307" s="2">
        <v>31.0</v>
      </c>
      <c r="F4307" s="2">
        <v>30.5</v>
      </c>
      <c r="G4307" s="4">
        <f t="shared" si="3"/>
        <v>9537856.88</v>
      </c>
      <c r="H4307" s="4">
        <f t="shared" si="1"/>
        <v>0.9993125689</v>
      </c>
      <c r="I4307" s="4" t="str">
        <f t="shared" si="2"/>
        <v>C</v>
      </c>
    </row>
    <row r="4308">
      <c r="A4308" s="2">
        <v>4307.0</v>
      </c>
      <c r="B4308" s="2" t="s">
        <v>5429</v>
      </c>
      <c r="C4308" s="2" t="s">
        <v>5430</v>
      </c>
      <c r="D4308" s="2">
        <v>3.75</v>
      </c>
      <c r="E4308" s="2">
        <v>8.0</v>
      </c>
      <c r="F4308" s="2">
        <v>30.0</v>
      </c>
      <c r="G4308" s="4">
        <f t="shared" si="3"/>
        <v>9537886.88</v>
      </c>
      <c r="H4308" s="4">
        <f t="shared" si="1"/>
        <v>0.9993157121</v>
      </c>
      <c r="I4308" s="4" t="str">
        <f t="shared" si="2"/>
        <v>C</v>
      </c>
    </row>
    <row r="4309">
      <c r="A4309" s="2">
        <v>4308.0</v>
      </c>
      <c r="B4309" s="2">
        <v>90021.0</v>
      </c>
      <c r="C4309" s="2" t="s">
        <v>5431</v>
      </c>
      <c r="D4309" s="2">
        <v>11.95</v>
      </c>
      <c r="E4309" s="2">
        <v>2.0</v>
      </c>
      <c r="F4309" s="2">
        <v>29.88</v>
      </c>
      <c r="G4309" s="4">
        <f t="shared" si="3"/>
        <v>9537916.76</v>
      </c>
      <c r="H4309" s="4">
        <f t="shared" si="1"/>
        <v>0.9993188427</v>
      </c>
      <c r="I4309" s="4" t="str">
        <f t="shared" si="2"/>
        <v>C</v>
      </c>
    </row>
    <row r="4310">
      <c r="A4310" s="2">
        <v>4309.0</v>
      </c>
      <c r="B4310" s="2">
        <v>23629.0</v>
      </c>
      <c r="C4310" s="2" t="s">
        <v>5432</v>
      </c>
      <c r="D4310" s="2">
        <v>2.49</v>
      </c>
      <c r="E4310" s="2">
        <v>12.0</v>
      </c>
      <c r="F4310" s="2">
        <v>29.88</v>
      </c>
      <c r="G4310" s="4">
        <f t="shared" si="3"/>
        <v>9537946.64</v>
      </c>
      <c r="H4310" s="4">
        <f t="shared" si="1"/>
        <v>0.9993219733</v>
      </c>
      <c r="I4310" s="4" t="str">
        <f t="shared" si="2"/>
        <v>C</v>
      </c>
    </row>
    <row r="4311">
      <c r="A4311" s="2">
        <v>4310.0</v>
      </c>
      <c r="B4311" s="2" t="s">
        <v>5433</v>
      </c>
      <c r="C4311" s="2" t="s">
        <v>5434</v>
      </c>
      <c r="D4311" s="2">
        <v>7.95</v>
      </c>
      <c r="E4311" s="2">
        <v>4.0</v>
      </c>
      <c r="F4311" s="2">
        <v>29.88</v>
      </c>
      <c r="G4311" s="4">
        <f t="shared" si="3"/>
        <v>9537976.52</v>
      </c>
      <c r="H4311" s="4">
        <f t="shared" si="1"/>
        <v>0.999325104</v>
      </c>
      <c r="I4311" s="4" t="str">
        <f t="shared" si="2"/>
        <v>C</v>
      </c>
    </row>
    <row r="4312">
      <c r="A4312" s="2">
        <v>4311.0</v>
      </c>
      <c r="B4312" s="2">
        <v>90171.0</v>
      </c>
      <c r="C4312" s="2" t="s">
        <v>5435</v>
      </c>
      <c r="D4312" s="2">
        <v>1.26</v>
      </c>
      <c r="E4312" s="2">
        <v>24.0</v>
      </c>
      <c r="F4312" s="2">
        <v>29.83</v>
      </c>
      <c r="G4312" s="4">
        <f t="shared" si="3"/>
        <v>9538006.35</v>
      </c>
      <c r="H4312" s="4">
        <f t="shared" si="1"/>
        <v>0.9993282293</v>
      </c>
      <c r="I4312" s="4" t="str">
        <f t="shared" si="2"/>
        <v>C</v>
      </c>
    </row>
    <row r="4313">
      <c r="A4313" s="2">
        <v>4312.0</v>
      </c>
      <c r="B4313" s="2" t="s">
        <v>5436</v>
      </c>
      <c r="C4313" s="2" t="s">
        <v>5437</v>
      </c>
      <c r="D4313" s="2">
        <v>0.85</v>
      </c>
      <c r="E4313" s="2">
        <v>35.0</v>
      </c>
      <c r="F4313" s="2">
        <v>29.75</v>
      </c>
      <c r="G4313" s="4">
        <f t="shared" si="3"/>
        <v>9538036.1</v>
      </c>
      <c r="H4313" s="4">
        <f t="shared" si="1"/>
        <v>0.9993313463</v>
      </c>
      <c r="I4313" s="4" t="str">
        <f t="shared" si="2"/>
        <v>C</v>
      </c>
    </row>
    <row r="4314">
      <c r="A4314" s="2">
        <v>4313.0</v>
      </c>
      <c r="B4314" s="2">
        <v>35654.0</v>
      </c>
      <c r="C4314" s="2" t="s">
        <v>5438</v>
      </c>
      <c r="D4314" s="2">
        <v>4.95</v>
      </c>
      <c r="E4314" s="2">
        <v>6.0</v>
      </c>
      <c r="F4314" s="2">
        <v>29.7</v>
      </c>
      <c r="G4314" s="4">
        <f t="shared" si="3"/>
        <v>9538065.8</v>
      </c>
      <c r="H4314" s="4">
        <f t="shared" si="1"/>
        <v>0.9993344581</v>
      </c>
      <c r="I4314" s="4" t="str">
        <f t="shared" si="2"/>
        <v>C</v>
      </c>
    </row>
    <row r="4315">
      <c r="A4315" s="2">
        <v>4314.0</v>
      </c>
      <c r="B4315" s="2" t="s">
        <v>5439</v>
      </c>
      <c r="C4315" s="2" t="s">
        <v>5440</v>
      </c>
      <c r="D4315" s="2">
        <v>3.49</v>
      </c>
      <c r="E4315" s="2">
        <v>8.0</v>
      </c>
      <c r="F4315" s="2">
        <v>29.67</v>
      </c>
      <c r="G4315" s="4">
        <f t="shared" si="3"/>
        <v>9538095.47</v>
      </c>
      <c r="H4315" s="4">
        <f t="shared" si="1"/>
        <v>0.9993375667</v>
      </c>
      <c r="I4315" s="4" t="str">
        <f t="shared" si="2"/>
        <v>C</v>
      </c>
    </row>
    <row r="4316">
      <c r="A4316" s="2">
        <v>4315.0</v>
      </c>
      <c r="B4316" s="2" t="s">
        <v>5441</v>
      </c>
      <c r="C4316" s="2" t="s">
        <v>5442</v>
      </c>
      <c r="D4316" s="2">
        <v>2.95</v>
      </c>
      <c r="E4316" s="2">
        <v>10.0</v>
      </c>
      <c r="F4316" s="2">
        <v>29.53</v>
      </c>
      <c r="G4316" s="4">
        <f t="shared" si="3"/>
        <v>9538125</v>
      </c>
      <c r="H4316" s="4">
        <f t="shared" si="1"/>
        <v>0.9993406607</v>
      </c>
      <c r="I4316" s="4" t="str">
        <f t="shared" si="2"/>
        <v>C</v>
      </c>
    </row>
    <row r="4317">
      <c r="A4317" s="2">
        <v>4316.0</v>
      </c>
      <c r="B4317" s="2" t="s">
        <v>5443</v>
      </c>
      <c r="C4317" s="2" t="s">
        <v>5444</v>
      </c>
      <c r="D4317" s="2">
        <v>2.95</v>
      </c>
      <c r="E4317" s="2">
        <v>10.0</v>
      </c>
      <c r="F4317" s="2">
        <v>29.5</v>
      </c>
      <c r="G4317" s="4">
        <f t="shared" si="3"/>
        <v>9538154.5</v>
      </c>
      <c r="H4317" s="4">
        <f t="shared" si="1"/>
        <v>0.9993437515</v>
      </c>
      <c r="I4317" s="4" t="str">
        <f t="shared" si="2"/>
        <v>C</v>
      </c>
    </row>
    <row r="4318">
      <c r="A4318" s="2">
        <v>4317.0</v>
      </c>
      <c r="B4318" s="2" t="s">
        <v>5445</v>
      </c>
      <c r="C4318" s="2" t="s">
        <v>5446</v>
      </c>
      <c r="D4318" s="2">
        <v>0.85</v>
      </c>
      <c r="E4318" s="2">
        <v>44.0</v>
      </c>
      <c r="F4318" s="2">
        <v>29.42</v>
      </c>
      <c r="G4318" s="4">
        <f t="shared" si="3"/>
        <v>9538183.92</v>
      </c>
      <c r="H4318" s="4">
        <f t="shared" si="1"/>
        <v>0.9993468339</v>
      </c>
      <c r="I4318" s="4" t="str">
        <f t="shared" si="2"/>
        <v>C</v>
      </c>
    </row>
    <row r="4319">
      <c r="A4319" s="2">
        <v>4318.0</v>
      </c>
      <c r="B4319" s="2" t="s">
        <v>5447</v>
      </c>
      <c r="C4319" s="2" t="s">
        <v>5448</v>
      </c>
      <c r="D4319" s="2">
        <v>2.55</v>
      </c>
      <c r="E4319" s="2">
        <v>12.0</v>
      </c>
      <c r="F4319" s="2">
        <v>29.32</v>
      </c>
      <c r="G4319" s="4">
        <f t="shared" si="3"/>
        <v>9538213.24</v>
      </c>
      <c r="H4319" s="4">
        <f t="shared" si="1"/>
        <v>0.9993499059</v>
      </c>
      <c r="I4319" s="4" t="str">
        <f t="shared" si="2"/>
        <v>C</v>
      </c>
    </row>
    <row r="4320">
      <c r="A4320" s="2">
        <v>4319.0</v>
      </c>
      <c r="B4320" s="2" t="s">
        <v>5449</v>
      </c>
      <c r="C4320" s="2" t="s">
        <v>5450</v>
      </c>
      <c r="D4320" s="2">
        <v>2.55</v>
      </c>
      <c r="E4320" s="2">
        <v>12.0</v>
      </c>
      <c r="F4320" s="2">
        <v>29.32</v>
      </c>
      <c r="G4320" s="4">
        <f t="shared" si="3"/>
        <v>9538242.56</v>
      </c>
      <c r="H4320" s="4">
        <f t="shared" si="1"/>
        <v>0.9993529778</v>
      </c>
      <c r="I4320" s="4" t="str">
        <f t="shared" si="2"/>
        <v>C</v>
      </c>
    </row>
    <row r="4321">
      <c r="A4321" s="2">
        <v>4320.0</v>
      </c>
      <c r="B4321" s="2">
        <v>84226.0</v>
      </c>
      <c r="C4321" s="2" t="s">
        <v>5451</v>
      </c>
      <c r="D4321" s="2">
        <v>0.85</v>
      </c>
      <c r="E4321" s="2">
        <v>38.0</v>
      </c>
      <c r="F4321" s="2">
        <v>29.16</v>
      </c>
      <c r="G4321" s="4">
        <f t="shared" si="3"/>
        <v>9538271.72</v>
      </c>
      <c r="H4321" s="4">
        <f t="shared" si="1"/>
        <v>0.999356033</v>
      </c>
      <c r="I4321" s="4" t="str">
        <f t="shared" si="2"/>
        <v>C</v>
      </c>
    </row>
    <row r="4322">
      <c r="A4322" s="2">
        <v>4321.0</v>
      </c>
      <c r="B4322" s="2" t="s">
        <v>5452</v>
      </c>
      <c r="C4322" s="2" t="s">
        <v>5453</v>
      </c>
      <c r="D4322" s="2">
        <v>1.65</v>
      </c>
      <c r="E4322" s="2">
        <v>18.0</v>
      </c>
      <c r="F4322" s="2">
        <v>29.14</v>
      </c>
      <c r="G4322" s="4">
        <f t="shared" si="3"/>
        <v>9538300.86</v>
      </c>
      <c r="H4322" s="4">
        <f t="shared" si="1"/>
        <v>0.9993590861</v>
      </c>
      <c r="I4322" s="4" t="str">
        <f t="shared" si="2"/>
        <v>C</v>
      </c>
    </row>
    <row r="4323">
      <c r="A4323" s="2">
        <v>4322.0</v>
      </c>
      <c r="B4323" s="2" t="s">
        <v>5454</v>
      </c>
      <c r="C4323" s="2" t="s">
        <v>5455</v>
      </c>
      <c r="D4323" s="2">
        <v>1.25</v>
      </c>
      <c r="E4323" s="2">
        <v>70.0</v>
      </c>
      <c r="F4323" s="2">
        <v>29.04</v>
      </c>
      <c r="G4323" s="4">
        <f t="shared" si="3"/>
        <v>9538329.9</v>
      </c>
      <c r="H4323" s="4">
        <f t="shared" si="1"/>
        <v>0.9993621287</v>
      </c>
      <c r="I4323" s="4" t="str">
        <f t="shared" si="2"/>
        <v>C</v>
      </c>
    </row>
    <row r="4324">
      <c r="A4324" s="2">
        <v>4323.0</v>
      </c>
      <c r="B4324" s="2" t="s">
        <v>5456</v>
      </c>
      <c r="C4324" s="2" t="s">
        <v>5457</v>
      </c>
      <c r="D4324" s="2">
        <v>0.38</v>
      </c>
      <c r="E4324" s="2">
        <v>75.0</v>
      </c>
      <c r="F4324" s="2">
        <v>28.5</v>
      </c>
      <c r="G4324" s="4">
        <f t="shared" si="3"/>
        <v>9538358.4</v>
      </c>
      <c r="H4324" s="4">
        <f t="shared" si="1"/>
        <v>0.9993651148</v>
      </c>
      <c r="I4324" s="4" t="str">
        <f t="shared" si="2"/>
        <v>C</v>
      </c>
    </row>
    <row r="4325">
      <c r="A4325" s="2">
        <v>4324.0</v>
      </c>
      <c r="B4325" s="2" t="s">
        <v>5458</v>
      </c>
      <c r="C4325" s="2" t="s">
        <v>5459</v>
      </c>
      <c r="D4325" s="2">
        <v>3.75</v>
      </c>
      <c r="E4325" s="2">
        <v>8.0</v>
      </c>
      <c r="F4325" s="2">
        <v>28.12</v>
      </c>
      <c r="G4325" s="4">
        <f t="shared" si="3"/>
        <v>9538386.52</v>
      </c>
      <c r="H4325" s="4">
        <f t="shared" si="1"/>
        <v>0.999368061</v>
      </c>
      <c r="I4325" s="4" t="str">
        <f t="shared" si="2"/>
        <v>C</v>
      </c>
    </row>
    <row r="4326">
      <c r="A4326" s="2">
        <v>4325.0</v>
      </c>
      <c r="B4326" s="2" t="s">
        <v>5460</v>
      </c>
      <c r="C4326" s="2" t="s">
        <v>5461</v>
      </c>
      <c r="D4326" s="2">
        <v>3.75</v>
      </c>
      <c r="E4326" s="2">
        <v>8.0</v>
      </c>
      <c r="F4326" s="2">
        <v>28.12</v>
      </c>
      <c r="G4326" s="4">
        <f t="shared" si="3"/>
        <v>9538414.64</v>
      </c>
      <c r="H4326" s="4">
        <f t="shared" si="1"/>
        <v>0.9993710072</v>
      </c>
      <c r="I4326" s="4" t="str">
        <f t="shared" si="2"/>
        <v>C</v>
      </c>
    </row>
    <row r="4327">
      <c r="A4327" s="2">
        <v>4326.0</v>
      </c>
      <c r="B4327" s="2">
        <v>85080.0</v>
      </c>
      <c r="C4327" s="2" t="s">
        <v>5462</v>
      </c>
      <c r="D4327" s="2">
        <v>0.42</v>
      </c>
      <c r="E4327" s="2">
        <v>57.0</v>
      </c>
      <c r="F4327" s="2">
        <v>28.09</v>
      </c>
      <c r="G4327" s="4">
        <f t="shared" si="3"/>
        <v>9538442.73</v>
      </c>
      <c r="H4327" s="4">
        <f t="shared" si="1"/>
        <v>0.9993739503</v>
      </c>
      <c r="I4327" s="4" t="str">
        <f t="shared" si="2"/>
        <v>C</v>
      </c>
    </row>
    <row r="4328">
      <c r="A4328" s="2">
        <v>4327.0</v>
      </c>
      <c r="B4328" s="2" t="s">
        <v>5463</v>
      </c>
      <c r="C4328" s="2" t="s">
        <v>5464</v>
      </c>
      <c r="D4328" s="2">
        <v>1.25</v>
      </c>
      <c r="E4328" s="2">
        <v>27.0</v>
      </c>
      <c r="F4328" s="2">
        <v>28.08</v>
      </c>
      <c r="G4328" s="4">
        <f t="shared" si="3"/>
        <v>9538470.81</v>
      </c>
      <c r="H4328" s="4">
        <f t="shared" si="1"/>
        <v>0.9993768923</v>
      </c>
      <c r="I4328" s="4" t="str">
        <f t="shared" si="2"/>
        <v>C</v>
      </c>
    </row>
    <row r="4329">
      <c r="A4329" s="2">
        <v>4328.0</v>
      </c>
      <c r="B4329" s="2" t="s">
        <v>5465</v>
      </c>
      <c r="C4329" s="2" t="s">
        <v>5466</v>
      </c>
      <c r="D4329" s="2">
        <v>2.55</v>
      </c>
      <c r="E4329" s="2">
        <v>11.0</v>
      </c>
      <c r="F4329" s="2">
        <v>28.05</v>
      </c>
      <c r="G4329" s="4">
        <f t="shared" si="3"/>
        <v>9538498.86</v>
      </c>
      <c r="H4329" s="4">
        <f t="shared" si="1"/>
        <v>0.9993798312</v>
      </c>
      <c r="I4329" s="4" t="str">
        <f t="shared" si="2"/>
        <v>C</v>
      </c>
    </row>
    <row r="4330">
      <c r="A4330" s="2">
        <v>4329.0</v>
      </c>
      <c r="B4330" s="2">
        <v>90033.0</v>
      </c>
      <c r="C4330" s="2" t="s">
        <v>5467</v>
      </c>
      <c r="D4330" s="2">
        <v>2.54</v>
      </c>
      <c r="E4330" s="2">
        <v>11.0</v>
      </c>
      <c r="F4330" s="2">
        <v>27.94</v>
      </c>
      <c r="G4330" s="4">
        <f t="shared" si="3"/>
        <v>9538526.8</v>
      </c>
      <c r="H4330" s="4">
        <f t="shared" si="1"/>
        <v>0.9993827586</v>
      </c>
      <c r="I4330" s="4" t="str">
        <f t="shared" si="2"/>
        <v>C</v>
      </c>
    </row>
    <row r="4331">
      <c r="A4331" s="2">
        <v>4330.0</v>
      </c>
      <c r="B4331" s="2" t="s">
        <v>5468</v>
      </c>
      <c r="C4331" s="2" t="s">
        <v>5469</v>
      </c>
      <c r="D4331" s="2">
        <v>1.05</v>
      </c>
      <c r="E4331" s="2">
        <v>28.0</v>
      </c>
      <c r="F4331" s="2">
        <v>27.78</v>
      </c>
      <c r="G4331" s="4">
        <f t="shared" si="3"/>
        <v>9538554.58</v>
      </c>
      <c r="H4331" s="4">
        <f t="shared" si="1"/>
        <v>0.9993856692</v>
      </c>
      <c r="I4331" s="4" t="str">
        <f t="shared" si="2"/>
        <v>C</v>
      </c>
    </row>
    <row r="4332">
      <c r="A4332" s="2">
        <v>4331.0</v>
      </c>
      <c r="B4332" s="2">
        <v>22657.0</v>
      </c>
      <c r="C4332" s="2" t="s">
        <v>5470</v>
      </c>
      <c r="D4332" s="2">
        <v>0.85</v>
      </c>
      <c r="E4332" s="2">
        <v>32.0</v>
      </c>
      <c r="F4332" s="2">
        <v>27.62</v>
      </c>
      <c r="G4332" s="4">
        <f t="shared" si="3"/>
        <v>9538582.2</v>
      </c>
      <c r="H4332" s="4">
        <f t="shared" si="1"/>
        <v>0.999388563</v>
      </c>
      <c r="I4332" s="4" t="str">
        <f t="shared" si="2"/>
        <v>C</v>
      </c>
    </row>
    <row r="4333">
      <c r="A4333" s="2">
        <v>4332.0</v>
      </c>
      <c r="B4333" s="2" t="s">
        <v>5471</v>
      </c>
      <c r="C4333" s="2" t="s">
        <v>5472</v>
      </c>
      <c r="D4333" s="2">
        <v>4.25</v>
      </c>
      <c r="E4333" s="2">
        <v>6.0</v>
      </c>
      <c r="F4333" s="2">
        <v>27.56</v>
      </c>
      <c r="G4333" s="4">
        <f t="shared" si="3"/>
        <v>9538609.76</v>
      </c>
      <c r="H4333" s="4">
        <f t="shared" si="1"/>
        <v>0.9993914506</v>
      </c>
      <c r="I4333" s="4" t="str">
        <f t="shared" si="2"/>
        <v>C</v>
      </c>
    </row>
    <row r="4334">
      <c r="A4334" s="2">
        <v>4333.0</v>
      </c>
      <c r="B4334" s="2">
        <v>85151.0</v>
      </c>
      <c r="C4334" s="2" t="s">
        <v>5473</v>
      </c>
      <c r="D4334" s="2">
        <v>1.25</v>
      </c>
      <c r="E4334" s="2">
        <v>22.0</v>
      </c>
      <c r="F4334" s="2">
        <v>27.5</v>
      </c>
      <c r="G4334" s="4">
        <f t="shared" si="3"/>
        <v>9538637.26</v>
      </c>
      <c r="H4334" s="4">
        <f t="shared" si="1"/>
        <v>0.9993943318</v>
      </c>
      <c r="I4334" s="4" t="str">
        <f t="shared" si="2"/>
        <v>C</v>
      </c>
    </row>
    <row r="4335">
      <c r="A4335" s="2">
        <v>4334.0</v>
      </c>
      <c r="B4335" s="2" t="s">
        <v>5474</v>
      </c>
      <c r="C4335" s="2" t="s">
        <v>5475</v>
      </c>
      <c r="D4335" s="2">
        <v>4.96</v>
      </c>
      <c r="E4335" s="2">
        <v>6.0</v>
      </c>
      <c r="F4335" s="2">
        <v>27.31</v>
      </c>
      <c r="G4335" s="4">
        <f t="shared" si="3"/>
        <v>9538664.57</v>
      </c>
      <c r="H4335" s="4">
        <f t="shared" si="1"/>
        <v>0.9993971932</v>
      </c>
      <c r="I4335" s="4" t="str">
        <f t="shared" si="2"/>
        <v>C</v>
      </c>
    </row>
    <row r="4336">
      <c r="A4336" s="2">
        <v>4335.0</v>
      </c>
      <c r="B4336" s="2" t="s">
        <v>5476</v>
      </c>
      <c r="C4336" s="2" t="s">
        <v>5477</v>
      </c>
      <c r="D4336" s="2">
        <v>4.95</v>
      </c>
      <c r="E4336" s="2">
        <v>6.0</v>
      </c>
      <c r="F4336" s="2">
        <v>27.3</v>
      </c>
      <c r="G4336" s="4">
        <f t="shared" si="3"/>
        <v>9538691.87</v>
      </c>
      <c r="H4336" s="4">
        <f t="shared" si="1"/>
        <v>0.9994000535</v>
      </c>
      <c r="I4336" s="4" t="str">
        <f t="shared" si="2"/>
        <v>C</v>
      </c>
    </row>
    <row r="4337">
      <c r="A4337" s="2">
        <v>4336.0</v>
      </c>
      <c r="B4337" s="2">
        <v>90043.0</v>
      </c>
      <c r="C4337" s="2" t="s">
        <v>5478</v>
      </c>
      <c r="D4337" s="2">
        <v>4.95</v>
      </c>
      <c r="E4337" s="2">
        <v>5.0</v>
      </c>
      <c r="F4337" s="2">
        <v>27.26</v>
      </c>
      <c r="G4337" s="4">
        <f t="shared" si="3"/>
        <v>9538719.13</v>
      </c>
      <c r="H4337" s="4">
        <f t="shared" si="1"/>
        <v>0.9994029096</v>
      </c>
      <c r="I4337" s="4" t="str">
        <f t="shared" si="2"/>
        <v>C</v>
      </c>
    </row>
    <row r="4338">
      <c r="A4338" s="2">
        <v>4337.0</v>
      </c>
      <c r="B4338" s="2">
        <v>90046.0</v>
      </c>
      <c r="C4338" s="2" t="s">
        <v>5479</v>
      </c>
      <c r="D4338" s="2">
        <v>4.95</v>
      </c>
      <c r="E4338" s="2">
        <v>6.0</v>
      </c>
      <c r="F4338" s="2">
        <v>27.22</v>
      </c>
      <c r="G4338" s="4">
        <f t="shared" si="3"/>
        <v>9538746.35</v>
      </c>
      <c r="H4338" s="4">
        <f t="shared" si="1"/>
        <v>0.9994057616</v>
      </c>
      <c r="I4338" s="4" t="str">
        <f t="shared" si="2"/>
        <v>C</v>
      </c>
    </row>
    <row r="4339">
      <c r="A4339" s="2">
        <v>4338.0</v>
      </c>
      <c r="B4339" s="2">
        <v>20820.0</v>
      </c>
      <c r="C4339" s="2" t="s">
        <v>5480</v>
      </c>
      <c r="D4339" s="2">
        <v>4.95</v>
      </c>
      <c r="E4339" s="2">
        <v>6.0</v>
      </c>
      <c r="F4339" s="2">
        <v>27.22</v>
      </c>
      <c r="G4339" s="4">
        <f t="shared" si="3"/>
        <v>9538773.57</v>
      </c>
      <c r="H4339" s="4">
        <f t="shared" si="1"/>
        <v>0.9994086135</v>
      </c>
      <c r="I4339" s="4" t="str">
        <f t="shared" si="2"/>
        <v>C</v>
      </c>
    </row>
    <row r="4340">
      <c r="A4340" s="2">
        <v>4339.0</v>
      </c>
      <c r="B4340" s="2">
        <v>20953.0</v>
      </c>
      <c r="C4340" s="2" t="s">
        <v>5481</v>
      </c>
      <c r="D4340" s="2">
        <v>1.65</v>
      </c>
      <c r="E4340" s="2">
        <v>16.0</v>
      </c>
      <c r="F4340" s="2">
        <v>27.22</v>
      </c>
      <c r="G4340" s="4">
        <f t="shared" si="3"/>
        <v>9538800.79</v>
      </c>
      <c r="H4340" s="4">
        <f t="shared" si="1"/>
        <v>0.9994114654</v>
      </c>
      <c r="I4340" s="4" t="str">
        <f t="shared" si="2"/>
        <v>C</v>
      </c>
    </row>
    <row r="4341">
      <c r="A4341" s="2">
        <v>4340.0</v>
      </c>
      <c r="B4341" s="2" t="s">
        <v>5482</v>
      </c>
      <c r="C4341" s="2" t="s">
        <v>5483</v>
      </c>
      <c r="D4341" s="2">
        <v>0.19</v>
      </c>
      <c r="E4341" s="2">
        <v>143.0</v>
      </c>
      <c r="F4341" s="2">
        <v>27.17</v>
      </c>
      <c r="G4341" s="4">
        <f t="shared" si="3"/>
        <v>9538827.96</v>
      </c>
      <c r="H4341" s="4">
        <f t="shared" si="1"/>
        <v>0.9994143121</v>
      </c>
      <c r="I4341" s="4" t="str">
        <f t="shared" si="2"/>
        <v>C</v>
      </c>
    </row>
    <row r="4342">
      <c r="A4342" s="2">
        <v>4341.0</v>
      </c>
      <c r="B4342" s="2">
        <v>20870.0</v>
      </c>
      <c r="C4342" s="2" t="s">
        <v>5484</v>
      </c>
      <c r="D4342" s="2">
        <v>2.1</v>
      </c>
      <c r="E4342" s="2">
        <v>15.0</v>
      </c>
      <c r="F4342" s="2">
        <v>27.15</v>
      </c>
      <c r="G4342" s="4">
        <f t="shared" si="3"/>
        <v>9538855.11</v>
      </c>
      <c r="H4342" s="4">
        <f t="shared" si="1"/>
        <v>0.9994171567</v>
      </c>
      <c r="I4342" s="4" t="str">
        <f t="shared" si="2"/>
        <v>C</v>
      </c>
    </row>
    <row r="4343">
      <c r="A4343" s="2">
        <v>4342.0</v>
      </c>
      <c r="B4343" s="2" t="s">
        <v>5485</v>
      </c>
      <c r="C4343" s="2" t="s">
        <v>5486</v>
      </c>
      <c r="D4343" s="2">
        <v>0.79</v>
      </c>
      <c r="E4343" s="2">
        <v>32.0</v>
      </c>
      <c r="F4343" s="2">
        <v>27.04</v>
      </c>
      <c r="G4343" s="4">
        <f t="shared" si="3"/>
        <v>9538882.15</v>
      </c>
      <c r="H4343" s="4">
        <f t="shared" si="1"/>
        <v>0.9994199898</v>
      </c>
      <c r="I4343" s="4" t="str">
        <f t="shared" si="2"/>
        <v>C</v>
      </c>
    </row>
    <row r="4344">
      <c r="A4344" s="2">
        <v>4343.0</v>
      </c>
      <c r="B4344" s="2" t="s">
        <v>5487</v>
      </c>
      <c r="C4344" s="2" t="s">
        <v>2743</v>
      </c>
      <c r="D4344" s="2">
        <v>1.66</v>
      </c>
      <c r="E4344" s="2">
        <v>16.0</v>
      </c>
      <c r="F4344" s="2">
        <v>26.77</v>
      </c>
      <c r="G4344" s="4">
        <f t="shared" si="3"/>
        <v>9538908.92</v>
      </c>
      <c r="H4344" s="4">
        <f t="shared" si="1"/>
        <v>0.9994227946</v>
      </c>
      <c r="I4344" s="4" t="str">
        <f t="shared" si="2"/>
        <v>C</v>
      </c>
    </row>
    <row r="4345">
      <c r="A4345" s="2">
        <v>4344.0</v>
      </c>
      <c r="B4345" s="2" t="s">
        <v>5488</v>
      </c>
      <c r="C4345" s="2" t="s">
        <v>2991</v>
      </c>
      <c r="D4345" s="2">
        <v>7.62</v>
      </c>
      <c r="E4345" s="2">
        <v>4.0</v>
      </c>
      <c r="F4345" s="2">
        <v>26.59</v>
      </c>
      <c r="G4345" s="4">
        <f t="shared" si="3"/>
        <v>9538935.51</v>
      </c>
      <c r="H4345" s="4">
        <f t="shared" si="1"/>
        <v>0.9994255805</v>
      </c>
      <c r="I4345" s="4" t="str">
        <f t="shared" si="2"/>
        <v>C</v>
      </c>
    </row>
    <row r="4346">
      <c r="A4346" s="2">
        <v>4345.0</v>
      </c>
      <c r="B4346" s="2" t="s">
        <v>5489</v>
      </c>
      <c r="C4346" s="2" t="s">
        <v>5490</v>
      </c>
      <c r="D4346" s="2">
        <v>1.65</v>
      </c>
      <c r="E4346" s="2">
        <v>14.0</v>
      </c>
      <c r="F4346" s="2">
        <v>26.56</v>
      </c>
      <c r="G4346" s="4">
        <f t="shared" si="3"/>
        <v>9538962.07</v>
      </c>
      <c r="H4346" s="4">
        <f t="shared" si="1"/>
        <v>0.9994283633</v>
      </c>
      <c r="I4346" s="4" t="str">
        <f t="shared" si="2"/>
        <v>C</v>
      </c>
    </row>
    <row r="4347">
      <c r="A4347" s="2">
        <v>4346.0</v>
      </c>
      <c r="B4347" s="2" t="s">
        <v>5491</v>
      </c>
      <c r="C4347" s="2" t="s">
        <v>5492</v>
      </c>
      <c r="D4347" s="2">
        <v>2.9</v>
      </c>
      <c r="E4347" s="2">
        <v>9.0</v>
      </c>
      <c r="F4347" s="2">
        <v>26.4</v>
      </c>
      <c r="G4347" s="4">
        <f t="shared" si="3"/>
        <v>9538988.47</v>
      </c>
      <c r="H4347" s="4">
        <f t="shared" si="1"/>
        <v>0.9994311293</v>
      </c>
      <c r="I4347" s="4" t="str">
        <f t="shared" si="2"/>
        <v>C</v>
      </c>
    </row>
    <row r="4348">
      <c r="A4348" s="2">
        <v>4347.0</v>
      </c>
      <c r="B4348" s="2" t="s">
        <v>5493</v>
      </c>
      <c r="C4348" s="2" t="s">
        <v>3068</v>
      </c>
      <c r="D4348" s="2">
        <v>7.62</v>
      </c>
      <c r="E4348" s="2">
        <v>4.0</v>
      </c>
      <c r="F4348" s="2">
        <v>26.35</v>
      </c>
      <c r="G4348" s="4">
        <f t="shared" si="3"/>
        <v>9539014.82</v>
      </c>
      <c r="H4348" s="4">
        <f t="shared" si="1"/>
        <v>0.9994338901</v>
      </c>
      <c r="I4348" s="4" t="str">
        <f t="shared" si="2"/>
        <v>C</v>
      </c>
    </row>
    <row r="4349">
      <c r="A4349" s="2">
        <v>4348.0</v>
      </c>
      <c r="B4349" s="2" t="s">
        <v>5494</v>
      </c>
      <c r="C4349" s="2" t="s">
        <v>5495</v>
      </c>
      <c r="D4349" s="2">
        <v>1.25</v>
      </c>
      <c r="E4349" s="2">
        <v>21.0</v>
      </c>
      <c r="F4349" s="2">
        <v>26.25</v>
      </c>
      <c r="G4349" s="4">
        <f t="shared" si="3"/>
        <v>9539041.07</v>
      </c>
      <c r="H4349" s="4">
        <f t="shared" si="1"/>
        <v>0.9994366403</v>
      </c>
      <c r="I4349" s="4" t="str">
        <f t="shared" si="2"/>
        <v>C</v>
      </c>
    </row>
    <row r="4350">
      <c r="A4350" s="2">
        <v>4349.0</v>
      </c>
      <c r="B4350" s="2" t="s">
        <v>5496</v>
      </c>
      <c r="C4350" s="2" t="s">
        <v>5497</v>
      </c>
      <c r="D4350" s="2">
        <v>5.06</v>
      </c>
      <c r="E4350" s="2">
        <v>5.0</v>
      </c>
      <c r="F4350" s="2">
        <v>25.63</v>
      </c>
      <c r="G4350" s="4">
        <f t="shared" si="3"/>
        <v>9539066.7</v>
      </c>
      <c r="H4350" s="4">
        <f t="shared" si="1"/>
        <v>0.9994393257</v>
      </c>
      <c r="I4350" s="4" t="str">
        <f t="shared" si="2"/>
        <v>C</v>
      </c>
    </row>
    <row r="4351">
      <c r="A4351" s="2">
        <v>4350.0</v>
      </c>
      <c r="B4351" s="2" t="s">
        <v>5498</v>
      </c>
      <c r="C4351" s="2" t="s">
        <v>5499</v>
      </c>
      <c r="D4351" s="2">
        <v>1.25</v>
      </c>
      <c r="E4351" s="2">
        <v>20.0</v>
      </c>
      <c r="F4351" s="2">
        <v>25.62</v>
      </c>
      <c r="G4351" s="4">
        <f t="shared" si="3"/>
        <v>9539092.32</v>
      </c>
      <c r="H4351" s="4">
        <f t="shared" si="1"/>
        <v>0.99944201</v>
      </c>
      <c r="I4351" s="4" t="str">
        <f t="shared" si="2"/>
        <v>C</v>
      </c>
    </row>
    <row r="4352">
      <c r="A4352" s="2">
        <v>4351.0</v>
      </c>
      <c r="B4352" s="2">
        <v>35071.0</v>
      </c>
      <c r="C4352" s="2" t="s">
        <v>5500</v>
      </c>
      <c r="D4352" s="2">
        <v>0.85</v>
      </c>
      <c r="E4352" s="2">
        <v>25.0</v>
      </c>
      <c r="F4352" s="2">
        <v>25.57</v>
      </c>
      <c r="G4352" s="4">
        <f t="shared" si="3"/>
        <v>9539117.89</v>
      </c>
      <c r="H4352" s="4">
        <f t="shared" si="1"/>
        <v>0.999444689</v>
      </c>
      <c r="I4352" s="4" t="str">
        <f t="shared" si="2"/>
        <v>C</v>
      </c>
    </row>
    <row r="4353">
      <c r="A4353" s="2">
        <v>4352.0</v>
      </c>
      <c r="B4353" s="2" t="s">
        <v>5501</v>
      </c>
      <c r="C4353" s="2" t="s">
        <v>5502</v>
      </c>
      <c r="D4353" s="2">
        <v>2.55</v>
      </c>
      <c r="E4353" s="2">
        <v>10.0</v>
      </c>
      <c r="F4353" s="2">
        <v>25.5</v>
      </c>
      <c r="G4353" s="4">
        <f t="shared" si="3"/>
        <v>9539143.39</v>
      </c>
      <c r="H4353" s="4">
        <f t="shared" si="1"/>
        <v>0.9994473608</v>
      </c>
      <c r="I4353" s="4" t="str">
        <f t="shared" si="2"/>
        <v>C</v>
      </c>
    </row>
    <row r="4354">
      <c r="A4354" s="2">
        <v>4353.0</v>
      </c>
      <c r="B4354" s="2">
        <v>20964.0</v>
      </c>
      <c r="C4354" s="2" t="s">
        <v>5503</v>
      </c>
      <c r="D4354" s="2">
        <v>2.55</v>
      </c>
      <c r="E4354" s="2">
        <v>10.0</v>
      </c>
      <c r="F4354" s="2">
        <v>25.5</v>
      </c>
      <c r="G4354" s="4">
        <f t="shared" si="3"/>
        <v>9539168.89</v>
      </c>
      <c r="H4354" s="4">
        <f t="shared" si="1"/>
        <v>0.9994500325</v>
      </c>
      <c r="I4354" s="4" t="str">
        <f t="shared" si="2"/>
        <v>C</v>
      </c>
    </row>
    <row r="4355">
      <c r="A4355" s="2">
        <v>4354.0</v>
      </c>
      <c r="B4355" s="2" t="s">
        <v>5504</v>
      </c>
      <c r="C4355" s="2" t="s">
        <v>925</v>
      </c>
      <c r="D4355" s="2">
        <v>25.49</v>
      </c>
      <c r="E4355" s="2">
        <v>1.0</v>
      </c>
      <c r="F4355" s="2">
        <v>25.49</v>
      </c>
      <c r="G4355" s="4">
        <f t="shared" si="3"/>
        <v>9539194.38</v>
      </c>
      <c r="H4355" s="4">
        <f t="shared" si="1"/>
        <v>0.9994527031</v>
      </c>
      <c r="I4355" s="4" t="str">
        <f t="shared" si="2"/>
        <v>C</v>
      </c>
    </row>
    <row r="4356">
      <c r="A4356" s="2">
        <v>4355.0</v>
      </c>
      <c r="B4356" s="2" t="s">
        <v>5505</v>
      </c>
      <c r="C4356" s="2" t="s">
        <v>1337</v>
      </c>
      <c r="D4356" s="2">
        <v>25.49</v>
      </c>
      <c r="E4356" s="2">
        <v>1.0</v>
      </c>
      <c r="F4356" s="2">
        <v>25.49</v>
      </c>
      <c r="G4356" s="4">
        <f t="shared" si="3"/>
        <v>9539219.87</v>
      </c>
      <c r="H4356" s="4">
        <f t="shared" si="1"/>
        <v>0.9994553738</v>
      </c>
      <c r="I4356" s="4" t="str">
        <f t="shared" si="2"/>
        <v>C</v>
      </c>
    </row>
    <row r="4357">
      <c r="A4357" s="2">
        <v>4356.0</v>
      </c>
      <c r="B4357" s="2" t="s">
        <v>5506</v>
      </c>
      <c r="C4357" s="2" t="s">
        <v>1690</v>
      </c>
      <c r="D4357" s="2">
        <v>8.47</v>
      </c>
      <c r="E4357" s="2">
        <v>3.0</v>
      </c>
      <c r="F4357" s="2">
        <v>25.41</v>
      </c>
      <c r="G4357" s="4">
        <f t="shared" si="3"/>
        <v>9539245.28</v>
      </c>
      <c r="H4357" s="4">
        <f t="shared" si="1"/>
        <v>0.9994580361</v>
      </c>
      <c r="I4357" s="4" t="str">
        <f t="shared" si="2"/>
        <v>C</v>
      </c>
    </row>
    <row r="4358">
      <c r="A4358" s="2">
        <v>4357.0</v>
      </c>
      <c r="B4358" s="2" t="s">
        <v>5507</v>
      </c>
      <c r="C4358" s="2" t="s">
        <v>2787</v>
      </c>
      <c r="D4358" s="2">
        <v>5.06</v>
      </c>
      <c r="E4358" s="2">
        <v>5.0</v>
      </c>
      <c r="F4358" s="2">
        <v>25.3</v>
      </c>
      <c r="G4358" s="4">
        <f t="shared" si="3"/>
        <v>9539270.58</v>
      </c>
      <c r="H4358" s="4">
        <f t="shared" si="1"/>
        <v>0.9994606869</v>
      </c>
      <c r="I4358" s="4" t="str">
        <f t="shared" si="2"/>
        <v>C</v>
      </c>
    </row>
    <row r="4359">
      <c r="A4359" s="2">
        <v>4358.0</v>
      </c>
      <c r="B4359" s="2">
        <v>90034.0</v>
      </c>
      <c r="C4359" s="2" t="s">
        <v>5508</v>
      </c>
      <c r="D4359" s="2">
        <v>9.98</v>
      </c>
      <c r="E4359" s="2">
        <v>2.0</v>
      </c>
      <c r="F4359" s="2">
        <v>25.24</v>
      </c>
      <c r="G4359" s="4">
        <f t="shared" si="3"/>
        <v>9539295.82</v>
      </c>
      <c r="H4359" s="4">
        <f t="shared" si="1"/>
        <v>0.9994633313</v>
      </c>
      <c r="I4359" s="4" t="str">
        <f t="shared" si="2"/>
        <v>C</v>
      </c>
    </row>
    <row r="4360">
      <c r="A4360" s="2">
        <v>4359.0</v>
      </c>
      <c r="B4360" s="2" t="s">
        <v>5509</v>
      </c>
      <c r="C4360" s="2" t="s">
        <v>5510</v>
      </c>
      <c r="D4360" s="2">
        <v>2.1</v>
      </c>
      <c r="E4360" s="2">
        <v>12.0</v>
      </c>
      <c r="F4360" s="2">
        <v>25.2</v>
      </c>
      <c r="G4360" s="4">
        <f t="shared" si="3"/>
        <v>9539321.02</v>
      </c>
      <c r="H4360" s="4">
        <f t="shared" si="1"/>
        <v>0.9994659716</v>
      </c>
      <c r="I4360" s="4" t="str">
        <f t="shared" si="2"/>
        <v>C</v>
      </c>
    </row>
    <row r="4361">
      <c r="A4361" s="2">
        <v>4360.0</v>
      </c>
      <c r="B4361" s="2" t="s">
        <v>5511</v>
      </c>
      <c r="C4361" s="2" t="s">
        <v>5512</v>
      </c>
      <c r="D4361" s="2">
        <v>4.95</v>
      </c>
      <c r="E4361" s="2">
        <v>5.0</v>
      </c>
      <c r="F4361" s="2">
        <v>25.03</v>
      </c>
      <c r="G4361" s="4">
        <f t="shared" si="3"/>
        <v>9539346.05</v>
      </c>
      <c r="H4361" s="4">
        <f t="shared" si="1"/>
        <v>0.9994685941</v>
      </c>
      <c r="I4361" s="4" t="str">
        <f t="shared" si="2"/>
        <v>C</v>
      </c>
    </row>
    <row r="4362">
      <c r="A4362" s="2">
        <v>4361.0</v>
      </c>
      <c r="B4362" s="2">
        <v>23603.0</v>
      </c>
      <c r="C4362" s="2" t="s">
        <v>5513</v>
      </c>
      <c r="D4362" s="2">
        <v>2.49</v>
      </c>
      <c r="E4362" s="2">
        <v>10.0</v>
      </c>
      <c r="F4362" s="2">
        <v>24.9</v>
      </c>
      <c r="G4362" s="4">
        <f t="shared" si="3"/>
        <v>9539370.95</v>
      </c>
      <c r="H4362" s="4">
        <f t="shared" si="1"/>
        <v>0.999471203</v>
      </c>
      <c r="I4362" s="4" t="str">
        <f t="shared" si="2"/>
        <v>C</v>
      </c>
    </row>
    <row r="4363">
      <c r="A4363" s="2">
        <v>4362.0</v>
      </c>
      <c r="B4363" s="2">
        <v>72129.0</v>
      </c>
      <c r="C4363" s="2" t="s">
        <v>3876</v>
      </c>
      <c r="D4363" s="2">
        <v>0.65</v>
      </c>
      <c r="E4363" s="2">
        <v>38.0</v>
      </c>
      <c r="F4363" s="2">
        <v>24.88</v>
      </c>
      <c r="G4363" s="4">
        <f t="shared" si="3"/>
        <v>9539395.83</v>
      </c>
      <c r="H4363" s="4">
        <f t="shared" si="1"/>
        <v>0.9994738097</v>
      </c>
      <c r="I4363" s="4" t="str">
        <f t="shared" si="2"/>
        <v>C</v>
      </c>
    </row>
    <row r="4364">
      <c r="A4364" s="2">
        <v>4363.0</v>
      </c>
      <c r="B4364" s="2">
        <v>90052.0</v>
      </c>
      <c r="C4364" s="2" t="s">
        <v>5514</v>
      </c>
      <c r="D4364" s="2">
        <v>7.07</v>
      </c>
      <c r="E4364" s="2">
        <v>4.0</v>
      </c>
      <c r="F4364" s="2">
        <v>24.79</v>
      </c>
      <c r="G4364" s="4">
        <f t="shared" si="3"/>
        <v>9539420.62</v>
      </c>
      <c r="H4364" s="4">
        <f t="shared" si="1"/>
        <v>0.999476407</v>
      </c>
      <c r="I4364" s="4" t="str">
        <f t="shared" si="2"/>
        <v>C</v>
      </c>
    </row>
    <row r="4365">
      <c r="A4365" s="2">
        <v>4364.0</v>
      </c>
      <c r="B4365" s="2" t="s">
        <v>5515</v>
      </c>
      <c r="C4365" s="2" t="s">
        <v>5516</v>
      </c>
      <c r="D4365" s="2">
        <v>0.42</v>
      </c>
      <c r="E4365" s="2">
        <v>58.0</v>
      </c>
      <c r="F4365" s="2">
        <v>24.57</v>
      </c>
      <c r="G4365" s="4">
        <f t="shared" si="3"/>
        <v>9539445.19</v>
      </c>
      <c r="H4365" s="4">
        <f t="shared" si="1"/>
        <v>0.9994789813</v>
      </c>
      <c r="I4365" s="4" t="str">
        <f t="shared" si="2"/>
        <v>C</v>
      </c>
    </row>
    <row r="4366">
      <c r="A4366" s="2">
        <v>4365.0</v>
      </c>
      <c r="B4366" s="2" t="s">
        <v>5517</v>
      </c>
      <c r="C4366" s="2" t="s">
        <v>5518</v>
      </c>
      <c r="D4366" s="2">
        <v>0.42</v>
      </c>
      <c r="E4366" s="2">
        <v>58.0</v>
      </c>
      <c r="F4366" s="2">
        <v>24.57</v>
      </c>
      <c r="G4366" s="4">
        <f t="shared" si="3"/>
        <v>9539469.76</v>
      </c>
      <c r="H4366" s="4">
        <f t="shared" si="1"/>
        <v>0.9994815556</v>
      </c>
      <c r="I4366" s="4" t="str">
        <f t="shared" si="2"/>
        <v>C</v>
      </c>
    </row>
    <row r="4367">
      <c r="A4367" s="2">
        <v>4366.0</v>
      </c>
      <c r="B4367" s="2">
        <v>35644.0</v>
      </c>
      <c r="C4367" s="2" t="s">
        <v>5519</v>
      </c>
      <c r="D4367" s="2">
        <v>1.95</v>
      </c>
      <c r="E4367" s="2">
        <v>12.0</v>
      </c>
      <c r="F4367" s="2">
        <v>24.38</v>
      </c>
      <c r="G4367" s="4">
        <f t="shared" si="3"/>
        <v>9539494.14</v>
      </c>
      <c r="H4367" s="4">
        <f t="shared" si="1"/>
        <v>0.99948411</v>
      </c>
      <c r="I4367" s="4" t="str">
        <f t="shared" si="2"/>
        <v>C</v>
      </c>
    </row>
    <row r="4368">
      <c r="A4368" s="2">
        <v>4367.0</v>
      </c>
      <c r="B4368" s="2" t="s">
        <v>5520</v>
      </c>
      <c r="C4368" s="2" t="s">
        <v>5521</v>
      </c>
      <c r="D4368" s="2">
        <v>1.25</v>
      </c>
      <c r="E4368" s="2">
        <v>16.0</v>
      </c>
      <c r="F4368" s="2">
        <v>24.36</v>
      </c>
      <c r="G4368" s="4">
        <f t="shared" si="3"/>
        <v>9539518.5</v>
      </c>
      <c r="H4368" s="4">
        <f t="shared" si="1"/>
        <v>0.9994866623</v>
      </c>
      <c r="I4368" s="4" t="str">
        <f t="shared" si="2"/>
        <v>C</v>
      </c>
    </row>
    <row r="4369">
      <c r="A4369" s="2">
        <v>4368.0</v>
      </c>
      <c r="B4369" s="2" t="s">
        <v>5522</v>
      </c>
      <c r="C4369" s="2" t="s">
        <v>5523</v>
      </c>
      <c r="D4369" s="2">
        <v>0.39</v>
      </c>
      <c r="E4369" s="2">
        <v>24.0</v>
      </c>
      <c r="F4369" s="2">
        <v>24.26</v>
      </c>
      <c r="G4369" s="4">
        <f t="shared" si="3"/>
        <v>9539542.76</v>
      </c>
      <c r="H4369" s="4">
        <f t="shared" si="1"/>
        <v>0.9994892041</v>
      </c>
      <c r="I4369" s="4" t="str">
        <f t="shared" si="2"/>
        <v>C</v>
      </c>
    </row>
    <row r="4370">
      <c r="A4370" s="2">
        <v>4369.0</v>
      </c>
      <c r="B4370" s="2" t="s">
        <v>5524</v>
      </c>
      <c r="C4370" s="2" t="s">
        <v>5525</v>
      </c>
      <c r="D4370" s="2">
        <v>3.29</v>
      </c>
      <c r="E4370" s="2">
        <v>9.0</v>
      </c>
      <c r="F4370" s="2">
        <v>24.15</v>
      </c>
      <c r="G4370" s="4">
        <f t="shared" si="3"/>
        <v>9539566.91</v>
      </c>
      <c r="H4370" s="4">
        <f t="shared" si="1"/>
        <v>0.9994917343</v>
      </c>
      <c r="I4370" s="4" t="str">
        <f t="shared" si="2"/>
        <v>C</v>
      </c>
    </row>
    <row r="4371">
      <c r="A4371" s="2">
        <v>4370.0</v>
      </c>
      <c r="B4371" s="2" t="s">
        <v>5526</v>
      </c>
      <c r="C4371" s="2" t="s">
        <v>5527</v>
      </c>
      <c r="D4371" s="2">
        <v>0.42</v>
      </c>
      <c r="E4371" s="2">
        <v>42.0</v>
      </c>
      <c r="F4371" s="2">
        <v>24.15</v>
      </c>
      <c r="G4371" s="4">
        <f t="shared" si="3"/>
        <v>9539591.06</v>
      </c>
      <c r="H4371" s="4">
        <f t="shared" si="1"/>
        <v>0.9994942646</v>
      </c>
      <c r="I4371" s="4" t="str">
        <f t="shared" si="2"/>
        <v>C</v>
      </c>
    </row>
    <row r="4372">
      <c r="A4372" s="2">
        <v>4371.0</v>
      </c>
      <c r="B4372" s="2">
        <v>90083.0</v>
      </c>
      <c r="C4372" s="2" t="s">
        <v>5528</v>
      </c>
      <c r="D4372" s="2">
        <v>1.63</v>
      </c>
      <c r="E4372" s="2">
        <v>26.0</v>
      </c>
      <c r="F4372" s="2">
        <v>24.04</v>
      </c>
      <c r="G4372" s="4">
        <f t="shared" si="3"/>
        <v>9539615.1</v>
      </c>
      <c r="H4372" s="4">
        <f t="shared" si="1"/>
        <v>0.9994967834</v>
      </c>
      <c r="I4372" s="4" t="str">
        <f t="shared" si="2"/>
        <v>C</v>
      </c>
    </row>
    <row r="4373">
      <c r="A4373" s="2">
        <v>4372.0</v>
      </c>
      <c r="B4373" s="2">
        <v>84608.0</v>
      </c>
      <c r="C4373" s="2" t="s">
        <v>5529</v>
      </c>
      <c r="D4373" s="2">
        <v>7.95</v>
      </c>
      <c r="E4373" s="2">
        <v>3.0</v>
      </c>
      <c r="F4373" s="2">
        <v>23.85</v>
      </c>
      <c r="G4373" s="4">
        <f t="shared" si="3"/>
        <v>9539638.95</v>
      </c>
      <c r="H4373" s="4">
        <f t="shared" si="1"/>
        <v>0.9994992822</v>
      </c>
      <c r="I4373" s="4" t="str">
        <f t="shared" si="2"/>
        <v>C</v>
      </c>
    </row>
    <row r="4374">
      <c r="A4374" s="2">
        <v>4373.0</v>
      </c>
      <c r="B4374" s="2">
        <v>21347.0</v>
      </c>
      <c r="C4374" s="2" t="s">
        <v>5530</v>
      </c>
      <c r="D4374" s="2">
        <v>5.95</v>
      </c>
      <c r="E4374" s="2">
        <v>4.0</v>
      </c>
      <c r="F4374" s="2">
        <v>23.8</v>
      </c>
      <c r="G4374" s="4">
        <f t="shared" si="3"/>
        <v>9539662.75</v>
      </c>
      <c r="H4374" s="4">
        <f t="shared" si="1"/>
        <v>0.9995017758</v>
      </c>
      <c r="I4374" s="4" t="str">
        <f t="shared" si="2"/>
        <v>C</v>
      </c>
    </row>
    <row r="4375">
      <c r="A4375" s="2">
        <v>4374.0</v>
      </c>
      <c r="B4375" s="2">
        <v>85081.0</v>
      </c>
      <c r="C4375" s="2" t="s">
        <v>5531</v>
      </c>
      <c r="D4375" s="2">
        <v>0.42</v>
      </c>
      <c r="E4375" s="2">
        <v>54.0</v>
      </c>
      <c r="F4375" s="2">
        <v>23.72</v>
      </c>
      <c r="G4375" s="4">
        <f t="shared" si="3"/>
        <v>9539686.47</v>
      </c>
      <c r="H4375" s="4">
        <f t="shared" si="1"/>
        <v>0.999504261</v>
      </c>
      <c r="I4375" s="4" t="str">
        <f t="shared" si="2"/>
        <v>C</v>
      </c>
    </row>
    <row r="4376">
      <c r="A4376" s="2">
        <v>4375.0</v>
      </c>
      <c r="B4376" s="2" t="s">
        <v>5532</v>
      </c>
      <c r="C4376" s="2" t="s">
        <v>5425</v>
      </c>
      <c r="D4376" s="2">
        <v>2.95</v>
      </c>
      <c r="E4376" s="2">
        <v>8.0</v>
      </c>
      <c r="F4376" s="2">
        <v>23.6</v>
      </c>
      <c r="G4376" s="4">
        <f t="shared" si="3"/>
        <v>9539710.07</v>
      </c>
      <c r="H4376" s="4">
        <f t="shared" si="1"/>
        <v>0.9995067337</v>
      </c>
      <c r="I4376" s="4" t="str">
        <f t="shared" si="2"/>
        <v>C</v>
      </c>
    </row>
    <row r="4377">
      <c r="A4377" s="2">
        <v>4376.0</v>
      </c>
      <c r="B4377" s="2">
        <v>20895.0</v>
      </c>
      <c r="C4377" s="2" t="s">
        <v>5533</v>
      </c>
      <c r="D4377" s="2">
        <v>2.95</v>
      </c>
      <c r="E4377" s="2">
        <v>8.0</v>
      </c>
      <c r="F4377" s="2">
        <v>23.6</v>
      </c>
      <c r="G4377" s="4">
        <f t="shared" si="3"/>
        <v>9539733.67</v>
      </c>
      <c r="H4377" s="4">
        <f t="shared" si="1"/>
        <v>0.9995092063</v>
      </c>
      <c r="I4377" s="4" t="str">
        <f t="shared" si="2"/>
        <v>C</v>
      </c>
    </row>
    <row r="4378">
      <c r="A4378" s="2">
        <v>4377.0</v>
      </c>
      <c r="B4378" s="2" t="s">
        <v>5534</v>
      </c>
      <c r="C4378" s="2" t="s">
        <v>5535</v>
      </c>
      <c r="D4378" s="2">
        <v>2.95</v>
      </c>
      <c r="E4378" s="2">
        <v>8.0</v>
      </c>
      <c r="F4378" s="2">
        <v>23.56</v>
      </c>
      <c r="G4378" s="4">
        <f t="shared" si="3"/>
        <v>9539757.23</v>
      </c>
      <c r="H4378" s="4">
        <f t="shared" si="1"/>
        <v>0.9995116748</v>
      </c>
      <c r="I4378" s="4" t="str">
        <f t="shared" si="2"/>
        <v>C</v>
      </c>
    </row>
    <row r="4379">
      <c r="A4379" s="2">
        <v>4378.0</v>
      </c>
      <c r="B4379" s="2" t="s">
        <v>5536</v>
      </c>
      <c r="C4379" s="2" t="s">
        <v>5537</v>
      </c>
      <c r="D4379" s="2">
        <v>0.83</v>
      </c>
      <c r="E4379" s="2">
        <v>54.0</v>
      </c>
      <c r="F4379" s="2">
        <v>23.56</v>
      </c>
      <c r="G4379" s="4">
        <f t="shared" si="3"/>
        <v>9539780.79</v>
      </c>
      <c r="H4379" s="4">
        <f t="shared" si="1"/>
        <v>0.9995141432</v>
      </c>
      <c r="I4379" s="4" t="str">
        <f t="shared" si="2"/>
        <v>C</v>
      </c>
    </row>
    <row r="4380">
      <c r="A4380" s="2">
        <v>4379.0</v>
      </c>
      <c r="B4380" s="2">
        <v>84227.0</v>
      </c>
      <c r="C4380" s="2" t="s">
        <v>5538</v>
      </c>
      <c r="D4380" s="2">
        <v>0.42</v>
      </c>
      <c r="E4380" s="2">
        <v>56.0</v>
      </c>
      <c r="F4380" s="2">
        <v>23.52</v>
      </c>
      <c r="G4380" s="4">
        <f t="shared" si="3"/>
        <v>9539804.31</v>
      </c>
      <c r="H4380" s="4">
        <f t="shared" si="1"/>
        <v>0.9995166075</v>
      </c>
      <c r="I4380" s="4" t="str">
        <f t="shared" si="2"/>
        <v>C</v>
      </c>
    </row>
    <row r="4381">
      <c r="A4381" s="2">
        <v>4380.0</v>
      </c>
      <c r="B4381" s="2">
        <v>20952.0</v>
      </c>
      <c r="C4381" s="2" t="s">
        <v>5539</v>
      </c>
      <c r="D4381" s="2">
        <v>0.42</v>
      </c>
      <c r="E4381" s="2">
        <v>41.0</v>
      </c>
      <c r="F4381" s="2">
        <v>23.49</v>
      </c>
      <c r="G4381" s="4">
        <f t="shared" si="3"/>
        <v>9539827.8</v>
      </c>
      <c r="H4381" s="4">
        <f t="shared" si="1"/>
        <v>0.9995190686</v>
      </c>
      <c r="I4381" s="4" t="str">
        <f t="shared" si="2"/>
        <v>C</v>
      </c>
    </row>
    <row r="4382">
      <c r="A4382" s="2">
        <v>4381.0</v>
      </c>
      <c r="B4382" s="2" t="s">
        <v>5540</v>
      </c>
      <c r="C4382" s="2" t="s">
        <v>5541</v>
      </c>
      <c r="D4382" s="2">
        <v>9.34</v>
      </c>
      <c r="E4382" s="2">
        <v>2.0</v>
      </c>
      <c r="F4382" s="2">
        <v>23.46</v>
      </c>
      <c r="G4382" s="4">
        <f t="shared" si="3"/>
        <v>9539851.26</v>
      </c>
      <c r="H4382" s="4">
        <f t="shared" si="1"/>
        <v>0.9995215266</v>
      </c>
      <c r="I4382" s="4" t="str">
        <f t="shared" si="2"/>
        <v>C</v>
      </c>
    </row>
    <row r="4383">
      <c r="A4383" s="2">
        <v>4382.0</v>
      </c>
      <c r="B4383" s="2" t="s">
        <v>5542</v>
      </c>
      <c r="C4383" s="2" t="s">
        <v>1444</v>
      </c>
      <c r="D4383" s="2">
        <v>2.46</v>
      </c>
      <c r="E4383" s="2">
        <v>10.0</v>
      </c>
      <c r="F4383" s="2">
        <v>23.44</v>
      </c>
      <c r="G4383" s="4">
        <f t="shared" si="3"/>
        <v>9539874.7</v>
      </c>
      <c r="H4383" s="4">
        <f t="shared" si="1"/>
        <v>0.9995239825</v>
      </c>
      <c r="I4383" s="4" t="str">
        <f t="shared" si="2"/>
        <v>C</v>
      </c>
    </row>
    <row r="4384">
      <c r="A4384" s="2">
        <v>4383.0</v>
      </c>
      <c r="B4384" s="2" t="s">
        <v>5543</v>
      </c>
      <c r="C4384" s="2" t="s">
        <v>5544</v>
      </c>
      <c r="D4384" s="2">
        <v>1.95</v>
      </c>
      <c r="E4384" s="2">
        <v>12.0</v>
      </c>
      <c r="F4384" s="2">
        <v>23.4</v>
      </c>
      <c r="G4384" s="4">
        <f t="shared" si="3"/>
        <v>9539898.1</v>
      </c>
      <c r="H4384" s="4">
        <f t="shared" si="1"/>
        <v>0.9995264342</v>
      </c>
      <c r="I4384" s="4" t="str">
        <f t="shared" si="2"/>
        <v>C</v>
      </c>
    </row>
    <row r="4385">
      <c r="A4385" s="2">
        <v>4384.0</v>
      </c>
      <c r="B4385" s="2">
        <v>20988.0</v>
      </c>
      <c r="C4385" s="2" t="s">
        <v>5545</v>
      </c>
      <c r="D4385" s="2">
        <v>1.95</v>
      </c>
      <c r="E4385" s="2">
        <v>12.0</v>
      </c>
      <c r="F4385" s="2">
        <v>23.4</v>
      </c>
      <c r="G4385" s="4">
        <f t="shared" si="3"/>
        <v>9539921.5</v>
      </c>
      <c r="H4385" s="4">
        <f t="shared" si="1"/>
        <v>0.9995288859</v>
      </c>
      <c r="I4385" s="4" t="str">
        <f t="shared" si="2"/>
        <v>C</v>
      </c>
    </row>
    <row r="4386">
      <c r="A4386" s="2">
        <v>4385.0</v>
      </c>
      <c r="B4386" s="2" t="s">
        <v>5546</v>
      </c>
      <c r="C4386" s="2" t="s">
        <v>5547</v>
      </c>
      <c r="D4386" s="2">
        <v>4.25</v>
      </c>
      <c r="E4386" s="2">
        <v>6.0</v>
      </c>
      <c r="F4386" s="2">
        <v>23.35</v>
      </c>
      <c r="G4386" s="4">
        <f t="shared" si="3"/>
        <v>9539944.85</v>
      </c>
      <c r="H4386" s="4">
        <f t="shared" si="1"/>
        <v>0.9995313323</v>
      </c>
      <c r="I4386" s="4" t="str">
        <f t="shared" si="2"/>
        <v>C</v>
      </c>
    </row>
    <row r="4387">
      <c r="A4387" s="2">
        <v>4386.0</v>
      </c>
      <c r="B4387" s="2" t="s">
        <v>5548</v>
      </c>
      <c r="C4387" s="2" t="s">
        <v>5549</v>
      </c>
      <c r="D4387" s="2">
        <v>4.25</v>
      </c>
      <c r="E4387" s="2">
        <v>6.0</v>
      </c>
      <c r="F4387" s="2">
        <v>23.3</v>
      </c>
      <c r="G4387" s="4">
        <f t="shared" si="3"/>
        <v>9539968.15</v>
      </c>
      <c r="H4387" s="4">
        <f t="shared" si="1"/>
        <v>0.9995337736</v>
      </c>
      <c r="I4387" s="4" t="str">
        <f t="shared" si="2"/>
        <v>C</v>
      </c>
    </row>
    <row r="4388">
      <c r="A4388" s="2">
        <v>4387.0</v>
      </c>
      <c r="B4388" s="2" t="s">
        <v>5550</v>
      </c>
      <c r="C4388" s="2" t="s">
        <v>5551</v>
      </c>
      <c r="D4388" s="2">
        <v>4.65</v>
      </c>
      <c r="E4388" s="2">
        <v>5.0</v>
      </c>
      <c r="F4388" s="2">
        <v>23.25</v>
      </c>
      <c r="G4388" s="4">
        <f t="shared" si="3"/>
        <v>9539991.4</v>
      </c>
      <c r="H4388" s="4">
        <f t="shared" si="1"/>
        <v>0.9995362095</v>
      </c>
      <c r="I4388" s="4" t="str">
        <f t="shared" si="2"/>
        <v>C</v>
      </c>
    </row>
    <row r="4389">
      <c r="A4389" s="2">
        <v>4388.0</v>
      </c>
      <c r="B4389" s="2">
        <v>16050.0</v>
      </c>
      <c r="C4389" s="2" t="s">
        <v>5552</v>
      </c>
      <c r="D4389" s="2">
        <v>0.4</v>
      </c>
      <c r="E4389" s="2">
        <v>76.0</v>
      </c>
      <c r="F4389" s="2">
        <v>23.22</v>
      </c>
      <c r="G4389" s="4">
        <f t="shared" si="3"/>
        <v>9540014.62</v>
      </c>
      <c r="H4389" s="4">
        <f t="shared" si="1"/>
        <v>0.9995386424</v>
      </c>
      <c r="I4389" s="4" t="str">
        <f t="shared" si="2"/>
        <v>C</v>
      </c>
    </row>
    <row r="4390">
      <c r="A4390" s="2">
        <v>4389.0</v>
      </c>
      <c r="B4390" s="2" t="s">
        <v>5553</v>
      </c>
      <c r="C4390" s="2" t="s">
        <v>5554</v>
      </c>
      <c r="D4390" s="2">
        <v>1.25</v>
      </c>
      <c r="E4390" s="2">
        <v>14.0</v>
      </c>
      <c r="F4390" s="2">
        <v>23.12</v>
      </c>
      <c r="G4390" s="4">
        <f t="shared" si="3"/>
        <v>9540037.74</v>
      </c>
      <c r="H4390" s="4">
        <f t="shared" si="1"/>
        <v>0.9995410647</v>
      </c>
      <c r="I4390" s="4" t="str">
        <f t="shared" si="2"/>
        <v>C</v>
      </c>
    </row>
    <row r="4391">
      <c r="A4391" s="2">
        <v>4390.0</v>
      </c>
      <c r="B4391" s="2" t="s">
        <v>5555</v>
      </c>
      <c r="C4391" s="2" t="s">
        <v>5556</v>
      </c>
      <c r="D4391" s="2">
        <v>0.21</v>
      </c>
      <c r="E4391" s="2">
        <v>110.0</v>
      </c>
      <c r="F4391" s="2">
        <v>23.1</v>
      </c>
      <c r="G4391" s="4">
        <f t="shared" si="3"/>
        <v>9540060.84</v>
      </c>
      <c r="H4391" s="4">
        <f t="shared" si="1"/>
        <v>0.999543485</v>
      </c>
      <c r="I4391" s="4" t="str">
        <f t="shared" si="2"/>
        <v>C</v>
      </c>
    </row>
    <row r="4392">
      <c r="A4392" s="2">
        <v>4391.0</v>
      </c>
      <c r="B4392" s="2" t="s">
        <v>5557</v>
      </c>
      <c r="C4392" s="2" t="s">
        <v>915</v>
      </c>
      <c r="D4392" s="2">
        <v>8.29</v>
      </c>
      <c r="E4392" s="2">
        <v>2.0</v>
      </c>
      <c r="F4392" s="2">
        <v>23.05</v>
      </c>
      <c r="G4392" s="4">
        <f t="shared" si="3"/>
        <v>9540083.89</v>
      </c>
      <c r="H4392" s="4">
        <f t="shared" si="1"/>
        <v>0.9995459</v>
      </c>
      <c r="I4392" s="4" t="str">
        <f t="shared" si="2"/>
        <v>C</v>
      </c>
    </row>
    <row r="4393">
      <c r="A4393" s="2">
        <v>4392.0</v>
      </c>
      <c r="B4393" s="2">
        <v>84626.0</v>
      </c>
      <c r="C4393" s="2" t="s">
        <v>5558</v>
      </c>
      <c r="D4393" s="2">
        <v>45.95</v>
      </c>
      <c r="E4393" s="2">
        <v>0.0</v>
      </c>
      <c r="F4393" s="2">
        <v>22.98</v>
      </c>
      <c r="G4393" s="4">
        <f t="shared" si="3"/>
        <v>9540106.87</v>
      </c>
      <c r="H4393" s="4">
        <f t="shared" si="1"/>
        <v>0.9995483077</v>
      </c>
      <c r="I4393" s="4" t="str">
        <f t="shared" si="2"/>
        <v>C</v>
      </c>
    </row>
    <row r="4394">
      <c r="A4394" s="2">
        <v>4393.0</v>
      </c>
      <c r="B4394" s="2" t="s">
        <v>5559</v>
      </c>
      <c r="C4394" s="2" t="s">
        <v>5560</v>
      </c>
      <c r="D4394" s="2">
        <v>2.55</v>
      </c>
      <c r="E4394" s="2">
        <v>9.0</v>
      </c>
      <c r="F4394" s="2">
        <v>22.95</v>
      </c>
      <c r="G4394" s="4">
        <f t="shared" si="3"/>
        <v>9540129.82</v>
      </c>
      <c r="H4394" s="4">
        <f t="shared" si="1"/>
        <v>0.9995507123</v>
      </c>
      <c r="I4394" s="4" t="str">
        <f t="shared" si="2"/>
        <v>C</v>
      </c>
    </row>
    <row r="4395">
      <c r="A4395" s="2">
        <v>4394.0</v>
      </c>
      <c r="B4395" s="2" t="s">
        <v>5561</v>
      </c>
      <c r="C4395" s="2" t="s">
        <v>5562</v>
      </c>
      <c r="D4395" s="2">
        <v>0.38</v>
      </c>
      <c r="E4395" s="2">
        <v>31.0</v>
      </c>
      <c r="F4395" s="2">
        <v>22.88</v>
      </c>
      <c r="G4395" s="4">
        <f t="shared" si="3"/>
        <v>9540152.7</v>
      </c>
      <c r="H4395" s="4">
        <f t="shared" si="1"/>
        <v>0.9995531095</v>
      </c>
      <c r="I4395" s="4" t="str">
        <f t="shared" si="2"/>
        <v>C</v>
      </c>
    </row>
    <row r="4396">
      <c r="A4396" s="2">
        <v>4395.0</v>
      </c>
      <c r="B4396" s="2" t="s">
        <v>5563</v>
      </c>
      <c r="C4396" s="2" t="s">
        <v>5564</v>
      </c>
      <c r="D4396" s="2">
        <v>0.1</v>
      </c>
      <c r="E4396" s="2">
        <v>225.0</v>
      </c>
      <c r="F4396" s="2">
        <v>22.5</v>
      </c>
      <c r="G4396" s="4">
        <f t="shared" si="3"/>
        <v>9540175.2</v>
      </c>
      <c r="H4396" s="4">
        <f t="shared" si="1"/>
        <v>0.9995554669</v>
      </c>
      <c r="I4396" s="4" t="str">
        <f t="shared" si="2"/>
        <v>C</v>
      </c>
    </row>
    <row r="4397">
      <c r="A4397" s="2">
        <v>4396.0</v>
      </c>
      <c r="B4397" s="2">
        <v>35233.0</v>
      </c>
      <c r="C4397" s="2" t="s">
        <v>5565</v>
      </c>
      <c r="D4397" s="2">
        <v>3.75</v>
      </c>
      <c r="E4397" s="2">
        <v>6.0</v>
      </c>
      <c r="F4397" s="2">
        <v>22.5</v>
      </c>
      <c r="G4397" s="4">
        <f t="shared" si="3"/>
        <v>9540197.7</v>
      </c>
      <c r="H4397" s="4">
        <f t="shared" si="1"/>
        <v>0.9995578243</v>
      </c>
      <c r="I4397" s="4" t="str">
        <f t="shared" si="2"/>
        <v>C</v>
      </c>
    </row>
    <row r="4398">
      <c r="A4398" s="2">
        <v>4397.0</v>
      </c>
      <c r="B4398" s="2">
        <v>72724.0</v>
      </c>
      <c r="C4398" s="2" t="s">
        <v>5566</v>
      </c>
      <c r="D4398" s="2">
        <v>1.25</v>
      </c>
      <c r="E4398" s="2">
        <v>18.0</v>
      </c>
      <c r="F4398" s="2">
        <v>22.5</v>
      </c>
      <c r="G4398" s="4">
        <f t="shared" si="3"/>
        <v>9540220.2</v>
      </c>
      <c r="H4398" s="4">
        <f t="shared" si="1"/>
        <v>0.9995601817</v>
      </c>
      <c r="I4398" s="4" t="str">
        <f t="shared" si="2"/>
        <v>C</v>
      </c>
    </row>
    <row r="4399">
      <c r="A4399" s="2">
        <v>4398.0</v>
      </c>
      <c r="B4399" s="2">
        <v>23625.0</v>
      </c>
      <c r="C4399" s="2" t="s">
        <v>5567</v>
      </c>
      <c r="D4399" s="2">
        <v>4.99</v>
      </c>
      <c r="E4399" s="2">
        <v>4.0</v>
      </c>
      <c r="F4399" s="2">
        <v>22.46</v>
      </c>
      <c r="G4399" s="4">
        <f t="shared" si="3"/>
        <v>9540242.66</v>
      </c>
      <c r="H4399" s="4">
        <f t="shared" si="1"/>
        <v>0.9995625349</v>
      </c>
      <c r="I4399" s="4" t="str">
        <f t="shared" si="2"/>
        <v>C</v>
      </c>
    </row>
    <row r="4400">
      <c r="A4400" s="2">
        <v>4399.0</v>
      </c>
      <c r="B4400" s="2">
        <v>21685.0</v>
      </c>
      <c r="C4400" s="2" t="s">
        <v>5568</v>
      </c>
      <c r="D4400" s="2">
        <v>14.95</v>
      </c>
      <c r="E4400" s="2">
        <v>2.0</v>
      </c>
      <c r="F4400" s="2">
        <v>22.42</v>
      </c>
      <c r="G4400" s="4">
        <f t="shared" si="3"/>
        <v>9540265.08</v>
      </c>
      <c r="H4400" s="4">
        <f t="shared" si="1"/>
        <v>0.9995648839</v>
      </c>
      <c r="I4400" s="4" t="str">
        <f t="shared" si="2"/>
        <v>C</v>
      </c>
    </row>
    <row r="4401">
      <c r="A4401" s="2">
        <v>4400.0</v>
      </c>
      <c r="B4401" s="2">
        <v>90135.0</v>
      </c>
      <c r="C4401" s="2" t="s">
        <v>5569</v>
      </c>
      <c r="D4401" s="2">
        <v>4.98</v>
      </c>
      <c r="E4401" s="2">
        <v>4.0</v>
      </c>
      <c r="F4401" s="2">
        <v>22.38</v>
      </c>
      <c r="G4401" s="4">
        <f t="shared" si="3"/>
        <v>9540287.46</v>
      </c>
      <c r="H4401" s="4">
        <f t="shared" si="1"/>
        <v>0.9995672287</v>
      </c>
      <c r="I4401" s="4" t="str">
        <f t="shared" si="2"/>
        <v>C</v>
      </c>
    </row>
    <row r="4402">
      <c r="A4402" s="2">
        <v>4401.0</v>
      </c>
      <c r="B4402" s="2" t="s">
        <v>5570</v>
      </c>
      <c r="C4402" s="2" t="s">
        <v>5571</v>
      </c>
      <c r="D4402" s="2">
        <v>4.95</v>
      </c>
      <c r="E4402" s="2">
        <v>4.0</v>
      </c>
      <c r="F4402" s="2">
        <v>22.28</v>
      </c>
      <c r="G4402" s="4">
        <f t="shared" si="3"/>
        <v>9540309.74</v>
      </c>
      <c r="H4402" s="4">
        <f t="shared" si="1"/>
        <v>0.9995695631</v>
      </c>
      <c r="I4402" s="4" t="str">
        <f t="shared" si="2"/>
        <v>C</v>
      </c>
    </row>
    <row r="4403">
      <c r="A4403" s="2">
        <v>4402.0</v>
      </c>
      <c r="B4403" s="2" t="s">
        <v>5572</v>
      </c>
      <c r="C4403" s="2" t="s">
        <v>5573</v>
      </c>
      <c r="D4403" s="2">
        <v>1.65</v>
      </c>
      <c r="E4403" s="2">
        <v>14.0</v>
      </c>
      <c r="F4403" s="2">
        <v>22.28</v>
      </c>
      <c r="G4403" s="4">
        <f t="shared" si="3"/>
        <v>9540332.02</v>
      </c>
      <c r="H4403" s="4">
        <f t="shared" si="1"/>
        <v>0.9995718974</v>
      </c>
      <c r="I4403" s="4" t="str">
        <f t="shared" si="2"/>
        <v>C</v>
      </c>
    </row>
    <row r="4404">
      <c r="A4404" s="2">
        <v>4403.0</v>
      </c>
      <c r="B4404" s="2" t="s">
        <v>5574</v>
      </c>
      <c r="C4404" s="2" t="s">
        <v>5575</v>
      </c>
      <c r="D4404" s="2">
        <v>2.96</v>
      </c>
      <c r="E4404" s="2">
        <v>8.0</v>
      </c>
      <c r="F4404" s="2">
        <v>22.14</v>
      </c>
      <c r="G4404" s="4">
        <f t="shared" si="3"/>
        <v>9540354.16</v>
      </c>
      <c r="H4404" s="4">
        <f t="shared" si="1"/>
        <v>0.9995742171</v>
      </c>
      <c r="I4404" s="4" t="str">
        <f t="shared" si="2"/>
        <v>C</v>
      </c>
    </row>
    <row r="4405">
      <c r="A4405" s="2">
        <v>4404.0</v>
      </c>
      <c r="B4405" s="2" t="s">
        <v>5576</v>
      </c>
      <c r="C4405" s="2" t="s">
        <v>5577</v>
      </c>
      <c r="D4405" s="2">
        <v>2.95</v>
      </c>
      <c r="E4405" s="2">
        <v>8.0</v>
      </c>
      <c r="F4405" s="2">
        <v>22.13</v>
      </c>
      <c r="G4405" s="4">
        <f t="shared" si="3"/>
        <v>9540376.29</v>
      </c>
      <c r="H4405" s="4">
        <f t="shared" si="1"/>
        <v>0.9995765357</v>
      </c>
      <c r="I4405" s="4" t="str">
        <f t="shared" si="2"/>
        <v>C</v>
      </c>
    </row>
    <row r="4406">
      <c r="A4406" s="2">
        <v>4405.0</v>
      </c>
      <c r="B4406" s="2" t="s">
        <v>5578</v>
      </c>
      <c r="C4406" s="2" t="s">
        <v>5579</v>
      </c>
      <c r="D4406" s="2">
        <v>1.25</v>
      </c>
      <c r="E4406" s="2">
        <v>20.0</v>
      </c>
      <c r="F4406" s="2">
        <v>22.12</v>
      </c>
      <c r="G4406" s="4">
        <f t="shared" si="3"/>
        <v>9540398.41</v>
      </c>
      <c r="H4406" s="4">
        <f t="shared" si="1"/>
        <v>0.9995788533</v>
      </c>
      <c r="I4406" s="4" t="str">
        <f t="shared" si="2"/>
        <v>C</v>
      </c>
    </row>
    <row r="4407">
      <c r="A4407" s="2">
        <v>4406.0</v>
      </c>
      <c r="B4407" s="2">
        <v>90084.0</v>
      </c>
      <c r="C4407" s="2" t="s">
        <v>5580</v>
      </c>
      <c r="D4407" s="2">
        <v>0.85</v>
      </c>
      <c r="E4407" s="2">
        <v>26.0</v>
      </c>
      <c r="F4407" s="2">
        <v>22.1</v>
      </c>
      <c r="G4407" s="4">
        <f t="shared" si="3"/>
        <v>9540420.51</v>
      </c>
      <c r="H4407" s="4">
        <f t="shared" si="1"/>
        <v>0.9995811688</v>
      </c>
      <c r="I4407" s="4" t="str">
        <f t="shared" si="2"/>
        <v>C</v>
      </c>
    </row>
    <row r="4408">
      <c r="A4408" s="2">
        <v>4407.0</v>
      </c>
      <c r="B4408" s="2" t="s">
        <v>5581</v>
      </c>
      <c r="C4408" s="2" t="s">
        <v>5582</v>
      </c>
      <c r="D4408" s="2">
        <v>2.1</v>
      </c>
      <c r="E4408" s="2">
        <v>9.0</v>
      </c>
      <c r="F4408" s="2">
        <v>22.1</v>
      </c>
      <c r="G4408" s="4">
        <f t="shared" si="3"/>
        <v>9540442.61</v>
      </c>
      <c r="H4408" s="4">
        <f t="shared" si="1"/>
        <v>0.9995834843</v>
      </c>
      <c r="I4408" s="4" t="str">
        <f t="shared" si="2"/>
        <v>C</v>
      </c>
    </row>
    <row r="4409">
      <c r="A4409" s="2">
        <v>4408.0</v>
      </c>
      <c r="B4409" s="2" t="s">
        <v>5583</v>
      </c>
      <c r="C4409" s="2" t="s">
        <v>5423</v>
      </c>
      <c r="D4409" s="2">
        <v>0.38</v>
      </c>
      <c r="E4409" s="2">
        <v>48.0</v>
      </c>
      <c r="F4409" s="2">
        <v>21.97</v>
      </c>
      <c r="G4409" s="4">
        <f t="shared" si="3"/>
        <v>9540464.58</v>
      </c>
      <c r="H4409" s="4">
        <f t="shared" si="1"/>
        <v>0.9995857862</v>
      </c>
      <c r="I4409" s="4" t="str">
        <f t="shared" si="2"/>
        <v>C</v>
      </c>
    </row>
    <row r="4410">
      <c r="A4410" s="2">
        <v>4409.0</v>
      </c>
      <c r="B4410" s="2" t="s">
        <v>5584</v>
      </c>
      <c r="C4410" s="2" t="s">
        <v>5585</v>
      </c>
      <c r="D4410" s="2">
        <v>1.92</v>
      </c>
      <c r="E4410" s="2">
        <v>48.0</v>
      </c>
      <c r="F4410" s="2">
        <v>21.88</v>
      </c>
      <c r="G4410" s="4">
        <f t="shared" si="3"/>
        <v>9540486.46</v>
      </c>
      <c r="H4410" s="4">
        <f t="shared" si="1"/>
        <v>0.9995880786</v>
      </c>
      <c r="I4410" s="4" t="str">
        <f t="shared" si="2"/>
        <v>C</v>
      </c>
    </row>
    <row r="4411">
      <c r="A4411" s="2">
        <v>4410.0</v>
      </c>
      <c r="B4411" s="2" t="s">
        <v>5586</v>
      </c>
      <c r="C4411" s="2" t="s">
        <v>5587</v>
      </c>
      <c r="D4411" s="2">
        <v>0.19</v>
      </c>
      <c r="E4411" s="2">
        <v>118.0</v>
      </c>
      <c r="F4411" s="2">
        <v>21.82</v>
      </c>
      <c r="G4411" s="4">
        <f t="shared" si="3"/>
        <v>9540508.28</v>
      </c>
      <c r="H4411" s="4">
        <f t="shared" si="1"/>
        <v>0.9995903648</v>
      </c>
      <c r="I4411" s="4" t="str">
        <f t="shared" si="2"/>
        <v>C</v>
      </c>
    </row>
    <row r="4412">
      <c r="A4412" s="2">
        <v>4411.0</v>
      </c>
      <c r="B4412" s="2" t="s">
        <v>5588</v>
      </c>
      <c r="C4412" s="2" t="s">
        <v>5589</v>
      </c>
      <c r="D4412" s="2">
        <v>2.55</v>
      </c>
      <c r="E4412" s="2">
        <v>8.0</v>
      </c>
      <c r="F4412" s="2">
        <v>21.67</v>
      </c>
      <c r="G4412" s="4">
        <f t="shared" si="3"/>
        <v>9540529.95</v>
      </c>
      <c r="H4412" s="4">
        <f t="shared" si="1"/>
        <v>0.9995926352</v>
      </c>
      <c r="I4412" s="4" t="str">
        <f t="shared" si="2"/>
        <v>C</v>
      </c>
    </row>
    <row r="4413">
      <c r="A4413" s="2">
        <v>4412.0</v>
      </c>
      <c r="B4413" s="2" t="s">
        <v>5590</v>
      </c>
      <c r="C4413" s="2" t="s">
        <v>5591</v>
      </c>
      <c r="D4413" s="2">
        <v>0.38</v>
      </c>
      <c r="E4413" s="2">
        <v>57.0</v>
      </c>
      <c r="F4413" s="2">
        <v>21.66</v>
      </c>
      <c r="G4413" s="4">
        <f t="shared" si="3"/>
        <v>9540551.61</v>
      </c>
      <c r="H4413" s="4">
        <f t="shared" si="1"/>
        <v>0.9995949046</v>
      </c>
      <c r="I4413" s="4" t="str">
        <f t="shared" si="2"/>
        <v>C</v>
      </c>
    </row>
    <row r="4414">
      <c r="A4414" s="2">
        <v>4413.0</v>
      </c>
      <c r="B4414" s="2">
        <v>90054.0</v>
      </c>
      <c r="C4414" s="2" t="s">
        <v>5592</v>
      </c>
      <c r="D4414" s="2">
        <v>2.54</v>
      </c>
      <c r="E4414" s="2">
        <v>8.0</v>
      </c>
      <c r="F4414" s="2">
        <v>21.51</v>
      </c>
      <c r="G4414" s="4">
        <f t="shared" si="3"/>
        <v>9540573.12</v>
      </c>
      <c r="H4414" s="4">
        <f t="shared" si="1"/>
        <v>0.9995971583</v>
      </c>
      <c r="I4414" s="4" t="str">
        <f t="shared" si="2"/>
        <v>C</v>
      </c>
    </row>
    <row r="4415">
      <c r="A4415" s="2">
        <v>4414.0</v>
      </c>
      <c r="B4415" s="2">
        <v>23038.0</v>
      </c>
      <c r="C4415" s="2" t="s">
        <v>5593</v>
      </c>
      <c r="D4415" s="2">
        <v>1.63</v>
      </c>
      <c r="E4415" s="2">
        <v>22.0</v>
      </c>
      <c r="F4415" s="2">
        <v>21.46</v>
      </c>
      <c r="G4415" s="4">
        <f t="shared" si="3"/>
        <v>9540594.58</v>
      </c>
      <c r="H4415" s="4">
        <f t="shared" si="1"/>
        <v>0.9995994067</v>
      </c>
      <c r="I4415" s="4" t="str">
        <f t="shared" si="2"/>
        <v>C</v>
      </c>
    </row>
    <row r="4416">
      <c r="A4416" s="2">
        <v>4415.0</v>
      </c>
      <c r="B4416" s="2" t="s">
        <v>5594</v>
      </c>
      <c r="C4416" s="2" t="s">
        <v>2604</v>
      </c>
      <c r="D4416" s="2">
        <v>1.64</v>
      </c>
      <c r="E4416" s="2">
        <v>13.0</v>
      </c>
      <c r="F4416" s="2">
        <v>21.36</v>
      </c>
      <c r="G4416" s="4">
        <f t="shared" si="3"/>
        <v>9540615.94</v>
      </c>
      <c r="H4416" s="4">
        <f t="shared" si="1"/>
        <v>0.9996016446</v>
      </c>
      <c r="I4416" s="4" t="str">
        <f t="shared" si="2"/>
        <v>C</v>
      </c>
    </row>
    <row r="4417">
      <c r="A4417" s="2">
        <v>4416.0</v>
      </c>
      <c r="B4417" s="2" t="s">
        <v>5595</v>
      </c>
      <c r="C4417" s="2" t="s">
        <v>3432</v>
      </c>
      <c r="D4417" s="2">
        <v>0.83</v>
      </c>
      <c r="E4417" s="2">
        <v>26.0</v>
      </c>
      <c r="F4417" s="2">
        <v>21.36</v>
      </c>
      <c r="G4417" s="4">
        <f t="shared" si="3"/>
        <v>9540637.3</v>
      </c>
      <c r="H4417" s="4">
        <f t="shared" si="1"/>
        <v>0.9996038826</v>
      </c>
      <c r="I4417" s="4" t="str">
        <f t="shared" si="2"/>
        <v>C</v>
      </c>
    </row>
    <row r="4418">
      <c r="A4418" s="2">
        <v>4417.0</v>
      </c>
      <c r="B4418" s="2">
        <v>21596.0</v>
      </c>
      <c r="C4418" s="2" t="s">
        <v>5596</v>
      </c>
      <c r="D4418" s="2">
        <v>4.3</v>
      </c>
      <c r="E4418" s="2">
        <v>5.0</v>
      </c>
      <c r="F4418" s="2">
        <v>21.32</v>
      </c>
      <c r="G4418" s="4">
        <f t="shared" si="3"/>
        <v>9540658.62</v>
      </c>
      <c r="H4418" s="4">
        <f t="shared" si="1"/>
        <v>0.9996061164</v>
      </c>
      <c r="I4418" s="4" t="str">
        <f t="shared" si="2"/>
        <v>C</v>
      </c>
    </row>
    <row r="4419">
      <c r="A4419" s="2">
        <v>4418.0</v>
      </c>
      <c r="B4419" s="2" t="s">
        <v>5597</v>
      </c>
      <c r="C4419" s="2" t="s">
        <v>5598</v>
      </c>
      <c r="D4419" s="2">
        <v>8.5</v>
      </c>
      <c r="E4419" s="2">
        <v>2.0</v>
      </c>
      <c r="F4419" s="2">
        <v>21.25</v>
      </c>
      <c r="G4419" s="4">
        <f t="shared" si="3"/>
        <v>9540679.87</v>
      </c>
      <c r="H4419" s="4">
        <f t="shared" si="1"/>
        <v>0.9996083428</v>
      </c>
      <c r="I4419" s="4" t="str">
        <f t="shared" si="2"/>
        <v>C</v>
      </c>
    </row>
    <row r="4420">
      <c r="A4420" s="2">
        <v>4419.0</v>
      </c>
      <c r="B4420" s="2" t="s">
        <v>5599</v>
      </c>
      <c r="C4420" s="2" t="s">
        <v>5600</v>
      </c>
      <c r="D4420" s="2">
        <v>3.29</v>
      </c>
      <c r="E4420" s="2">
        <v>10.0</v>
      </c>
      <c r="F4420" s="2">
        <v>21.05</v>
      </c>
      <c r="G4420" s="4">
        <f t="shared" si="3"/>
        <v>9540700.92</v>
      </c>
      <c r="H4420" s="4">
        <f t="shared" si="1"/>
        <v>0.9996105483</v>
      </c>
      <c r="I4420" s="4" t="str">
        <f t="shared" si="2"/>
        <v>C</v>
      </c>
    </row>
    <row r="4421">
      <c r="A4421" s="2">
        <v>4420.0</v>
      </c>
      <c r="B4421" s="2" t="s">
        <v>5601</v>
      </c>
      <c r="C4421" s="2" t="s">
        <v>5602</v>
      </c>
      <c r="D4421" s="2">
        <v>0.42</v>
      </c>
      <c r="E4421" s="2">
        <v>27.0</v>
      </c>
      <c r="F4421" s="2">
        <v>21.04</v>
      </c>
      <c r="G4421" s="4">
        <f t="shared" si="3"/>
        <v>9540721.96</v>
      </c>
      <c r="H4421" s="4">
        <f t="shared" si="1"/>
        <v>0.9996127527</v>
      </c>
      <c r="I4421" s="4" t="str">
        <f t="shared" si="2"/>
        <v>C</v>
      </c>
    </row>
    <row r="4422">
      <c r="A4422" s="2">
        <v>4421.0</v>
      </c>
      <c r="B4422" s="2">
        <v>20860.0</v>
      </c>
      <c r="C4422" s="2" t="s">
        <v>5603</v>
      </c>
      <c r="D4422" s="2">
        <v>2.1</v>
      </c>
      <c r="E4422" s="2">
        <v>10.0</v>
      </c>
      <c r="F4422" s="2">
        <v>21.0</v>
      </c>
      <c r="G4422" s="4">
        <f t="shared" si="3"/>
        <v>9540742.96</v>
      </c>
      <c r="H4422" s="4">
        <f t="shared" si="1"/>
        <v>0.9996149529</v>
      </c>
      <c r="I4422" s="4" t="str">
        <f t="shared" si="2"/>
        <v>C</v>
      </c>
    </row>
    <row r="4423">
      <c r="A4423" s="2">
        <v>4422.0</v>
      </c>
      <c r="B4423" s="2" t="s">
        <v>5604</v>
      </c>
      <c r="C4423" s="2" t="s">
        <v>839</v>
      </c>
      <c r="D4423" s="2">
        <v>8.29</v>
      </c>
      <c r="E4423" s="2">
        <v>2.0</v>
      </c>
      <c r="F4423" s="2">
        <v>20.9</v>
      </c>
      <c r="G4423" s="4">
        <f t="shared" si="3"/>
        <v>9540763.86</v>
      </c>
      <c r="H4423" s="4">
        <f t="shared" si="1"/>
        <v>0.9996171427</v>
      </c>
      <c r="I4423" s="4" t="str">
        <f t="shared" si="2"/>
        <v>C</v>
      </c>
    </row>
    <row r="4424">
      <c r="A4424" s="2">
        <v>4423.0</v>
      </c>
      <c r="B4424" s="2" t="s">
        <v>5605</v>
      </c>
      <c r="C4424" s="2" t="s">
        <v>5606</v>
      </c>
      <c r="D4424" s="2">
        <v>5.95</v>
      </c>
      <c r="E4424" s="2">
        <v>4.0</v>
      </c>
      <c r="F4424" s="2">
        <v>20.83</v>
      </c>
      <c r="G4424" s="4">
        <f t="shared" si="3"/>
        <v>9540784.69</v>
      </c>
      <c r="H4424" s="4">
        <f t="shared" si="1"/>
        <v>0.9996193251</v>
      </c>
      <c r="I4424" s="4" t="str">
        <f t="shared" si="2"/>
        <v>C</v>
      </c>
    </row>
    <row r="4425">
      <c r="A4425" s="2">
        <v>4424.0</v>
      </c>
      <c r="B4425" s="2" t="s">
        <v>5607</v>
      </c>
      <c r="C4425" s="2" t="s">
        <v>5608</v>
      </c>
      <c r="D4425" s="2">
        <v>5.95</v>
      </c>
      <c r="E4425" s="2">
        <v>4.0</v>
      </c>
      <c r="F4425" s="2">
        <v>20.82</v>
      </c>
      <c r="G4425" s="4">
        <f t="shared" si="3"/>
        <v>9540805.51</v>
      </c>
      <c r="H4425" s="4">
        <f t="shared" si="1"/>
        <v>0.9996215065</v>
      </c>
      <c r="I4425" s="4" t="str">
        <f t="shared" si="2"/>
        <v>C</v>
      </c>
    </row>
    <row r="4426">
      <c r="A4426" s="2">
        <v>4425.0</v>
      </c>
      <c r="B4426" s="2" t="s">
        <v>5609</v>
      </c>
      <c r="C4426" s="2" t="s">
        <v>5610</v>
      </c>
      <c r="D4426" s="2">
        <v>5.95</v>
      </c>
      <c r="E4426" s="2">
        <v>4.0</v>
      </c>
      <c r="F4426" s="2">
        <v>20.82</v>
      </c>
      <c r="G4426" s="4">
        <f t="shared" si="3"/>
        <v>9540826.33</v>
      </c>
      <c r="H4426" s="4">
        <f t="shared" si="1"/>
        <v>0.9996236879</v>
      </c>
      <c r="I4426" s="4" t="str">
        <f t="shared" si="2"/>
        <v>C</v>
      </c>
    </row>
    <row r="4427">
      <c r="A4427" s="2">
        <v>4426.0</v>
      </c>
      <c r="B4427" s="2" t="s">
        <v>5611</v>
      </c>
      <c r="C4427" s="2" t="s">
        <v>2185</v>
      </c>
      <c r="D4427" s="2">
        <v>4.13</v>
      </c>
      <c r="E4427" s="2">
        <v>5.0</v>
      </c>
      <c r="F4427" s="2">
        <v>20.77</v>
      </c>
      <c r="G4427" s="4">
        <f t="shared" si="3"/>
        <v>9540847.1</v>
      </c>
      <c r="H4427" s="4">
        <f t="shared" si="1"/>
        <v>0.999625864</v>
      </c>
      <c r="I4427" s="4" t="str">
        <f t="shared" si="2"/>
        <v>C</v>
      </c>
    </row>
    <row r="4428">
      <c r="A4428" s="2">
        <v>4427.0</v>
      </c>
      <c r="B4428" s="2" t="s">
        <v>5612</v>
      </c>
      <c r="C4428" s="2" t="s">
        <v>5613</v>
      </c>
      <c r="D4428" s="2">
        <v>2.95</v>
      </c>
      <c r="E4428" s="2">
        <v>7.0</v>
      </c>
      <c r="F4428" s="2">
        <v>20.65</v>
      </c>
      <c r="G4428" s="4">
        <f t="shared" si="3"/>
        <v>9540867.75</v>
      </c>
      <c r="H4428" s="4">
        <f t="shared" si="1"/>
        <v>0.9996280276</v>
      </c>
      <c r="I4428" s="4" t="str">
        <f t="shared" si="2"/>
        <v>C</v>
      </c>
    </row>
    <row r="4429">
      <c r="A4429" s="2">
        <v>4428.0</v>
      </c>
      <c r="B4429" s="2">
        <v>23448.0</v>
      </c>
      <c r="C4429" s="2" t="s">
        <v>5614</v>
      </c>
      <c r="D4429" s="2">
        <v>1.65</v>
      </c>
      <c r="E4429" s="2">
        <v>12.0</v>
      </c>
      <c r="F4429" s="2">
        <v>20.62</v>
      </c>
      <c r="G4429" s="4">
        <f t="shared" si="3"/>
        <v>9540888.37</v>
      </c>
      <c r="H4429" s="4">
        <f t="shared" si="1"/>
        <v>0.999630188</v>
      </c>
      <c r="I4429" s="4" t="str">
        <f t="shared" si="2"/>
        <v>C</v>
      </c>
    </row>
    <row r="4430">
      <c r="A4430" s="2">
        <v>4429.0</v>
      </c>
      <c r="B4430" s="2" t="s">
        <v>5615</v>
      </c>
      <c r="C4430" s="2" t="s">
        <v>5616</v>
      </c>
      <c r="D4430" s="2">
        <v>2.95</v>
      </c>
      <c r="E4430" s="2">
        <v>7.0</v>
      </c>
      <c r="F4430" s="2">
        <v>20.58</v>
      </c>
      <c r="G4430" s="4">
        <f t="shared" si="3"/>
        <v>9540908.95</v>
      </c>
      <c r="H4430" s="4">
        <f t="shared" si="1"/>
        <v>0.9996323443</v>
      </c>
      <c r="I4430" s="4" t="str">
        <f t="shared" si="2"/>
        <v>C</v>
      </c>
    </row>
    <row r="4431">
      <c r="A4431" s="2">
        <v>4430.0</v>
      </c>
      <c r="B4431" s="2" t="s">
        <v>5617</v>
      </c>
      <c r="C4431" s="2" t="s">
        <v>4314</v>
      </c>
      <c r="D4431" s="2">
        <v>5.17</v>
      </c>
      <c r="E4431" s="2">
        <v>4.0</v>
      </c>
      <c r="F4431" s="2">
        <v>20.57</v>
      </c>
      <c r="G4431" s="4">
        <f t="shared" si="3"/>
        <v>9540929.52</v>
      </c>
      <c r="H4431" s="4">
        <f t="shared" si="1"/>
        <v>0.9996344995</v>
      </c>
      <c r="I4431" s="4" t="str">
        <f t="shared" si="2"/>
        <v>C</v>
      </c>
    </row>
    <row r="4432">
      <c r="A4432" s="2">
        <v>4431.0</v>
      </c>
      <c r="B4432" s="2">
        <v>21119.0</v>
      </c>
      <c r="C4432" s="2" t="s">
        <v>5618</v>
      </c>
      <c r="D4432" s="2">
        <v>13.57</v>
      </c>
      <c r="E4432" s="2">
        <v>2.0</v>
      </c>
      <c r="F4432" s="2">
        <v>20.5</v>
      </c>
      <c r="G4432" s="4">
        <f t="shared" si="3"/>
        <v>9540950.02</v>
      </c>
      <c r="H4432" s="4">
        <f t="shared" si="1"/>
        <v>0.9996366473</v>
      </c>
      <c r="I4432" s="4" t="str">
        <f t="shared" si="2"/>
        <v>C</v>
      </c>
    </row>
    <row r="4433">
      <c r="A4433" s="2">
        <v>4432.0</v>
      </c>
      <c r="B4433" s="2" t="s">
        <v>5619</v>
      </c>
      <c r="C4433" s="2" t="s">
        <v>5620</v>
      </c>
      <c r="D4433" s="2">
        <v>2.55</v>
      </c>
      <c r="E4433" s="2">
        <v>8.0</v>
      </c>
      <c r="F4433" s="2">
        <v>20.4</v>
      </c>
      <c r="G4433" s="4">
        <f t="shared" si="3"/>
        <v>9540970.42</v>
      </c>
      <c r="H4433" s="4">
        <f t="shared" si="1"/>
        <v>0.9996387847</v>
      </c>
      <c r="I4433" s="4" t="str">
        <f t="shared" si="2"/>
        <v>C</v>
      </c>
    </row>
    <row r="4434">
      <c r="A4434" s="2">
        <v>4433.0</v>
      </c>
      <c r="B4434" s="2">
        <v>44228.0</v>
      </c>
      <c r="C4434" s="2" t="s">
        <v>5621</v>
      </c>
      <c r="D4434" s="2">
        <v>0.85</v>
      </c>
      <c r="E4434" s="2">
        <v>24.0</v>
      </c>
      <c r="F4434" s="2">
        <v>20.4</v>
      </c>
      <c r="G4434" s="4">
        <f t="shared" si="3"/>
        <v>9540990.82</v>
      </c>
      <c r="H4434" s="4">
        <f t="shared" si="1"/>
        <v>0.9996409221</v>
      </c>
      <c r="I4434" s="4" t="str">
        <f t="shared" si="2"/>
        <v>C</v>
      </c>
    </row>
    <row r="4435">
      <c r="A4435" s="2">
        <v>4434.0</v>
      </c>
      <c r="B4435" s="2">
        <v>90136.0</v>
      </c>
      <c r="C4435" s="2" t="s">
        <v>5622</v>
      </c>
      <c r="D4435" s="2">
        <v>9.95</v>
      </c>
      <c r="E4435" s="2">
        <v>2.0</v>
      </c>
      <c r="F4435" s="2">
        <v>20.24</v>
      </c>
      <c r="G4435" s="4">
        <f t="shared" si="3"/>
        <v>9541011.06</v>
      </c>
      <c r="H4435" s="4">
        <f t="shared" si="1"/>
        <v>0.9996430427</v>
      </c>
      <c r="I4435" s="4" t="str">
        <f t="shared" si="2"/>
        <v>C</v>
      </c>
    </row>
    <row r="4436">
      <c r="A4436" s="2">
        <v>4435.0</v>
      </c>
      <c r="B4436" s="2" t="s">
        <v>5623</v>
      </c>
      <c r="C4436" s="2" t="s">
        <v>5624</v>
      </c>
      <c r="D4436" s="2">
        <v>5.95</v>
      </c>
      <c r="E4436" s="2">
        <v>4.0</v>
      </c>
      <c r="F4436" s="2">
        <v>20.17</v>
      </c>
      <c r="G4436" s="4">
        <f t="shared" si="3"/>
        <v>9541031.23</v>
      </c>
      <c r="H4436" s="4">
        <f t="shared" si="1"/>
        <v>0.9996451559</v>
      </c>
      <c r="I4436" s="4" t="str">
        <f t="shared" si="2"/>
        <v>C</v>
      </c>
    </row>
    <row r="4437">
      <c r="A4437" s="2">
        <v>4436.0</v>
      </c>
      <c r="B4437" s="2">
        <v>37468.0</v>
      </c>
      <c r="C4437" s="2" t="s">
        <v>5625</v>
      </c>
      <c r="D4437" s="2">
        <v>0.39</v>
      </c>
      <c r="E4437" s="2">
        <v>33.0</v>
      </c>
      <c r="F4437" s="2">
        <v>20.1</v>
      </c>
      <c r="G4437" s="4">
        <f t="shared" si="3"/>
        <v>9541051.33</v>
      </c>
      <c r="H4437" s="4">
        <f t="shared" si="1"/>
        <v>0.9996472619</v>
      </c>
      <c r="I4437" s="4" t="str">
        <f t="shared" si="2"/>
        <v>C</v>
      </c>
    </row>
    <row r="4438">
      <c r="A4438" s="2">
        <v>4437.0</v>
      </c>
      <c r="B4438" s="2">
        <v>20994.0</v>
      </c>
      <c r="C4438" s="2" t="s">
        <v>5626</v>
      </c>
      <c r="D4438" s="2">
        <v>0.85</v>
      </c>
      <c r="E4438" s="2">
        <v>24.0</v>
      </c>
      <c r="F4438" s="2">
        <v>19.97</v>
      </c>
      <c r="G4438" s="4">
        <f t="shared" si="3"/>
        <v>9541071.3</v>
      </c>
      <c r="H4438" s="4">
        <f t="shared" si="1"/>
        <v>0.9996493542</v>
      </c>
      <c r="I4438" s="4" t="str">
        <f t="shared" si="2"/>
        <v>C</v>
      </c>
    </row>
    <row r="4439">
      <c r="A4439" s="2">
        <v>4438.0</v>
      </c>
      <c r="B4439" s="2" t="s">
        <v>5627</v>
      </c>
      <c r="C4439" s="2" t="s">
        <v>5628</v>
      </c>
      <c r="D4439" s="2">
        <v>0.29</v>
      </c>
      <c r="E4439" s="2">
        <v>70.0</v>
      </c>
      <c r="F4439" s="2">
        <v>19.93</v>
      </c>
      <c r="G4439" s="4">
        <f t="shared" si="3"/>
        <v>9541091.23</v>
      </c>
      <c r="H4439" s="4">
        <f t="shared" si="1"/>
        <v>0.9996514423</v>
      </c>
      <c r="I4439" s="4" t="str">
        <f t="shared" si="2"/>
        <v>C</v>
      </c>
    </row>
    <row r="4440">
      <c r="A4440" s="2">
        <v>4439.0</v>
      </c>
      <c r="B4440" s="2" t="s">
        <v>5629</v>
      </c>
      <c r="C4440" s="2" t="s">
        <v>5630</v>
      </c>
      <c r="D4440" s="2">
        <v>9.95</v>
      </c>
      <c r="E4440" s="2">
        <v>2.0</v>
      </c>
      <c r="F4440" s="2">
        <v>19.9</v>
      </c>
      <c r="G4440" s="4">
        <f t="shared" si="3"/>
        <v>9541111.13</v>
      </c>
      <c r="H4440" s="4">
        <f t="shared" si="1"/>
        <v>0.9996535273</v>
      </c>
      <c r="I4440" s="4" t="str">
        <f t="shared" si="2"/>
        <v>C</v>
      </c>
    </row>
    <row r="4441">
      <c r="A4441" s="2">
        <v>4440.0</v>
      </c>
      <c r="B4441" s="2">
        <v>35963.0</v>
      </c>
      <c r="C4441" s="2" t="s">
        <v>5631</v>
      </c>
      <c r="D4441" s="2">
        <v>0.38</v>
      </c>
      <c r="E4441" s="2">
        <v>52.0</v>
      </c>
      <c r="F4441" s="2">
        <v>19.76</v>
      </c>
      <c r="G4441" s="4">
        <f t="shared" si="3"/>
        <v>9541130.89</v>
      </c>
      <c r="H4441" s="4">
        <f t="shared" si="1"/>
        <v>0.9996555976</v>
      </c>
      <c r="I4441" s="4" t="str">
        <f t="shared" si="2"/>
        <v>C</v>
      </c>
    </row>
    <row r="4442">
      <c r="A4442" s="2">
        <v>4441.0</v>
      </c>
      <c r="B4442" s="2" t="s">
        <v>5632</v>
      </c>
      <c r="C4442" s="2" t="s">
        <v>5633</v>
      </c>
      <c r="D4442" s="2">
        <v>0.29</v>
      </c>
      <c r="E4442" s="2">
        <v>68.0</v>
      </c>
      <c r="F4442" s="2">
        <v>19.54</v>
      </c>
      <c r="G4442" s="4">
        <f t="shared" si="3"/>
        <v>9541150.43</v>
      </c>
      <c r="H4442" s="4">
        <f t="shared" si="1"/>
        <v>0.9996576449</v>
      </c>
      <c r="I4442" s="4" t="str">
        <f t="shared" si="2"/>
        <v>C</v>
      </c>
    </row>
    <row r="4443">
      <c r="A4443" s="2">
        <v>4442.0</v>
      </c>
      <c r="B4443" s="2" t="s">
        <v>5634</v>
      </c>
      <c r="C4443" s="2" t="s">
        <v>5635</v>
      </c>
      <c r="D4443" s="2">
        <v>1.25</v>
      </c>
      <c r="E4443" s="2">
        <v>16.0</v>
      </c>
      <c r="F4443" s="2">
        <v>19.38</v>
      </c>
      <c r="G4443" s="4">
        <f t="shared" si="3"/>
        <v>9541169.81</v>
      </c>
      <c r="H4443" s="4">
        <f t="shared" si="1"/>
        <v>0.9996596754</v>
      </c>
      <c r="I4443" s="4" t="str">
        <f t="shared" si="2"/>
        <v>C</v>
      </c>
    </row>
    <row r="4444">
      <c r="A4444" s="2">
        <v>4443.0</v>
      </c>
      <c r="B4444" s="2" t="s">
        <v>5636</v>
      </c>
      <c r="C4444" s="2" t="s">
        <v>499</v>
      </c>
      <c r="D4444" s="2">
        <v>13.0</v>
      </c>
      <c r="E4444" s="2">
        <v>2.0</v>
      </c>
      <c r="F4444" s="2">
        <v>19.36</v>
      </c>
      <c r="G4444" s="4">
        <f t="shared" si="3"/>
        <v>9541189.17</v>
      </c>
      <c r="H4444" s="4">
        <f t="shared" si="1"/>
        <v>0.9996617038</v>
      </c>
      <c r="I4444" s="4" t="str">
        <f t="shared" si="2"/>
        <v>C</v>
      </c>
    </row>
    <row r="4445">
      <c r="A4445" s="2">
        <v>4444.0</v>
      </c>
      <c r="B4445" s="2" t="s">
        <v>5637</v>
      </c>
      <c r="C4445" s="2" t="s">
        <v>5638</v>
      </c>
      <c r="D4445" s="2">
        <v>2.96</v>
      </c>
      <c r="E4445" s="2">
        <v>6.0</v>
      </c>
      <c r="F4445" s="2">
        <v>19.16</v>
      </c>
      <c r="G4445" s="4">
        <f t="shared" si="3"/>
        <v>9541208.33</v>
      </c>
      <c r="H4445" s="4">
        <f t="shared" si="1"/>
        <v>0.9996637113</v>
      </c>
      <c r="I4445" s="4" t="str">
        <f t="shared" si="2"/>
        <v>C</v>
      </c>
    </row>
    <row r="4446">
      <c r="A4446" s="2">
        <v>4445.0</v>
      </c>
      <c r="B4446" s="2" t="s">
        <v>5639</v>
      </c>
      <c r="C4446" s="2" t="s">
        <v>5640</v>
      </c>
      <c r="D4446" s="2">
        <v>2.95</v>
      </c>
      <c r="E4446" s="2">
        <v>6.0</v>
      </c>
      <c r="F4446" s="2">
        <v>19.14</v>
      </c>
      <c r="G4446" s="4">
        <f t="shared" si="3"/>
        <v>9541227.47</v>
      </c>
      <c r="H4446" s="4">
        <f t="shared" si="1"/>
        <v>0.9996657167</v>
      </c>
      <c r="I4446" s="4" t="str">
        <f t="shared" si="2"/>
        <v>C</v>
      </c>
    </row>
    <row r="4447">
      <c r="A4447" s="2">
        <v>4446.0</v>
      </c>
      <c r="B4447" s="2" t="s">
        <v>5641</v>
      </c>
      <c r="C4447" s="2" t="s">
        <v>5642</v>
      </c>
      <c r="D4447" s="2">
        <v>2.9</v>
      </c>
      <c r="E4447" s="2">
        <v>6.0</v>
      </c>
      <c r="F4447" s="2">
        <v>19.06</v>
      </c>
      <c r="G4447" s="4">
        <f t="shared" si="3"/>
        <v>9541246.53</v>
      </c>
      <c r="H4447" s="4">
        <f t="shared" si="1"/>
        <v>0.9996677136</v>
      </c>
      <c r="I4447" s="4" t="str">
        <f t="shared" si="2"/>
        <v>C</v>
      </c>
    </row>
    <row r="4448">
      <c r="A4448" s="2">
        <v>4447.0</v>
      </c>
      <c r="B4448" s="2" t="s">
        <v>5643</v>
      </c>
      <c r="C4448" s="2" t="s">
        <v>5644</v>
      </c>
      <c r="D4448" s="2">
        <v>2.9</v>
      </c>
      <c r="E4448" s="2">
        <v>6.0</v>
      </c>
      <c r="F4448" s="2">
        <v>19.02</v>
      </c>
      <c r="G4448" s="4">
        <f t="shared" si="3"/>
        <v>9541265.55</v>
      </c>
      <c r="H4448" s="4">
        <f t="shared" si="1"/>
        <v>0.9996697064</v>
      </c>
      <c r="I4448" s="4" t="str">
        <f t="shared" si="2"/>
        <v>C</v>
      </c>
    </row>
    <row r="4449">
      <c r="A4449" s="2">
        <v>4448.0</v>
      </c>
      <c r="B4449" s="2" t="s">
        <v>5645</v>
      </c>
      <c r="C4449" s="2" t="s">
        <v>5646</v>
      </c>
      <c r="D4449" s="2">
        <v>2.9</v>
      </c>
      <c r="E4449" s="2">
        <v>6.0</v>
      </c>
      <c r="F4449" s="2">
        <v>19.0</v>
      </c>
      <c r="G4449" s="4">
        <f t="shared" si="3"/>
        <v>9541284.55</v>
      </c>
      <c r="H4449" s="4">
        <f t="shared" si="1"/>
        <v>0.9996716971</v>
      </c>
      <c r="I4449" s="4" t="str">
        <f t="shared" si="2"/>
        <v>C</v>
      </c>
    </row>
    <row r="4450">
      <c r="A4450" s="2">
        <v>4449.0</v>
      </c>
      <c r="B4450" s="2" t="s">
        <v>5647</v>
      </c>
      <c r="C4450" s="2" t="s">
        <v>4823</v>
      </c>
      <c r="D4450" s="2">
        <v>4.21</v>
      </c>
      <c r="E4450" s="2">
        <v>4.0</v>
      </c>
      <c r="F4450" s="2">
        <v>18.88</v>
      </c>
      <c r="G4450" s="4">
        <f t="shared" si="3"/>
        <v>9541303.43</v>
      </c>
      <c r="H4450" s="4">
        <f t="shared" si="1"/>
        <v>0.9996736752</v>
      </c>
      <c r="I4450" s="4" t="str">
        <f t="shared" si="2"/>
        <v>C</v>
      </c>
    </row>
    <row r="4451">
      <c r="A4451" s="2">
        <v>4450.0</v>
      </c>
      <c r="B4451" s="2" t="s">
        <v>5648</v>
      </c>
      <c r="C4451" s="2" t="s">
        <v>5649</v>
      </c>
      <c r="D4451" s="2">
        <v>7.5</v>
      </c>
      <c r="E4451" s="2">
        <v>2.0</v>
      </c>
      <c r="F4451" s="2">
        <v>18.81</v>
      </c>
      <c r="G4451" s="4">
        <f t="shared" si="3"/>
        <v>9541322.24</v>
      </c>
      <c r="H4451" s="4">
        <f t="shared" si="1"/>
        <v>0.999675646</v>
      </c>
      <c r="I4451" s="4" t="str">
        <f t="shared" si="2"/>
        <v>C</v>
      </c>
    </row>
    <row r="4452">
      <c r="A4452" s="2">
        <v>4451.0</v>
      </c>
      <c r="B4452" s="2" t="s">
        <v>5650</v>
      </c>
      <c r="C4452" s="2" t="s">
        <v>5651</v>
      </c>
      <c r="D4452" s="2">
        <v>6.27</v>
      </c>
      <c r="E4452" s="2">
        <v>3.0</v>
      </c>
      <c r="F4452" s="2">
        <v>18.81</v>
      </c>
      <c r="G4452" s="4">
        <f t="shared" si="3"/>
        <v>9541341.05</v>
      </c>
      <c r="H4452" s="4">
        <f t="shared" si="1"/>
        <v>0.9996776168</v>
      </c>
      <c r="I4452" s="4" t="str">
        <f t="shared" si="2"/>
        <v>C</v>
      </c>
    </row>
    <row r="4453">
      <c r="A4453" s="2">
        <v>4452.0</v>
      </c>
      <c r="B4453" s="2" t="s">
        <v>5652</v>
      </c>
      <c r="C4453" s="2" t="s">
        <v>5653</v>
      </c>
      <c r="D4453" s="2">
        <v>3.75</v>
      </c>
      <c r="E4453" s="2">
        <v>5.0</v>
      </c>
      <c r="F4453" s="2">
        <v>18.8</v>
      </c>
      <c r="G4453" s="4">
        <f t="shared" si="3"/>
        <v>9541359.85</v>
      </c>
      <c r="H4453" s="4">
        <f t="shared" si="1"/>
        <v>0.9996795865</v>
      </c>
      <c r="I4453" s="4" t="str">
        <f t="shared" si="2"/>
        <v>C</v>
      </c>
    </row>
    <row r="4454">
      <c r="A4454" s="2">
        <v>4453.0</v>
      </c>
      <c r="B4454" s="2" t="s">
        <v>5654</v>
      </c>
      <c r="C4454" s="2" t="s">
        <v>5655</v>
      </c>
      <c r="D4454" s="2">
        <v>0.85</v>
      </c>
      <c r="E4454" s="2">
        <v>22.0</v>
      </c>
      <c r="F4454" s="2">
        <v>18.76</v>
      </c>
      <c r="G4454" s="4">
        <f t="shared" si="3"/>
        <v>9541378.61</v>
      </c>
      <c r="H4454" s="4">
        <f t="shared" si="1"/>
        <v>0.9996815521</v>
      </c>
      <c r="I4454" s="4" t="str">
        <f t="shared" si="2"/>
        <v>C</v>
      </c>
    </row>
    <row r="4455">
      <c r="A4455" s="2">
        <v>4454.0</v>
      </c>
      <c r="B4455" s="2">
        <v>79413.0</v>
      </c>
      <c r="C4455" s="2" t="s">
        <v>5656</v>
      </c>
      <c r="D4455" s="2">
        <v>1.25</v>
      </c>
      <c r="E4455" s="2">
        <v>15.0</v>
      </c>
      <c r="F4455" s="2">
        <v>18.75</v>
      </c>
      <c r="G4455" s="4">
        <f t="shared" si="3"/>
        <v>9541397.36</v>
      </c>
      <c r="H4455" s="4">
        <f t="shared" si="1"/>
        <v>0.9996835166</v>
      </c>
      <c r="I4455" s="4" t="str">
        <f t="shared" si="2"/>
        <v>C</v>
      </c>
    </row>
    <row r="4456">
      <c r="A4456" s="2">
        <v>4455.0</v>
      </c>
      <c r="B4456" s="2">
        <v>37112.0</v>
      </c>
      <c r="C4456" s="2" t="s">
        <v>5657</v>
      </c>
      <c r="D4456" s="2">
        <v>3.75</v>
      </c>
      <c r="E4456" s="2">
        <v>5.0</v>
      </c>
      <c r="F4456" s="2">
        <v>18.75</v>
      </c>
      <c r="G4456" s="4">
        <f t="shared" si="3"/>
        <v>9541416.11</v>
      </c>
      <c r="H4456" s="4">
        <f t="shared" si="1"/>
        <v>0.9996854811</v>
      </c>
      <c r="I4456" s="4" t="str">
        <f t="shared" si="2"/>
        <v>C</v>
      </c>
    </row>
    <row r="4457">
      <c r="A4457" s="2">
        <v>4456.0</v>
      </c>
      <c r="B4457" s="2" t="s">
        <v>5658</v>
      </c>
      <c r="C4457" s="2" t="s">
        <v>1735</v>
      </c>
      <c r="D4457" s="2">
        <v>7.46</v>
      </c>
      <c r="E4457" s="2">
        <v>2.0</v>
      </c>
      <c r="F4457" s="2">
        <v>18.65</v>
      </c>
      <c r="G4457" s="4">
        <f t="shared" si="3"/>
        <v>9541434.76</v>
      </c>
      <c r="H4457" s="4">
        <f t="shared" si="1"/>
        <v>0.9996874351</v>
      </c>
      <c r="I4457" s="4" t="str">
        <f t="shared" si="2"/>
        <v>C</v>
      </c>
    </row>
    <row r="4458">
      <c r="A4458" s="2">
        <v>4457.0</v>
      </c>
      <c r="B4458" s="2" t="s">
        <v>5659</v>
      </c>
      <c r="C4458" s="2" t="s">
        <v>5660</v>
      </c>
      <c r="D4458" s="2">
        <v>1.69</v>
      </c>
      <c r="E4458" s="2">
        <v>10.0</v>
      </c>
      <c r="F4458" s="2">
        <v>18.57</v>
      </c>
      <c r="G4458" s="4">
        <f t="shared" si="3"/>
        <v>9541453.33</v>
      </c>
      <c r="H4458" s="4">
        <f t="shared" si="1"/>
        <v>0.9996893807</v>
      </c>
      <c r="I4458" s="4" t="str">
        <f t="shared" si="2"/>
        <v>C</v>
      </c>
    </row>
    <row r="4459">
      <c r="A4459" s="2">
        <v>4458.0</v>
      </c>
      <c r="B4459" s="2" t="s">
        <v>5661</v>
      </c>
      <c r="C4459" s="2" t="s">
        <v>5662</v>
      </c>
      <c r="D4459" s="2">
        <v>0.84</v>
      </c>
      <c r="E4459" s="2">
        <v>37.0</v>
      </c>
      <c r="F4459" s="2">
        <v>18.52</v>
      </c>
      <c r="G4459" s="4">
        <f t="shared" si="3"/>
        <v>9541471.85</v>
      </c>
      <c r="H4459" s="4">
        <f t="shared" si="1"/>
        <v>0.9996913211</v>
      </c>
      <c r="I4459" s="4" t="str">
        <f t="shared" si="2"/>
        <v>C</v>
      </c>
    </row>
    <row r="4460">
      <c r="A4460" s="2">
        <v>4459.0</v>
      </c>
      <c r="B4460" s="2">
        <v>72715.0</v>
      </c>
      <c r="C4460" s="2" t="s">
        <v>5663</v>
      </c>
      <c r="D4460" s="2">
        <v>0.42</v>
      </c>
      <c r="E4460" s="2">
        <v>44.0</v>
      </c>
      <c r="F4460" s="2">
        <v>18.48</v>
      </c>
      <c r="G4460" s="4">
        <f t="shared" si="3"/>
        <v>9541490.33</v>
      </c>
      <c r="H4460" s="4">
        <f t="shared" si="1"/>
        <v>0.9996932574</v>
      </c>
      <c r="I4460" s="4" t="str">
        <f t="shared" si="2"/>
        <v>C</v>
      </c>
    </row>
    <row r="4461">
      <c r="A4461" s="2">
        <v>4460.0</v>
      </c>
      <c r="B4461" s="2" t="s">
        <v>5664</v>
      </c>
      <c r="C4461" s="2" t="s">
        <v>5665</v>
      </c>
      <c r="D4461" s="2">
        <v>0.42</v>
      </c>
      <c r="E4461" s="2">
        <v>44.0</v>
      </c>
      <c r="F4461" s="2">
        <v>18.48</v>
      </c>
      <c r="G4461" s="4">
        <f t="shared" si="3"/>
        <v>9541508.81</v>
      </c>
      <c r="H4461" s="4">
        <f t="shared" si="1"/>
        <v>0.9996951936</v>
      </c>
      <c r="I4461" s="4" t="str">
        <f t="shared" si="2"/>
        <v>C</v>
      </c>
    </row>
    <row r="4462">
      <c r="A4462" s="2">
        <v>4461.0</v>
      </c>
      <c r="B4462" s="2" t="s">
        <v>5666</v>
      </c>
      <c r="C4462" s="2" t="s">
        <v>5667</v>
      </c>
      <c r="D4462" s="2">
        <v>1.65</v>
      </c>
      <c r="E4462" s="2">
        <v>48.0</v>
      </c>
      <c r="F4462" s="2">
        <v>18.3</v>
      </c>
      <c r="G4462" s="4">
        <f t="shared" si="3"/>
        <v>9541527.11</v>
      </c>
      <c r="H4462" s="4">
        <f t="shared" si="1"/>
        <v>0.9996971109</v>
      </c>
      <c r="I4462" s="4" t="str">
        <f t="shared" si="2"/>
        <v>C</v>
      </c>
    </row>
    <row r="4463">
      <c r="A4463" s="2">
        <v>4462.0</v>
      </c>
      <c r="B4463" s="2" t="s">
        <v>5668</v>
      </c>
      <c r="C4463" s="2" t="s">
        <v>5669</v>
      </c>
      <c r="D4463" s="2">
        <v>5.51</v>
      </c>
      <c r="E4463" s="2">
        <v>4.0</v>
      </c>
      <c r="F4463" s="2">
        <v>18.16</v>
      </c>
      <c r="G4463" s="4">
        <f t="shared" si="3"/>
        <v>9541545.27</v>
      </c>
      <c r="H4463" s="4">
        <f t="shared" si="1"/>
        <v>0.9996990136</v>
      </c>
      <c r="I4463" s="4" t="str">
        <f t="shared" si="2"/>
        <v>C</v>
      </c>
    </row>
    <row r="4464">
      <c r="A4464" s="2">
        <v>4463.0</v>
      </c>
      <c r="B4464" s="2" t="s">
        <v>5670</v>
      </c>
      <c r="C4464" s="2" t="s">
        <v>5671</v>
      </c>
      <c r="D4464" s="2">
        <v>2.57</v>
      </c>
      <c r="E4464" s="2">
        <v>7.0</v>
      </c>
      <c r="F4464" s="2">
        <v>17.93</v>
      </c>
      <c r="G4464" s="4">
        <f t="shared" si="3"/>
        <v>9541563.2</v>
      </c>
      <c r="H4464" s="4">
        <f t="shared" si="1"/>
        <v>0.9997008922</v>
      </c>
      <c r="I4464" s="4" t="str">
        <f t="shared" si="2"/>
        <v>C</v>
      </c>
    </row>
    <row r="4465">
      <c r="A4465" s="2">
        <v>4464.0</v>
      </c>
      <c r="B4465" s="2" t="s">
        <v>5672</v>
      </c>
      <c r="C4465" s="2" t="s">
        <v>5673</v>
      </c>
      <c r="D4465" s="2">
        <v>0.42</v>
      </c>
      <c r="E4465" s="2">
        <v>42.0</v>
      </c>
      <c r="F4465" s="2">
        <v>17.85</v>
      </c>
      <c r="G4465" s="4">
        <f t="shared" si="3"/>
        <v>9541581.05</v>
      </c>
      <c r="H4465" s="4">
        <f t="shared" si="1"/>
        <v>0.9997027624</v>
      </c>
      <c r="I4465" s="4" t="str">
        <f t="shared" si="2"/>
        <v>C</v>
      </c>
    </row>
    <row r="4466">
      <c r="A4466" s="2">
        <v>4465.0</v>
      </c>
      <c r="B4466" s="2">
        <v>90132.0</v>
      </c>
      <c r="C4466" s="2" t="s">
        <v>5674</v>
      </c>
      <c r="D4466" s="2">
        <v>5.09</v>
      </c>
      <c r="E4466" s="2">
        <v>4.0</v>
      </c>
      <c r="F4466" s="2">
        <v>17.82</v>
      </c>
      <c r="G4466" s="4">
        <f t="shared" si="3"/>
        <v>9541598.87</v>
      </c>
      <c r="H4466" s="4">
        <f t="shared" si="1"/>
        <v>0.9997046294</v>
      </c>
      <c r="I4466" s="4" t="str">
        <f t="shared" si="2"/>
        <v>C</v>
      </c>
    </row>
    <row r="4467">
      <c r="A4467" s="2">
        <v>4466.0</v>
      </c>
      <c r="B4467" s="2" t="s">
        <v>5675</v>
      </c>
      <c r="C4467" s="2" t="s">
        <v>1042</v>
      </c>
      <c r="D4467" s="2">
        <v>5.91</v>
      </c>
      <c r="E4467" s="2">
        <v>3.0</v>
      </c>
      <c r="F4467" s="2">
        <v>17.68</v>
      </c>
      <c r="G4467" s="4">
        <f t="shared" si="3"/>
        <v>9541616.55</v>
      </c>
      <c r="H4467" s="4">
        <f t="shared" si="1"/>
        <v>0.9997064818</v>
      </c>
      <c r="I4467" s="4" t="str">
        <f t="shared" si="2"/>
        <v>C</v>
      </c>
    </row>
    <row r="4468">
      <c r="A4468" s="2">
        <v>4467.0</v>
      </c>
      <c r="B4468" s="2" t="s">
        <v>5676</v>
      </c>
      <c r="C4468" s="2" t="s">
        <v>5677</v>
      </c>
      <c r="D4468" s="2">
        <v>2.95</v>
      </c>
      <c r="E4468" s="2">
        <v>6.0</v>
      </c>
      <c r="F4468" s="2">
        <v>17.66</v>
      </c>
      <c r="G4468" s="4">
        <f t="shared" si="3"/>
        <v>9541634.21</v>
      </c>
      <c r="H4468" s="4">
        <f t="shared" si="1"/>
        <v>0.9997083321</v>
      </c>
      <c r="I4468" s="4" t="str">
        <f t="shared" si="2"/>
        <v>C</v>
      </c>
    </row>
    <row r="4469">
      <c r="A4469" s="2">
        <v>4468.0</v>
      </c>
      <c r="B4469" s="2" t="s">
        <v>5678</v>
      </c>
      <c r="C4469" s="2" t="s">
        <v>5679</v>
      </c>
      <c r="D4469" s="2">
        <v>0.19</v>
      </c>
      <c r="E4469" s="2">
        <v>95.0</v>
      </c>
      <c r="F4469" s="2">
        <v>17.66</v>
      </c>
      <c r="G4469" s="4">
        <f t="shared" si="3"/>
        <v>9541651.87</v>
      </c>
      <c r="H4469" s="4">
        <f t="shared" si="1"/>
        <v>0.9997101824</v>
      </c>
      <c r="I4469" s="4" t="str">
        <f t="shared" si="2"/>
        <v>C</v>
      </c>
    </row>
    <row r="4470">
      <c r="A4470" s="2">
        <v>4469.0</v>
      </c>
      <c r="B4470" s="2" t="s">
        <v>5680</v>
      </c>
      <c r="C4470" s="2" t="s">
        <v>5681</v>
      </c>
      <c r="D4470" s="2">
        <v>5.95</v>
      </c>
      <c r="E4470" s="2">
        <v>3.0</v>
      </c>
      <c r="F4470" s="2">
        <v>17.63</v>
      </c>
      <c r="G4470" s="4">
        <f t="shared" si="3"/>
        <v>9541669.5</v>
      </c>
      <c r="H4470" s="4">
        <f t="shared" si="1"/>
        <v>0.9997120296</v>
      </c>
      <c r="I4470" s="4" t="str">
        <f t="shared" si="2"/>
        <v>C</v>
      </c>
    </row>
    <row r="4471">
      <c r="A4471" s="2">
        <v>4470.0</v>
      </c>
      <c r="B4471" s="2" t="s">
        <v>5682</v>
      </c>
      <c r="C4471" s="2" t="s">
        <v>5007</v>
      </c>
      <c r="D4471" s="2">
        <v>2.51</v>
      </c>
      <c r="E4471" s="2">
        <v>7.0</v>
      </c>
      <c r="F4471" s="2">
        <v>17.54</v>
      </c>
      <c r="G4471" s="4">
        <f t="shared" si="3"/>
        <v>9541687.04</v>
      </c>
      <c r="H4471" s="4">
        <f t="shared" si="1"/>
        <v>0.9997138673</v>
      </c>
      <c r="I4471" s="4" t="str">
        <f t="shared" si="2"/>
        <v>C</v>
      </c>
    </row>
    <row r="4472">
      <c r="A4472" s="2">
        <v>4471.0</v>
      </c>
      <c r="B4472" s="2" t="s">
        <v>5683</v>
      </c>
      <c r="C4472" s="2" t="s">
        <v>2858</v>
      </c>
      <c r="D4472" s="2">
        <v>2.51</v>
      </c>
      <c r="E4472" s="2">
        <v>7.0</v>
      </c>
      <c r="F4472" s="2">
        <v>17.52</v>
      </c>
      <c r="G4472" s="4">
        <f t="shared" si="3"/>
        <v>9541704.56</v>
      </c>
      <c r="H4472" s="4">
        <f t="shared" si="1"/>
        <v>0.9997157029</v>
      </c>
      <c r="I4472" s="4" t="str">
        <f t="shared" si="2"/>
        <v>C</v>
      </c>
    </row>
    <row r="4473">
      <c r="A4473" s="2">
        <v>4472.0</v>
      </c>
      <c r="B4473" s="2" t="s">
        <v>5684</v>
      </c>
      <c r="C4473" s="2" t="s">
        <v>5685</v>
      </c>
      <c r="D4473" s="2">
        <v>1.69</v>
      </c>
      <c r="E4473" s="2">
        <v>10.0</v>
      </c>
      <c r="F4473" s="2">
        <v>17.48</v>
      </c>
      <c r="G4473" s="4">
        <f t="shared" si="3"/>
        <v>9541722.04</v>
      </c>
      <c r="H4473" s="4">
        <f t="shared" si="1"/>
        <v>0.9997175344</v>
      </c>
      <c r="I4473" s="4" t="str">
        <f t="shared" si="2"/>
        <v>C</v>
      </c>
    </row>
    <row r="4474">
      <c r="A4474" s="2">
        <v>4473.0</v>
      </c>
      <c r="B4474" s="2" t="s">
        <v>5686</v>
      </c>
      <c r="C4474" s="2" t="s">
        <v>5687</v>
      </c>
      <c r="D4474" s="2">
        <v>6.95</v>
      </c>
      <c r="E4474" s="2">
        <v>2.0</v>
      </c>
      <c r="F4474" s="2">
        <v>17.38</v>
      </c>
      <c r="G4474" s="4">
        <f t="shared" si="3"/>
        <v>9541739.42</v>
      </c>
      <c r="H4474" s="4">
        <f t="shared" si="1"/>
        <v>0.9997193553</v>
      </c>
      <c r="I4474" s="4" t="str">
        <f t="shared" si="2"/>
        <v>C</v>
      </c>
    </row>
    <row r="4475">
      <c r="A4475" s="2">
        <v>4474.0</v>
      </c>
      <c r="B4475" s="2" t="s">
        <v>5688</v>
      </c>
      <c r="C4475" s="2" t="s">
        <v>5689</v>
      </c>
      <c r="D4475" s="2">
        <v>17.35</v>
      </c>
      <c r="E4475" s="2">
        <v>1.0</v>
      </c>
      <c r="F4475" s="2">
        <v>17.35</v>
      </c>
      <c r="G4475" s="4">
        <f t="shared" si="3"/>
        <v>9541756.77</v>
      </c>
      <c r="H4475" s="4">
        <f t="shared" si="1"/>
        <v>0.9997211732</v>
      </c>
      <c r="I4475" s="4" t="str">
        <f t="shared" si="2"/>
        <v>C</v>
      </c>
    </row>
    <row r="4476">
      <c r="A4476" s="2">
        <v>4475.0</v>
      </c>
      <c r="B4476" s="2" t="s">
        <v>5690</v>
      </c>
      <c r="C4476" s="2" t="s">
        <v>5691</v>
      </c>
      <c r="D4476" s="2">
        <v>4.95</v>
      </c>
      <c r="E4476" s="2">
        <v>4.0</v>
      </c>
      <c r="F4476" s="2">
        <v>17.33</v>
      </c>
      <c r="G4476" s="4">
        <f t="shared" si="3"/>
        <v>9541774.1</v>
      </c>
      <c r="H4476" s="4">
        <f t="shared" si="1"/>
        <v>0.9997229889</v>
      </c>
      <c r="I4476" s="4" t="str">
        <f t="shared" si="2"/>
        <v>C</v>
      </c>
    </row>
    <row r="4477">
      <c r="A4477" s="2">
        <v>4476.0</v>
      </c>
      <c r="B4477" s="2">
        <v>84546.0</v>
      </c>
      <c r="C4477" s="2" t="s">
        <v>5692</v>
      </c>
      <c r="D4477" s="2">
        <v>1.65</v>
      </c>
      <c r="E4477" s="2">
        <v>10.0</v>
      </c>
      <c r="F4477" s="2">
        <v>17.32</v>
      </c>
      <c r="G4477" s="4">
        <f t="shared" si="3"/>
        <v>9541791.42</v>
      </c>
      <c r="H4477" s="4">
        <f t="shared" si="1"/>
        <v>0.9997248035</v>
      </c>
      <c r="I4477" s="4" t="str">
        <f t="shared" si="2"/>
        <v>C</v>
      </c>
    </row>
    <row r="4478">
      <c r="A4478" s="2">
        <v>4477.0</v>
      </c>
      <c r="B4478" s="2">
        <v>35955.0</v>
      </c>
      <c r="C4478" s="2" t="s">
        <v>5693</v>
      </c>
      <c r="D4478" s="2">
        <v>0.42</v>
      </c>
      <c r="E4478" s="2">
        <v>68.0</v>
      </c>
      <c r="F4478" s="2">
        <v>17.31</v>
      </c>
      <c r="G4478" s="4">
        <f t="shared" si="3"/>
        <v>9541808.73</v>
      </c>
      <c r="H4478" s="4">
        <f t="shared" si="1"/>
        <v>0.9997266172</v>
      </c>
      <c r="I4478" s="4" t="str">
        <f t="shared" si="2"/>
        <v>C</v>
      </c>
    </row>
    <row r="4479">
      <c r="A4479" s="2">
        <v>4478.0</v>
      </c>
      <c r="B4479" s="2">
        <v>44265.0</v>
      </c>
      <c r="C4479" s="2" t="s">
        <v>5694</v>
      </c>
      <c r="D4479" s="2">
        <v>4.25</v>
      </c>
      <c r="E4479" s="2">
        <v>4.0</v>
      </c>
      <c r="F4479" s="2">
        <v>17.0</v>
      </c>
      <c r="G4479" s="4">
        <f t="shared" si="3"/>
        <v>9541825.73</v>
      </c>
      <c r="H4479" s="4">
        <f t="shared" si="1"/>
        <v>0.9997283983</v>
      </c>
      <c r="I4479" s="4" t="str">
        <f t="shared" si="2"/>
        <v>C</v>
      </c>
    </row>
    <row r="4480">
      <c r="A4480" s="2">
        <v>4479.0</v>
      </c>
      <c r="B4480" s="2" t="s">
        <v>5695</v>
      </c>
      <c r="C4480" s="2" t="s">
        <v>5696</v>
      </c>
      <c r="D4480" s="2">
        <v>6.75</v>
      </c>
      <c r="E4480" s="2">
        <v>2.0</v>
      </c>
      <c r="F4480" s="2">
        <v>16.88</v>
      </c>
      <c r="G4480" s="4">
        <f t="shared" si="3"/>
        <v>9541842.61</v>
      </c>
      <c r="H4480" s="4">
        <f t="shared" si="1"/>
        <v>0.9997301669</v>
      </c>
      <c r="I4480" s="4" t="str">
        <f t="shared" si="2"/>
        <v>C</v>
      </c>
    </row>
    <row r="4481">
      <c r="A4481" s="2">
        <v>4480.0</v>
      </c>
      <c r="B4481" s="2" t="s">
        <v>5697</v>
      </c>
      <c r="C4481" s="2" t="s">
        <v>2156</v>
      </c>
      <c r="D4481" s="2">
        <v>4.21</v>
      </c>
      <c r="E4481" s="2">
        <v>4.0</v>
      </c>
      <c r="F4481" s="2">
        <v>16.8</v>
      </c>
      <c r="G4481" s="4">
        <f t="shared" si="3"/>
        <v>9541859.41</v>
      </c>
      <c r="H4481" s="4">
        <f t="shared" si="1"/>
        <v>0.9997319271</v>
      </c>
      <c r="I4481" s="4" t="str">
        <f t="shared" si="2"/>
        <v>C</v>
      </c>
    </row>
    <row r="4482">
      <c r="A4482" s="2">
        <v>4481.0</v>
      </c>
      <c r="B4482" s="2">
        <v>37348.0</v>
      </c>
      <c r="C4482" s="2" t="s">
        <v>5698</v>
      </c>
      <c r="D4482" s="2">
        <v>2.55</v>
      </c>
      <c r="E4482" s="2">
        <v>6.0</v>
      </c>
      <c r="F4482" s="2">
        <v>16.58</v>
      </c>
      <c r="G4482" s="4">
        <f t="shared" si="3"/>
        <v>9541875.99</v>
      </c>
      <c r="H4482" s="4">
        <f t="shared" si="1"/>
        <v>0.9997336642</v>
      </c>
      <c r="I4482" s="4" t="str">
        <f t="shared" si="2"/>
        <v>C</v>
      </c>
    </row>
    <row r="4483">
      <c r="A4483" s="2">
        <v>4482.0</v>
      </c>
      <c r="B4483" s="2">
        <v>85079.0</v>
      </c>
      <c r="C4483" s="2" t="s">
        <v>5699</v>
      </c>
      <c r="D4483" s="2">
        <v>0.85</v>
      </c>
      <c r="E4483" s="2">
        <v>12.0</v>
      </c>
      <c r="F4483" s="2">
        <v>16.55</v>
      </c>
      <c r="G4483" s="4">
        <f t="shared" si="3"/>
        <v>9541892.54</v>
      </c>
      <c r="H4483" s="4">
        <f t="shared" si="1"/>
        <v>0.9997353982</v>
      </c>
      <c r="I4483" s="4" t="str">
        <f t="shared" si="2"/>
        <v>C</v>
      </c>
    </row>
    <row r="4484">
      <c r="A4484" s="2">
        <v>4483.0</v>
      </c>
      <c r="B4484" s="2">
        <v>90076.0</v>
      </c>
      <c r="C4484" s="2" t="s">
        <v>5700</v>
      </c>
      <c r="D4484" s="2">
        <v>2.96</v>
      </c>
      <c r="E4484" s="2">
        <v>6.0</v>
      </c>
      <c r="F4484" s="2">
        <v>16.5</v>
      </c>
      <c r="G4484" s="4">
        <f t="shared" si="3"/>
        <v>9541909.04</v>
      </c>
      <c r="H4484" s="4">
        <f t="shared" si="1"/>
        <v>0.999737127</v>
      </c>
      <c r="I4484" s="4" t="str">
        <f t="shared" si="2"/>
        <v>C</v>
      </c>
    </row>
    <row r="4485">
      <c r="A4485" s="2">
        <v>4484.0</v>
      </c>
      <c r="B4485" s="2" t="s">
        <v>5701</v>
      </c>
      <c r="C4485" s="2" t="s">
        <v>2858</v>
      </c>
      <c r="D4485" s="2">
        <v>2.51</v>
      </c>
      <c r="E4485" s="2">
        <v>6.0</v>
      </c>
      <c r="F4485" s="2">
        <v>16.24</v>
      </c>
      <c r="G4485" s="4">
        <f t="shared" si="3"/>
        <v>9541925.28</v>
      </c>
      <c r="H4485" s="4">
        <f t="shared" si="1"/>
        <v>0.9997388285</v>
      </c>
      <c r="I4485" s="4" t="str">
        <f t="shared" si="2"/>
        <v>C</v>
      </c>
    </row>
    <row r="4486">
      <c r="A4486" s="2">
        <v>4485.0</v>
      </c>
      <c r="B4486" s="2" t="s">
        <v>5702</v>
      </c>
      <c r="C4486" s="2" t="s">
        <v>5703</v>
      </c>
      <c r="D4486" s="2">
        <v>1.25</v>
      </c>
      <c r="E4486" s="2">
        <v>18.0</v>
      </c>
      <c r="F4486" s="2">
        <v>15.71</v>
      </c>
      <c r="G4486" s="4">
        <f t="shared" si="3"/>
        <v>9541940.99</v>
      </c>
      <c r="H4486" s="4">
        <f t="shared" si="1"/>
        <v>0.9997404745</v>
      </c>
      <c r="I4486" s="4" t="str">
        <f t="shared" si="2"/>
        <v>C</v>
      </c>
    </row>
    <row r="4487">
      <c r="A4487" s="2">
        <v>4486.0</v>
      </c>
      <c r="B4487" s="2">
        <v>23632.0</v>
      </c>
      <c r="C4487" s="2" t="s">
        <v>5704</v>
      </c>
      <c r="D4487" s="2">
        <v>2.08</v>
      </c>
      <c r="E4487" s="2">
        <v>8.0</v>
      </c>
      <c r="F4487" s="2">
        <v>15.6</v>
      </c>
      <c r="G4487" s="4">
        <f t="shared" si="3"/>
        <v>9541956.59</v>
      </c>
      <c r="H4487" s="4">
        <f t="shared" si="1"/>
        <v>0.9997421089</v>
      </c>
      <c r="I4487" s="4" t="str">
        <f t="shared" si="2"/>
        <v>C</v>
      </c>
    </row>
    <row r="4488">
      <c r="A4488" s="2">
        <v>4487.0</v>
      </c>
      <c r="B4488" s="2" t="s">
        <v>5705</v>
      </c>
      <c r="C4488" s="2" t="s">
        <v>5706</v>
      </c>
      <c r="D4488" s="2">
        <v>0.42</v>
      </c>
      <c r="E4488" s="2">
        <v>37.0</v>
      </c>
      <c r="F4488" s="2">
        <v>15.54</v>
      </c>
      <c r="G4488" s="4">
        <f t="shared" si="3"/>
        <v>9541972.13</v>
      </c>
      <c r="H4488" s="4">
        <f t="shared" si="1"/>
        <v>0.9997437371</v>
      </c>
      <c r="I4488" s="4" t="str">
        <f t="shared" si="2"/>
        <v>C</v>
      </c>
    </row>
    <row r="4489">
      <c r="A4489" s="2">
        <v>4488.0</v>
      </c>
      <c r="B4489" s="2" t="s">
        <v>5707</v>
      </c>
      <c r="C4489" s="2" t="s">
        <v>5708</v>
      </c>
      <c r="D4489" s="2">
        <v>0.42</v>
      </c>
      <c r="E4489" s="2">
        <v>30.0</v>
      </c>
      <c r="F4489" s="2">
        <v>15.33</v>
      </c>
      <c r="G4489" s="4">
        <f t="shared" si="3"/>
        <v>9541987.46</v>
      </c>
      <c r="H4489" s="4">
        <f t="shared" si="1"/>
        <v>0.9997453433</v>
      </c>
      <c r="I4489" s="4" t="str">
        <f t="shared" si="2"/>
        <v>C</v>
      </c>
    </row>
    <row r="4490">
      <c r="A4490" s="2">
        <v>4489.0</v>
      </c>
      <c r="B4490" s="2">
        <v>21919.0</v>
      </c>
      <c r="C4490" s="2" t="s">
        <v>5709</v>
      </c>
      <c r="D4490" s="2">
        <v>5.06</v>
      </c>
      <c r="E4490" s="2">
        <v>3.0</v>
      </c>
      <c r="F4490" s="2">
        <v>15.24</v>
      </c>
      <c r="G4490" s="4">
        <f t="shared" si="3"/>
        <v>9542002.7</v>
      </c>
      <c r="H4490" s="4">
        <f t="shared" si="1"/>
        <v>0.99974694</v>
      </c>
      <c r="I4490" s="4" t="str">
        <f t="shared" si="2"/>
        <v>C</v>
      </c>
    </row>
    <row r="4491">
      <c r="A4491" s="2">
        <v>4490.0</v>
      </c>
      <c r="B4491" s="2" t="s">
        <v>5710</v>
      </c>
      <c r="C4491" s="2" t="s">
        <v>5711</v>
      </c>
      <c r="D4491" s="2">
        <v>0.39</v>
      </c>
      <c r="E4491" s="2">
        <v>19.0</v>
      </c>
      <c r="F4491" s="2">
        <v>15.21</v>
      </c>
      <c r="G4491" s="4">
        <f t="shared" si="3"/>
        <v>9542017.91</v>
      </c>
      <c r="H4491" s="4">
        <f t="shared" si="1"/>
        <v>0.9997485336</v>
      </c>
      <c r="I4491" s="4" t="str">
        <f t="shared" si="2"/>
        <v>C</v>
      </c>
    </row>
    <row r="4492">
      <c r="A4492" s="2">
        <v>4491.0</v>
      </c>
      <c r="B4492" s="2" t="s">
        <v>5712</v>
      </c>
      <c r="C4492" s="2" t="s">
        <v>5713</v>
      </c>
      <c r="D4492" s="2">
        <v>0.85</v>
      </c>
      <c r="E4492" s="2">
        <v>20.0</v>
      </c>
      <c r="F4492" s="2">
        <v>15.12</v>
      </c>
      <c r="G4492" s="4">
        <f t="shared" si="3"/>
        <v>9542033.03</v>
      </c>
      <c r="H4492" s="4">
        <f t="shared" si="1"/>
        <v>0.9997501178</v>
      </c>
      <c r="I4492" s="4" t="str">
        <f t="shared" si="2"/>
        <v>C</v>
      </c>
    </row>
    <row r="4493">
      <c r="A4493" s="2">
        <v>4492.0</v>
      </c>
      <c r="B4493" s="2" t="s">
        <v>5714</v>
      </c>
      <c r="C4493" s="2" t="s">
        <v>5715</v>
      </c>
      <c r="D4493" s="2">
        <v>3.75</v>
      </c>
      <c r="E4493" s="2">
        <v>4.0</v>
      </c>
      <c r="F4493" s="2">
        <v>15.12</v>
      </c>
      <c r="G4493" s="4">
        <f t="shared" si="3"/>
        <v>9542048.15</v>
      </c>
      <c r="H4493" s="4">
        <f t="shared" si="1"/>
        <v>0.999751702</v>
      </c>
      <c r="I4493" s="4" t="str">
        <f t="shared" si="2"/>
        <v>C</v>
      </c>
    </row>
    <row r="4494">
      <c r="A4494" s="2">
        <v>4493.0</v>
      </c>
      <c r="B4494" s="2">
        <v>18010.0</v>
      </c>
      <c r="C4494" s="2" t="s">
        <v>5716</v>
      </c>
      <c r="D4494" s="2">
        <v>0.42</v>
      </c>
      <c r="E4494" s="2">
        <v>32.0</v>
      </c>
      <c r="F4494" s="2">
        <v>15.08</v>
      </c>
      <c r="G4494" s="4">
        <f t="shared" si="3"/>
        <v>9542063.23</v>
      </c>
      <c r="H4494" s="4">
        <f t="shared" si="1"/>
        <v>0.999753282</v>
      </c>
      <c r="I4494" s="4" t="str">
        <f t="shared" si="2"/>
        <v>C</v>
      </c>
    </row>
    <row r="4495">
      <c r="A4495" s="2">
        <v>4494.0</v>
      </c>
      <c r="B4495" s="2" t="s">
        <v>5717</v>
      </c>
      <c r="C4495" s="2" t="s">
        <v>5718</v>
      </c>
      <c r="D4495" s="2">
        <v>1.65</v>
      </c>
      <c r="E4495" s="2">
        <v>7.0</v>
      </c>
      <c r="F4495" s="2">
        <v>15.04</v>
      </c>
      <c r="G4495" s="4">
        <f t="shared" si="3"/>
        <v>9542078.27</v>
      </c>
      <c r="H4495" s="4">
        <f t="shared" si="1"/>
        <v>0.9997548578</v>
      </c>
      <c r="I4495" s="4" t="str">
        <f t="shared" si="2"/>
        <v>C</v>
      </c>
    </row>
    <row r="4496">
      <c r="A4496" s="2">
        <v>4495.0</v>
      </c>
      <c r="B4496" s="2" t="s">
        <v>5719</v>
      </c>
      <c r="C4496" s="2" t="s">
        <v>5720</v>
      </c>
      <c r="D4496" s="2">
        <v>3.75</v>
      </c>
      <c r="E4496" s="2">
        <v>4.0</v>
      </c>
      <c r="F4496" s="2">
        <v>15.0</v>
      </c>
      <c r="G4496" s="4">
        <f t="shared" si="3"/>
        <v>9542093.27</v>
      </c>
      <c r="H4496" s="4">
        <f t="shared" si="1"/>
        <v>0.9997564294</v>
      </c>
      <c r="I4496" s="4" t="str">
        <f t="shared" si="2"/>
        <v>C</v>
      </c>
    </row>
    <row r="4497">
      <c r="A4497" s="2">
        <v>4496.0</v>
      </c>
      <c r="B4497" s="2" t="s">
        <v>5721</v>
      </c>
      <c r="C4497" s="2" t="s">
        <v>5722</v>
      </c>
      <c r="D4497" s="2">
        <v>3.75</v>
      </c>
      <c r="E4497" s="2">
        <v>4.0</v>
      </c>
      <c r="F4497" s="2">
        <v>15.0</v>
      </c>
      <c r="G4497" s="4">
        <f t="shared" si="3"/>
        <v>9542108.27</v>
      </c>
      <c r="H4497" s="4">
        <f t="shared" si="1"/>
        <v>0.999758001</v>
      </c>
      <c r="I4497" s="4" t="str">
        <f t="shared" si="2"/>
        <v>C</v>
      </c>
    </row>
    <row r="4498">
      <c r="A4498" s="2">
        <v>4497.0</v>
      </c>
      <c r="B4498" s="2" t="s">
        <v>5723</v>
      </c>
      <c r="C4498" s="2" t="s">
        <v>5724</v>
      </c>
      <c r="D4498" s="2">
        <v>7.5</v>
      </c>
      <c r="E4498" s="2">
        <v>2.0</v>
      </c>
      <c r="F4498" s="2">
        <v>14.99</v>
      </c>
      <c r="G4498" s="4">
        <f t="shared" si="3"/>
        <v>9542123.26</v>
      </c>
      <c r="H4498" s="4">
        <f t="shared" si="1"/>
        <v>0.9997595715</v>
      </c>
      <c r="I4498" s="4" t="str">
        <f t="shared" si="2"/>
        <v>C</v>
      </c>
    </row>
    <row r="4499">
      <c r="A4499" s="2">
        <v>4498.0</v>
      </c>
      <c r="B4499" s="2">
        <v>21767.0</v>
      </c>
      <c r="C4499" s="2" t="s">
        <v>5725</v>
      </c>
      <c r="D4499" s="2">
        <v>29.95</v>
      </c>
      <c r="E4499" s="2">
        <v>0.0</v>
      </c>
      <c r="F4499" s="2">
        <v>14.98</v>
      </c>
      <c r="G4499" s="4">
        <f t="shared" si="3"/>
        <v>9542138.24</v>
      </c>
      <c r="H4499" s="4">
        <f t="shared" si="1"/>
        <v>0.999761141</v>
      </c>
      <c r="I4499" s="4" t="str">
        <f t="shared" si="2"/>
        <v>C</v>
      </c>
    </row>
    <row r="4500">
      <c r="A4500" s="2">
        <v>4499.0</v>
      </c>
      <c r="B4500" s="2">
        <v>78056.0</v>
      </c>
      <c r="C4500" s="2" t="s">
        <v>5726</v>
      </c>
      <c r="D4500" s="2">
        <v>9.95</v>
      </c>
      <c r="E4500" s="2">
        <v>2.0</v>
      </c>
      <c r="F4500" s="2">
        <v>14.92</v>
      </c>
      <c r="G4500" s="4">
        <f t="shared" si="3"/>
        <v>9542153.16</v>
      </c>
      <c r="H4500" s="4">
        <f t="shared" si="1"/>
        <v>0.9997627042</v>
      </c>
      <c r="I4500" s="4" t="str">
        <f t="shared" si="2"/>
        <v>C</v>
      </c>
    </row>
    <row r="4501">
      <c r="A4501" s="2">
        <v>4500.0</v>
      </c>
      <c r="B4501" s="2">
        <v>22351.0</v>
      </c>
      <c r="C4501" s="2" t="s">
        <v>5727</v>
      </c>
      <c r="D4501" s="2">
        <v>3.29</v>
      </c>
      <c r="E4501" s="2">
        <v>8.0</v>
      </c>
      <c r="F4501" s="2">
        <v>14.9</v>
      </c>
      <c r="G4501" s="4">
        <f t="shared" si="3"/>
        <v>9542168.06</v>
      </c>
      <c r="H4501" s="4">
        <f t="shared" si="1"/>
        <v>0.9997642654</v>
      </c>
      <c r="I4501" s="4" t="str">
        <f t="shared" si="2"/>
        <v>C</v>
      </c>
    </row>
    <row r="4502">
      <c r="A4502" s="2">
        <v>4501.0</v>
      </c>
      <c r="B4502" s="2" t="s">
        <v>5728</v>
      </c>
      <c r="C4502" s="2" t="s">
        <v>2822</v>
      </c>
      <c r="D4502" s="2">
        <v>2.98</v>
      </c>
      <c r="E4502" s="2">
        <v>5.0</v>
      </c>
      <c r="F4502" s="2">
        <v>14.9</v>
      </c>
      <c r="G4502" s="4">
        <f t="shared" si="3"/>
        <v>9542182.96</v>
      </c>
      <c r="H4502" s="4">
        <f t="shared" si="1"/>
        <v>0.9997658265</v>
      </c>
      <c r="I4502" s="4" t="str">
        <f t="shared" si="2"/>
        <v>C</v>
      </c>
    </row>
    <row r="4503">
      <c r="A4503" s="2">
        <v>4502.0</v>
      </c>
      <c r="B4503" s="2" t="s">
        <v>5729</v>
      </c>
      <c r="C4503" s="2" t="s">
        <v>5730</v>
      </c>
      <c r="D4503" s="2">
        <v>5.95</v>
      </c>
      <c r="E4503" s="2">
        <v>2.0</v>
      </c>
      <c r="F4503" s="2">
        <v>14.88</v>
      </c>
      <c r="G4503" s="4">
        <f t="shared" si="3"/>
        <v>9542197.84</v>
      </c>
      <c r="H4503" s="4">
        <f t="shared" si="1"/>
        <v>0.9997673855</v>
      </c>
      <c r="I4503" s="4" t="str">
        <f t="shared" si="2"/>
        <v>C</v>
      </c>
    </row>
    <row r="4504">
      <c r="A4504" s="2">
        <v>4503.0</v>
      </c>
      <c r="B4504" s="2" t="s">
        <v>5731</v>
      </c>
      <c r="C4504" s="2" t="s">
        <v>5732</v>
      </c>
      <c r="D4504" s="2">
        <v>2.95</v>
      </c>
      <c r="E4504" s="2">
        <v>5.0</v>
      </c>
      <c r="F4504" s="2">
        <v>14.75</v>
      </c>
      <c r="G4504" s="4">
        <f t="shared" si="3"/>
        <v>9542212.59</v>
      </c>
      <c r="H4504" s="4">
        <f t="shared" si="1"/>
        <v>0.9997689309</v>
      </c>
      <c r="I4504" s="4" t="str">
        <f t="shared" si="2"/>
        <v>C</v>
      </c>
    </row>
    <row r="4505">
      <c r="A4505" s="2">
        <v>4504.0</v>
      </c>
      <c r="B4505" s="2" t="s">
        <v>5733</v>
      </c>
      <c r="C4505" s="2" t="s">
        <v>5734</v>
      </c>
      <c r="D4505" s="2">
        <v>1.95</v>
      </c>
      <c r="E4505" s="2">
        <v>8.0</v>
      </c>
      <c r="F4505" s="2">
        <v>14.62</v>
      </c>
      <c r="G4505" s="4">
        <f t="shared" si="3"/>
        <v>9542227.21</v>
      </c>
      <c r="H4505" s="4">
        <f t="shared" si="1"/>
        <v>0.9997704627</v>
      </c>
      <c r="I4505" s="4" t="str">
        <f t="shared" si="2"/>
        <v>C</v>
      </c>
    </row>
    <row r="4506">
      <c r="A4506" s="2">
        <v>4505.0</v>
      </c>
      <c r="B4506" s="2" t="s">
        <v>5735</v>
      </c>
      <c r="C4506" s="2" t="s">
        <v>2180</v>
      </c>
      <c r="D4506" s="2">
        <v>4.13</v>
      </c>
      <c r="E4506" s="2">
        <v>4.0</v>
      </c>
      <c r="F4506" s="2">
        <v>14.46</v>
      </c>
      <c r="G4506" s="4">
        <f t="shared" si="3"/>
        <v>9542241.67</v>
      </c>
      <c r="H4506" s="4">
        <f t="shared" si="1"/>
        <v>0.9997719777</v>
      </c>
      <c r="I4506" s="4" t="str">
        <f t="shared" si="2"/>
        <v>C</v>
      </c>
    </row>
    <row r="4507">
      <c r="A4507" s="2">
        <v>4506.0</v>
      </c>
      <c r="B4507" s="2" t="s">
        <v>5736</v>
      </c>
      <c r="C4507" s="2" t="s">
        <v>5737</v>
      </c>
      <c r="D4507" s="2">
        <v>0.85</v>
      </c>
      <c r="E4507" s="2">
        <v>17.0</v>
      </c>
      <c r="F4507" s="2">
        <v>14.45</v>
      </c>
      <c r="G4507" s="4">
        <f t="shared" si="3"/>
        <v>9542256.12</v>
      </c>
      <c r="H4507" s="4">
        <f t="shared" si="1"/>
        <v>0.9997734917</v>
      </c>
      <c r="I4507" s="4" t="str">
        <f t="shared" si="2"/>
        <v>C</v>
      </c>
    </row>
    <row r="4508">
      <c r="A4508" s="2">
        <v>4507.0</v>
      </c>
      <c r="B4508" s="2" t="s">
        <v>5738</v>
      </c>
      <c r="C4508" s="2" t="s">
        <v>5739</v>
      </c>
      <c r="D4508" s="2">
        <v>0.39</v>
      </c>
      <c r="E4508" s="2">
        <v>23.0</v>
      </c>
      <c r="F4508" s="2">
        <v>14.43</v>
      </c>
      <c r="G4508" s="4">
        <f t="shared" si="3"/>
        <v>9542270.55</v>
      </c>
      <c r="H4508" s="4">
        <f t="shared" si="1"/>
        <v>0.9997750036</v>
      </c>
      <c r="I4508" s="4" t="str">
        <f t="shared" si="2"/>
        <v>C</v>
      </c>
    </row>
    <row r="4509">
      <c r="A4509" s="2">
        <v>4508.0</v>
      </c>
      <c r="B4509" s="2" t="s">
        <v>5740</v>
      </c>
      <c r="C4509" s="2" t="s">
        <v>5741</v>
      </c>
      <c r="D4509" s="2">
        <v>0.42</v>
      </c>
      <c r="E4509" s="2">
        <v>34.0</v>
      </c>
      <c r="F4509" s="2">
        <v>14.28</v>
      </c>
      <c r="G4509" s="4">
        <f t="shared" si="3"/>
        <v>9542284.83</v>
      </c>
      <c r="H4509" s="4">
        <f t="shared" si="1"/>
        <v>0.9997764997</v>
      </c>
      <c r="I4509" s="4" t="str">
        <f t="shared" si="2"/>
        <v>C</v>
      </c>
    </row>
    <row r="4510">
      <c r="A4510" s="2">
        <v>4509.0</v>
      </c>
      <c r="B4510" s="2">
        <v>21097.0</v>
      </c>
      <c r="C4510" s="2" t="s">
        <v>5742</v>
      </c>
      <c r="D4510" s="2">
        <v>0.85</v>
      </c>
      <c r="E4510" s="2">
        <v>16.0</v>
      </c>
      <c r="F4510" s="2">
        <v>14.02</v>
      </c>
      <c r="G4510" s="4">
        <f t="shared" si="3"/>
        <v>9542298.85</v>
      </c>
      <c r="H4510" s="4">
        <f t="shared" si="1"/>
        <v>0.9997779687</v>
      </c>
      <c r="I4510" s="4" t="str">
        <f t="shared" si="2"/>
        <v>C</v>
      </c>
    </row>
    <row r="4511">
      <c r="A4511" s="2">
        <v>4510.0</v>
      </c>
      <c r="B4511" s="2" t="s">
        <v>5743</v>
      </c>
      <c r="C4511" s="2" t="s">
        <v>5744</v>
      </c>
      <c r="D4511" s="2">
        <v>1.95</v>
      </c>
      <c r="E4511" s="2">
        <v>14.0</v>
      </c>
      <c r="F4511" s="2">
        <v>14.0</v>
      </c>
      <c r="G4511" s="4">
        <f t="shared" si="3"/>
        <v>9542312.85</v>
      </c>
      <c r="H4511" s="4">
        <f t="shared" si="1"/>
        <v>0.9997794355</v>
      </c>
      <c r="I4511" s="4" t="str">
        <f t="shared" si="2"/>
        <v>C</v>
      </c>
    </row>
    <row r="4512">
      <c r="A4512" s="2">
        <v>4511.0</v>
      </c>
      <c r="B4512" s="2" t="s">
        <v>5745</v>
      </c>
      <c r="C4512" s="2" t="s">
        <v>5746</v>
      </c>
      <c r="D4512" s="2">
        <v>1.25</v>
      </c>
      <c r="E4512" s="2">
        <v>10.0</v>
      </c>
      <c r="F4512" s="2">
        <v>13.86</v>
      </c>
      <c r="G4512" s="4">
        <f t="shared" si="3"/>
        <v>9542326.71</v>
      </c>
      <c r="H4512" s="4">
        <f t="shared" si="1"/>
        <v>0.9997808876</v>
      </c>
      <c r="I4512" s="4" t="str">
        <f t="shared" si="2"/>
        <v>C</v>
      </c>
    </row>
    <row r="4513">
      <c r="A4513" s="2">
        <v>4512.0</v>
      </c>
      <c r="B4513" s="2">
        <v>23637.0</v>
      </c>
      <c r="C4513" s="2" t="s">
        <v>5747</v>
      </c>
      <c r="D4513" s="2">
        <v>2.49</v>
      </c>
      <c r="E4513" s="2">
        <v>6.0</v>
      </c>
      <c r="F4513" s="2">
        <v>13.7</v>
      </c>
      <c r="G4513" s="4">
        <f t="shared" si="3"/>
        <v>9542340.41</v>
      </c>
      <c r="H4513" s="4">
        <f t="shared" si="1"/>
        <v>0.999782323</v>
      </c>
      <c r="I4513" s="4" t="str">
        <f t="shared" si="2"/>
        <v>C</v>
      </c>
    </row>
    <row r="4514">
      <c r="A4514" s="2">
        <v>4513.0</v>
      </c>
      <c r="B4514" s="2">
        <v>23613.0</v>
      </c>
      <c r="C4514" s="2" t="s">
        <v>5748</v>
      </c>
      <c r="D4514" s="2">
        <v>2.49</v>
      </c>
      <c r="E4514" s="2">
        <v>6.0</v>
      </c>
      <c r="F4514" s="2">
        <v>13.7</v>
      </c>
      <c r="G4514" s="4">
        <f t="shared" si="3"/>
        <v>9542354.11</v>
      </c>
      <c r="H4514" s="4">
        <f t="shared" si="1"/>
        <v>0.9997837584</v>
      </c>
      <c r="I4514" s="4" t="str">
        <f t="shared" si="2"/>
        <v>C</v>
      </c>
    </row>
    <row r="4515">
      <c r="A4515" s="2">
        <v>4514.0</v>
      </c>
      <c r="B4515" s="2" t="s">
        <v>5749</v>
      </c>
      <c r="C4515" s="2" t="s">
        <v>5750</v>
      </c>
      <c r="D4515" s="2">
        <v>13.57</v>
      </c>
      <c r="E4515" s="2">
        <v>1.0</v>
      </c>
      <c r="F4515" s="2">
        <v>13.57</v>
      </c>
      <c r="G4515" s="4">
        <f t="shared" si="3"/>
        <v>9542367.68</v>
      </c>
      <c r="H4515" s="4">
        <f t="shared" si="1"/>
        <v>0.9997851802</v>
      </c>
      <c r="I4515" s="4" t="str">
        <f t="shared" si="2"/>
        <v>C</v>
      </c>
    </row>
    <row r="4516">
      <c r="A4516" s="2">
        <v>4515.0</v>
      </c>
      <c r="B4516" s="2" t="s">
        <v>5751</v>
      </c>
      <c r="C4516" s="2" t="s">
        <v>5752</v>
      </c>
      <c r="D4516" s="2">
        <v>3.39</v>
      </c>
      <c r="E4516" s="2">
        <v>4.0</v>
      </c>
      <c r="F4516" s="2">
        <v>13.52</v>
      </c>
      <c r="G4516" s="4">
        <f t="shared" si="3"/>
        <v>9542381.2</v>
      </c>
      <c r="H4516" s="4">
        <f t="shared" si="1"/>
        <v>0.9997865967</v>
      </c>
      <c r="I4516" s="4" t="str">
        <f t="shared" si="2"/>
        <v>C</v>
      </c>
    </row>
    <row r="4517">
      <c r="A4517" s="2">
        <v>4516.0</v>
      </c>
      <c r="B4517" s="2">
        <v>23702.0</v>
      </c>
      <c r="C4517" s="2" t="s">
        <v>5753</v>
      </c>
      <c r="D4517" s="2">
        <v>3.0</v>
      </c>
      <c r="E4517" s="2">
        <v>2.0</v>
      </c>
      <c r="F4517" s="2">
        <v>13.5</v>
      </c>
      <c r="G4517" s="4">
        <f t="shared" si="3"/>
        <v>9542394.7</v>
      </c>
      <c r="H4517" s="4">
        <f t="shared" si="1"/>
        <v>0.9997880112</v>
      </c>
      <c r="I4517" s="4" t="str">
        <f t="shared" si="2"/>
        <v>C</v>
      </c>
    </row>
    <row r="4518">
      <c r="A4518" s="2">
        <v>4517.0</v>
      </c>
      <c r="B4518" s="2" t="s">
        <v>5754</v>
      </c>
      <c r="C4518" s="2" t="s">
        <v>5755</v>
      </c>
      <c r="D4518" s="2">
        <v>1.65</v>
      </c>
      <c r="E4518" s="2">
        <v>31.0</v>
      </c>
      <c r="F4518" s="2">
        <v>13.35</v>
      </c>
      <c r="G4518" s="4">
        <f t="shared" si="3"/>
        <v>9542408.05</v>
      </c>
      <c r="H4518" s="4">
        <f t="shared" si="1"/>
        <v>0.9997894099</v>
      </c>
      <c r="I4518" s="4" t="str">
        <f t="shared" si="2"/>
        <v>C</v>
      </c>
    </row>
    <row r="4519">
      <c r="A4519" s="2">
        <v>4518.0</v>
      </c>
      <c r="B4519" s="2" t="s">
        <v>5756</v>
      </c>
      <c r="C4519" s="2" t="s">
        <v>5757</v>
      </c>
      <c r="D4519" s="2">
        <v>2.95</v>
      </c>
      <c r="E4519" s="2">
        <v>4.0</v>
      </c>
      <c r="F4519" s="2">
        <v>13.26</v>
      </c>
      <c r="G4519" s="4">
        <f t="shared" si="3"/>
        <v>9542421.31</v>
      </c>
      <c r="H4519" s="4">
        <f t="shared" si="1"/>
        <v>0.9997907992</v>
      </c>
      <c r="I4519" s="4" t="str">
        <f t="shared" si="2"/>
        <v>C</v>
      </c>
    </row>
    <row r="4520">
      <c r="A4520" s="2">
        <v>4519.0</v>
      </c>
      <c r="B4520" s="2" t="s">
        <v>5758</v>
      </c>
      <c r="C4520" s="2" t="s">
        <v>5759</v>
      </c>
      <c r="D4520" s="2">
        <v>3.75</v>
      </c>
      <c r="E4520" s="2">
        <v>4.0</v>
      </c>
      <c r="F4520" s="2">
        <v>13.25</v>
      </c>
      <c r="G4520" s="4">
        <f t="shared" si="3"/>
        <v>9542434.56</v>
      </c>
      <c r="H4520" s="4">
        <f t="shared" si="1"/>
        <v>0.9997921874</v>
      </c>
      <c r="I4520" s="4" t="str">
        <f t="shared" si="2"/>
        <v>C</v>
      </c>
    </row>
    <row r="4521">
      <c r="A4521" s="2">
        <v>4520.0</v>
      </c>
      <c r="B4521" s="2">
        <v>23636.0</v>
      </c>
      <c r="C4521" s="2" t="s">
        <v>5760</v>
      </c>
      <c r="D4521" s="2">
        <v>2.91</v>
      </c>
      <c r="E4521" s="2">
        <v>4.0</v>
      </c>
      <c r="F4521" s="2">
        <v>13.1</v>
      </c>
      <c r="G4521" s="4">
        <f t="shared" si="3"/>
        <v>9542447.66</v>
      </c>
      <c r="H4521" s="4">
        <f t="shared" si="1"/>
        <v>0.99979356</v>
      </c>
      <c r="I4521" s="4" t="str">
        <f t="shared" si="2"/>
        <v>C</v>
      </c>
    </row>
    <row r="4522">
      <c r="A4522" s="2">
        <v>4521.0</v>
      </c>
      <c r="B4522" s="2" t="s">
        <v>5761</v>
      </c>
      <c r="C4522" s="2" t="s">
        <v>5762</v>
      </c>
      <c r="D4522" s="2">
        <v>2.9</v>
      </c>
      <c r="E4522" s="2">
        <v>4.0</v>
      </c>
      <c r="F4522" s="2">
        <v>13.08</v>
      </c>
      <c r="G4522" s="4">
        <f t="shared" si="3"/>
        <v>9542460.74</v>
      </c>
      <c r="H4522" s="4">
        <f t="shared" si="1"/>
        <v>0.9997949304</v>
      </c>
      <c r="I4522" s="4" t="str">
        <f t="shared" si="2"/>
        <v>C</v>
      </c>
    </row>
    <row r="4523">
      <c r="A4523" s="2">
        <v>4522.0</v>
      </c>
      <c r="B4523" s="2" t="s">
        <v>5763</v>
      </c>
      <c r="C4523" s="2" t="s">
        <v>2094</v>
      </c>
      <c r="D4523" s="2">
        <v>26.04</v>
      </c>
      <c r="E4523" s="2">
        <v>0.0</v>
      </c>
      <c r="F4523" s="2">
        <v>13.02</v>
      </c>
      <c r="G4523" s="4">
        <f t="shared" si="3"/>
        <v>9542473.76</v>
      </c>
      <c r="H4523" s="4">
        <f t="shared" si="1"/>
        <v>0.9997962945</v>
      </c>
      <c r="I4523" s="4" t="str">
        <f t="shared" si="2"/>
        <v>C</v>
      </c>
    </row>
    <row r="4524">
      <c r="A4524" s="2">
        <v>4523.0</v>
      </c>
      <c r="B4524" s="2">
        <v>90041.0</v>
      </c>
      <c r="C4524" s="2" t="s">
        <v>5764</v>
      </c>
      <c r="D4524" s="2">
        <v>3.73</v>
      </c>
      <c r="E4524" s="2">
        <v>4.0</v>
      </c>
      <c r="F4524" s="2">
        <v>12.84</v>
      </c>
      <c r="G4524" s="4">
        <f t="shared" si="3"/>
        <v>9542486.6</v>
      </c>
      <c r="H4524" s="4">
        <f t="shared" si="1"/>
        <v>0.9997976398</v>
      </c>
      <c r="I4524" s="4" t="str">
        <f t="shared" si="2"/>
        <v>C</v>
      </c>
    </row>
    <row r="4525">
      <c r="A4525" s="2">
        <v>4524.0</v>
      </c>
      <c r="B4525" s="2">
        <v>20954.0</v>
      </c>
      <c r="C4525" s="2" t="s">
        <v>5765</v>
      </c>
      <c r="D4525" s="2">
        <v>8.47</v>
      </c>
      <c r="E4525" s="2">
        <v>2.0</v>
      </c>
      <c r="F4525" s="2">
        <v>12.8</v>
      </c>
      <c r="G4525" s="4">
        <f t="shared" si="3"/>
        <v>9542499.4</v>
      </c>
      <c r="H4525" s="4">
        <f t="shared" si="1"/>
        <v>0.9997989809</v>
      </c>
      <c r="I4525" s="4" t="str">
        <f t="shared" si="2"/>
        <v>C</v>
      </c>
    </row>
    <row r="4526">
      <c r="A4526" s="2">
        <v>4525.0</v>
      </c>
      <c r="B4526" s="2" t="s">
        <v>5766</v>
      </c>
      <c r="C4526" s="2" t="s">
        <v>5767</v>
      </c>
      <c r="D4526" s="2">
        <v>5.09</v>
      </c>
      <c r="E4526" s="2">
        <v>2.0</v>
      </c>
      <c r="F4526" s="2">
        <v>12.72</v>
      </c>
      <c r="G4526" s="4">
        <f t="shared" si="3"/>
        <v>9542512.12</v>
      </c>
      <c r="H4526" s="4">
        <f t="shared" si="1"/>
        <v>0.9998003136</v>
      </c>
      <c r="I4526" s="4" t="str">
        <f t="shared" si="2"/>
        <v>C</v>
      </c>
    </row>
    <row r="4527">
      <c r="A4527" s="2">
        <v>4526.0</v>
      </c>
      <c r="B4527" s="2" t="s">
        <v>5768</v>
      </c>
      <c r="C4527" s="2" t="s">
        <v>1832</v>
      </c>
      <c r="D4527" s="2">
        <v>8.47</v>
      </c>
      <c r="E4527" s="2">
        <v>2.0</v>
      </c>
      <c r="F4527" s="2">
        <v>12.71</v>
      </c>
      <c r="G4527" s="4">
        <f t="shared" si="3"/>
        <v>9542524.83</v>
      </c>
      <c r="H4527" s="4">
        <f t="shared" si="1"/>
        <v>0.9998016453</v>
      </c>
      <c r="I4527" s="4" t="str">
        <f t="shared" si="2"/>
        <v>C</v>
      </c>
    </row>
    <row r="4528">
      <c r="A4528" s="2">
        <v>4527.0</v>
      </c>
      <c r="B4528" s="2" t="s">
        <v>5769</v>
      </c>
      <c r="C4528" s="2" t="s">
        <v>5770</v>
      </c>
      <c r="D4528" s="2">
        <v>1.95</v>
      </c>
      <c r="E4528" s="2">
        <v>6.0</v>
      </c>
      <c r="F4528" s="2">
        <v>12.68</v>
      </c>
      <c r="G4528" s="4">
        <f t="shared" si="3"/>
        <v>9542537.51</v>
      </c>
      <c r="H4528" s="4">
        <f t="shared" si="1"/>
        <v>0.9998029738</v>
      </c>
      <c r="I4528" s="4" t="str">
        <f t="shared" si="2"/>
        <v>C</v>
      </c>
    </row>
    <row r="4529">
      <c r="A4529" s="2">
        <v>4528.0</v>
      </c>
      <c r="B4529" s="2" t="s">
        <v>5771</v>
      </c>
      <c r="C4529" s="2" t="s">
        <v>5772</v>
      </c>
      <c r="D4529" s="2">
        <v>0.84</v>
      </c>
      <c r="E4529" s="2">
        <v>34.0</v>
      </c>
      <c r="F4529" s="2">
        <v>12.67</v>
      </c>
      <c r="G4529" s="4">
        <f t="shared" si="3"/>
        <v>9542550.18</v>
      </c>
      <c r="H4529" s="4">
        <f t="shared" si="1"/>
        <v>0.9998043013</v>
      </c>
      <c r="I4529" s="4" t="str">
        <f t="shared" si="2"/>
        <v>C</v>
      </c>
    </row>
    <row r="4530">
      <c r="A4530" s="2">
        <v>4529.0</v>
      </c>
      <c r="B4530" s="2" t="s">
        <v>5773</v>
      </c>
      <c r="C4530" s="2" t="s">
        <v>5774</v>
      </c>
      <c r="D4530" s="2">
        <v>0.65</v>
      </c>
      <c r="E4530" s="2">
        <v>29.0</v>
      </c>
      <c r="F4530" s="2">
        <v>12.64</v>
      </c>
      <c r="G4530" s="4">
        <f t="shared" si="3"/>
        <v>9542562.82</v>
      </c>
      <c r="H4530" s="4">
        <f t="shared" si="1"/>
        <v>0.9998056257</v>
      </c>
      <c r="I4530" s="4" t="str">
        <f t="shared" si="2"/>
        <v>C</v>
      </c>
    </row>
    <row r="4531">
      <c r="A4531" s="2">
        <v>4530.0</v>
      </c>
      <c r="B4531" s="2">
        <v>90055.0</v>
      </c>
      <c r="C4531" s="2" t="s">
        <v>5775</v>
      </c>
      <c r="D4531" s="2">
        <v>2.54</v>
      </c>
      <c r="E4531" s="2">
        <v>5.0</v>
      </c>
      <c r="F4531" s="2">
        <v>12.64</v>
      </c>
      <c r="G4531" s="4">
        <f t="shared" si="3"/>
        <v>9542575.46</v>
      </c>
      <c r="H4531" s="4">
        <f t="shared" si="1"/>
        <v>0.99980695</v>
      </c>
      <c r="I4531" s="4" t="str">
        <f t="shared" si="2"/>
        <v>C</v>
      </c>
    </row>
    <row r="4532">
      <c r="A4532" s="2">
        <v>4531.0</v>
      </c>
      <c r="B4532" s="2">
        <v>90053.0</v>
      </c>
      <c r="C4532" s="2" t="s">
        <v>5776</v>
      </c>
      <c r="D4532" s="2">
        <v>2.54</v>
      </c>
      <c r="E4532" s="2">
        <v>5.0</v>
      </c>
      <c r="F4532" s="2">
        <v>12.62</v>
      </c>
      <c r="G4532" s="4">
        <f t="shared" si="3"/>
        <v>9542588.08</v>
      </c>
      <c r="H4532" s="4">
        <f t="shared" si="1"/>
        <v>0.9998082722</v>
      </c>
      <c r="I4532" s="4" t="str">
        <f t="shared" si="2"/>
        <v>C</v>
      </c>
    </row>
    <row r="4533">
      <c r="A4533" s="2">
        <v>4532.0</v>
      </c>
      <c r="B4533" s="2" t="s">
        <v>5777</v>
      </c>
      <c r="C4533" s="2" t="s">
        <v>5778</v>
      </c>
      <c r="D4533" s="2">
        <v>2.51</v>
      </c>
      <c r="E4533" s="2">
        <v>5.0</v>
      </c>
      <c r="F4533" s="2">
        <v>12.55</v>
      </c>
      <c r="G4533" s="4">
        <f t="shared" si="3"/>
        <v>9542600.63</v>
      </c>
      <c r="H4533" s="4">
        <f t="shared" si="1"/>
        <v>0.9998095871</v>
      </c>
      <c r="I4533" s="4" t="str">
        <f t="shared" si="2"/>
        <v>C</v>
      </c>
    </row>
    <row r="4534">
      <c r="A4534" s="2">
        <v>4533.0</v>
      </c>
      <c r="B4534" s="2" t="s">
        <v>5779</v>
      </c>
      <c r="C4534" s="2" t="s">
        <v>1206</v>
      </c>
      <c r="D4534" s="2">
        <v>2.51</v>
      </c>
      <c r="E4534" s="2">
        <v>5.0</v>
      </c>
      <c r="F4534" s="2">
        <v>12.55</v>
      </c>
      <c r="G4534" s="4">
        <f t="shared" si="3"/>
        <v>9542613.18</v>
      </c>
      <c r="H4534" s="4">
        <f t="shared" si="1"/>
        <v>0.999810902</v>
      </c>
      <c r="I4534" s="4" t="str">
        <f t="shared" si="2"/>
        <v>C</v>
      </c>
    </row>
    <row r="4535">
      <c r="A4535" s="2">
        <v>4534.0</v>
      </c>
      <c r="B4535" s="2" t="s">
        <v>5780</v>
      </c>
      <c r="C4535" s="2" t="s">
        <v>5781</v>
      </c>
      <c r="D4535" s="2">
        <v>1.86</v>
      </c>
      <c r="E4535" s="2">
        <v>8.0</v>
      </c>
      <c r="F4535" s="2">
        <v>12.52</v>
      </c>
      <c r="G4535" s="4">
        <f t="shared" si="3"/>
        <v>9542625.7</v>
      </c>
      <c r="H4535" s="4">
        <f t="shared" si="1"/>
        <v>0.9998122138</v>
      </c>
      <c r="I4535" s="4" t="str">
        <f t="shared" si="2"/>
        <v>C</v>
      </c>
    </row>
    <row r="4536">
      <c r="A4536" s="2">
        <v>4535.0</v>
      </c>
      <c r="B4536" s="2">
        <v>23620.0</v>
      </c>
      <c r="C4536" s="2" t="s">
        <v>5782</v>
      </c>
      <c r="D4536" s="2">
        <v>2.49</v>
      </c>
      <c r="E4536" s="2">
        <v>5.0</v>
      </c>
      <c r="F4536" s="2">
        <v>12.45</v>
      </c>
      <c r="G4536" s="4">
        <f t="shared" si="3"/>
        <v>9542638.15</v>
      </c>
      <c r="H4536" s="4">
        <f t="shared" si="1"/>
        <v>0.9998135182</v>
      </c>
      <c r="I4536" s="4" t="str">
        <f t="shared" si="2"/>
        <v>C</v>
      </c>
    </row>
    <row r="4537">
      <c r="A4537" s="2">
        <v>4536.0</v>
      </c>
      <c r="B4537" s="2" t="s">
        <v>5783</v>
      </c>
      <c r="C4537" s="2" t="s">
        <v>1766</v>
      </c>
      <c r="D4537" s="2">
        <v>8.29</v>
      </c>
      <c r="E4537" s="2">
        <v>2.0</v>
      </c>
      <c r="F4537" s="2">
        <v>12.43</v>
      </c>
      <c r="G4537" s="4">
        <f t="shared" si="3"/>
        <v>9542650.58</v>
      </c>
      <c r="H4537" s="4">
        <f t="shared" si="1"/>
        <v>0.9998148206</v>
      </c>
      <c r="I4537" s="4" t="str">
        <f t="shared" si="2"/>
        <v>C</v>
      </c>
    </row>
    <row r="4538">
      <c r="A4538" s="2">
        <v>4537.0</v>
      </c>
      <c r="B4538" s="2">
        <v>84550.0</v>
      </c>
      <c r="C4538" s="2" t="s">
        <v>5784</v>
      </c>
      <c r="D4538" s="2">
        <v>1.65</v>
      </c>
      <c r="E4538" s="2">
        <v>8.0</v>
      </c>
      <c r="F4538" s="2">
        <v>12.37</v>
      </c>
      <c r="G4538" s="4">
        <f t="shared" si="3"/>
        <v>9542662.95</v>
      </c>
      <c r="H4538" s="4">
        <f t="shared" si="1"/>
        <v>0.9998161166</v>
      </c>
      <c r="I4538" s="4" t="str">
        <f t="shared" si="2"/>
        <v>C</v>
      </c>
    </row>
    <row r="4539">
      <c r="A4539" s="2">
        <v>4538.0</v>
      </c>
      <c r="B4539" s="2" t="s">
        <v>5785</v>
      </c>
      <c r="C4539" s="2" t="s">
        <v>5786</v>
      </c>
      <c r="D4539" s="2">
        <v>0.19</v>
      </c>
      <c r="E4539" s="2">
        <v>65.0</v>
      </c>
      <c r="F4539" s="2">
        <v>12.35</v>
      </c>
      <c r="G4539" s="4">
        <f t="shared" si="3"/>
        <v>9542675.3</v>
      </c>
      <c r="H4539" s="4">
        <f t="shared" si="1"/>
        <v>0.9998174106</v>
      </c>
      <c r="I4539" s="4" t="str">
        <f t="shared" si="2"/>
        <v>C</v>
      </c>
    </row>
    <row r="4540">
      <c r="A4540" s="2">
        <v>4539.0</v>
      </c>
      <c r="B4540" s="2">
        <v>35596.0</v>
      </c>
      <c r="C4540" s="2" t="s">
        <v>5787</v>
      </c>
      <c r="D4540" s="2">
        <v>0.85</v>
      </c>
      <c r="E4540" s="2">
        <v>14.0</v>
      </c>
      <c r="F4540" s="2">
        <v>12.32</v>
      </c>
      <c r="G4540" s="4">
        <f t="shared" si="3"/>
        <v>9542687.62</v>
      </c>
      <c r="H4540" s="4">
        <f t="shared" si="1"/>
        <v>0.9998187014</v>
      </c>
      <c r="I4540" s="4" t="str">
        <f t="shared" si="2"/>
        <v>C</v>
      </c>
    </row>
    <row r="4541">
      <c r="A4541" s="2">
        <v>4540.0</v>
      </c>
      <c r="B4541" s="2" t="s">
        <v>5788</v>
      </c>
      <c r="C4541" s="2" t="s">
        <v>5789</v>
      </c>
      <c r="D4541" s="2">
        <v>0.42</v>
      </c>
      <c r="E4541" s="2">
        <v>29.0</v>
      </c>
      <c r="F4541" s="2">
        <v>12.18</v>
      </c>
      <c r="G4541" s="4">
        <f t="shared" si="3"/>
        <v>9542699.8</v>
      </c>
      <c r="H4541" s="4">
        <f t="shared" si="1"/>
        <v>0.9998199775</v>
      </c>
      <c r="I4541" s="4" t="str">
        <f t="shared" si="2"/>
        <v>C</v>
      </c>
    </row>
    <row r="4542">
      <c r="A4542" s="2">
        <v>4541.0</v>
      </c>
      <c r="B4542" s="2" t="s">
        <v>5790</v>
      </c>
      <c r="C4542" s="2" t="s">
        <v>5791</v>
      </c>
      <c r="D4542" s="2">
        <v>0.42</v>
      </c>
      <c r="E4542" s="2">
        <v>26.0</v>
      </c>
      <c r="F4542" s="2">
        <v>12.09</v>
      </c>
      <c r="G4542" s="4">
        <f t="shared" si="3"/>
        <v>9542711.89</v>
      </c>
      <c r="H4542" s="4">
        <f t="shared" si="1"/>
        <v>0.9998212442</v>
      </c>
      <c r="I4542" s="4" t="str">
        <f t="shared" si="2"/>
        <v>C</v>
      </c>
    </row>
    <row r="4543">
      <c r="A4543" s="2">
        <v>4542.0</v>
      </c>
      <c r="B4543" s="2" t="s">
        <v>5792</v>
      </c>
      <c r="C4543" s="2" t="s">
        <v>3158</v>
      </c>
      <c r="D4543" s="2">
        <v>6.04</v>
      </c>
      <c r="E4543" s="2">
        <v>2.0</v>
      </c>
      <c r="F4543" s="2">
        <v>12.08</v>
      </c>
      <c r="G4543" s="4">
        <f t="shared" si="3"/>
        <v>9542723.97</v>
      </c>
      <c r="H4543" s="4">
        <f t="shared" si="1"/>
        <v>0.9998225099</v>
      </c>
      <c r="I4543" s="4" t="str">
        <f t="shared" si="2"/>
        <v>C</v>
      </c>
    </row>
    <row r="4544">
      <c r="A4544" s="2">
        <v>4543.0</v>
      </c>
      <c r="B4544" s="2" t="s">
        <v>5793</v>
      </c>
      <c r="C4544" s="2" t="s">
        <v>5794</v>
      </c>
      <c r="D4544" s="2">
        <v>5.95</v>
      </c>
      <c r="E4544" s="2">
        <v>2.0</v>
      </c>
      <c r="F4544" s="2">
        <v>11.9</v>
      </c>
      <c r="G4544" s="4">
        <f t="shared" si="3"/>
        <v>9542735.87</v>
      </c>
      <c r="H4544" s="4">
        <f t="shared" si="1"/>
        <v>0.9998237567</v>
      </c>
      <c r="I4544" s="4" t="str">
        <f t="shared" si="2"/>
        <v>C</v>
      </c>
    </row>
    <row r="4545">
      <c r="A4545" s="2">
        <v>4544.0</v>
      </c>
      <c r="B4545" s="2" t="s">
        <v>5795</v>
      </c>
      <c r="C4545" s="2" t="s">
        <v>5796</v>
      </c>
      <c r="D4545" s="2">
        <v>1.25</v>
      </c>
      <c r="E4545" s="2">
        <v>9.0</v>
      </c>
      <c r="F4545" s="2">
        <v>11.88</v>
      </c>
      <c r="G4545" s="4">
        <f t="shared" si="3"/>
        <v>9542747.75</v>
      </c>
      <c r="H4545" s="4">
        <f t="shared" si="1"/>
        <v>0.9998250014</v>
      </c>
      <c r="I4545" s="4" t="str">
        <f t="shared" si="2"/>
        <v>C</v>
      </c>
    </row>
    <row r="4546">
      <c r="A4546" s="2">
        <v>4545.0</v>
      </c>
      <c r="B4546" s="2" t="s">
        <v>5797</v>
      </c>
      <c r="C4546" s="2" t="s">
        <v>2110</v>
      </c>
      <c r="D4546" s="2">
        <v>5.91</v>
      </c>
      <c r="E4546" s="2">
        <v>2.0</v>
      </c>
      <c r="F4546" s="2">
        <v>11.88</v>
      </c>
      <c r="G4546" s="4">
        <f t="shared" si="3"/>
        <v>9542759.63</v>
      </c>
      <c r="H4546" s="4">
        <f t="shared" si="1"/>
        <v>0.9998262461</v>
      </c>
      <c r="I4546" s="4" t="str">
        <f t="shared" si="2"/>
        <v>C</v>
      </c>
    </row>
    <row r="4547">
      <c r="A4547" s="2">
        <v>4546.0</v>
      </c>
      <c r="B4547" s="2" t="s">
        <v>5798</v>
      </c>
      <c r="C4547" s="2" t="s">
        <v>5799</v>
      </c>
      <c r="D4547" s="2">
        <v>1.65</v>
      </c>
      <c r="E4547" s="2">
        <v>30.0</v>
      </c>
      <c r="F4547" s="2">
        <v>11.85</v>
      </c>
      <c r="G4547" s="4">
        <f t="shared" si="3"/>
        <v>9542771.48</v>
      </c>
      <c r="H4547" s="4">
        <f t="shared" si="1"/>
        <v>0.9998274876</v>
      </c>
      <c r="I4547" s="4" t="str">
        <f t="shared" si="2"/>
        <v>C</v>
      </c>
    </row>
    <row r="4548">
      <c r="A4548" s="2">
        <v>4547.0</v>
      </c>
      <c r="B4548" s="2" t="s">
        <v>5800</v>
      </c>
      <c r="C4548" s="2" t="s">
        <v>440</v>
      </c>
      <c r="D4548" s="2">
        <v>5.91</v>
      </c>
      <c r="E4548" s="2">
        <v>2.0</v>
      </c>
      <c r="F4548" s="2">
        <v>11.82</v>
      </c>
      <c r="G4548" s="4">
        <f t="shared" si="3"/>
        <v>9542783.3</v>
      </c>
      <c r="H4548" s="4">
        <f t="shared" si="1"/>
        <v>0.9998287261</v>
      </c>
      <c r="I4548" s="4" t="str">
        <f t="shared" si="2"/>
        <v>C</v>
      </c>
    </row>
    <row r="4549">
      <c r="A4549" s="2">
        <v>4548.0</v>
      </c>
      <c r="B4549" s="2" t="s">
        <v>5801</v>
      </c>
      <c r="C4549" s="2" t="s">
        <v>5802</v>
      </c>
      <c r="D4549" s="2">
        <v>2.96</v>
      </c>
      <c r="E4549" s="2">
        <v>4.0</v>
      </c>
      <c r="F4549" s="2">
        <v>11.8</v>
      </c>
      <c r="G4549" s="4">
        <f t="shared" si="3"/>
        <v>9542795.1</v>
      </c>
      <c r="H4549" s="4">
        <f t="shared" si="1"/>
        <v>0.9998299624</v>
      </c>
      <c r="I4549" s="4" t="str">
        <f t="shared" si="2"/>
        <v>C</v>
      </c>
    </row>
    <row r="4550">
      <c r="A4550" s="2">
        <v>4549.0</v>
      </c>
      <c r="B4550" s="2" t="s">
        <v>5803</v>
      </c>
      <c r="C4550" s="2" t="s">
        <v>1288</v>
      </c>
      <c r="D4550" s="2">
        <v>3.36</v>
      </c>
      <c r="E4550" s="2">
        <v>4.0</v>
      </c>
      <c r="F4550" s="2">
        <v>11.76</v>
      </c>
      <c r="G4550" s="4">
        <f t="shared" si="3"/>
        <v>9542806.86</v>
      </c>
      <c r="H4550" s="4">
        <f t="shared" si="1"/>
        <v>0.9998311945</v>
      </c>
      <c r="I4550" s="4" t="str">
        <f t="shared" si="2"/>
        <v>C</v>
      </c>
    </row>
    <row r="4551">
      <c r="A4551" s="2">
        <v>4550.0</v>
      </c>
      <c r="B4551" s="2">
        <v>23623.0</v>
      </c>
      <c r="C4551" s="2" t="s">
        <v>5804</v>
      </c>
      <c r="D4551" s="2">
        <v>2.91</v>
      </c>
      <c r="E4551" s="2">
        <v>4.0</v>
      </c>
      <c r="F4551" s="2">
        <v>11.64</v>
      </c>
      <c r="G4551" s="4">
        <f t="shared" si="3"/>
        <v>9542818.5</v>
      </c>
      <c r="H4551" s="4">
        <f t="shared" si="1"/>
        <v>0.9998324141</v>
      </c>
      <c r="I4551" s="4" t="str">
        <f t="shared" si="2"/>
        <v>C</v>
      </c>
    </row>
    <row r="4552">
      <c r="A4552" s="2">
        <v>4551.0</v>
      </c>
      <c r="B4552" s="2">
        <v>84456.0</v>
      </c>
      <c r="C4552" s="2" t="s">
        <v>5805</v>
      </c>
      <c r="D4552" s="2">
        <v>0.85</v>
      </c>
      <c r="E4552" s="2">
        <v>12.0</v>
      </c>
      <c r="F4552" s="2">
        <v>11.48</v>
      </c>
      <c r="G4552" s="4">
        <f t="shared" si="3"/>
        <v>9542829.98</v>
      </c>
      <c r="H4552" s="4">
        <f t="shared" si="1"/>
        <v>0.9998336169</v>
      </c>
      <c r="I4552" s="4" t="str">
        <f t="shared" si="2"/>
        <v>C</v>
      </c>
    </row>
    <row r="4553">
      <c r="A4553" s="2">
        <v>4552.0</v>
      </c>
      <c r="B4553" s="2">
        <v>90095.0</v>
      </c>
      <c r="C4553" s="2" t="s">
        <v>5806</v>
      </c>
      <c r="D4553" s="2">
        <v>2.55</v>
      </c>
      <c r="E4553" s="2">
        <v>4.0</v>
      </c>
      <c r="F4553" s="2">
        <v>11.45</v>
      </c>
      <c r="G4553" s="4">
        <f t="shared" si="3"/>
        <v>9542841.43</v>
      </c>
      <c r="H4553" s="4">
        <f t="shared" si="1"/>
        <v>0.9998348165</v>
      </c>
      <c r="I4553" s="4" t="str">
        <f t="shared" si="2"/>
        <v>C</v>
      </c>
    </row>
    <row r="4554">
      <c r="A4554" s="2">
        <v>4553.0</v>
      </c>
      <c r="B4554" s="2" t="s">
        <v>5807</v>
      </c>
      <c r="C4554" s="2" t="s">
        <v>5808</v>
      </c>
      <c r="D4554" s="2">
        <v>3.75</v>
      </c>
      <c r="E4554" s="2">
        <v>3.0</v>
      </c>
      <c r="F4554" s="2">
        <v>11.28</v>
      </c>
      <c r="G4554" s="4">
        <f t="shared" si="3"/>
        <v>9542852.71</v>
      </c>
      <c r="H4554" s="4">
        <f t="shared" si="1"/>
        <v>0.9998359984</v>
      </c>
      <c r="I4554" s="4" t="str">
        <f t="shared" si="2"/>
        <v>C</v>
      </c>
    </row>
    <row r="4555">
      <c r="A4555" s="2">
        <v>4554.0</v>
      </c>
      <c r="B4555" s="2" t="s">
        <v>5809</v>
      </c>
      <c r="C4555" s="2" t="s">
        <v>5810</v>
      </c>
      <c r="D4555" s="2">
        <v>7.5</v>
      </c>
      <c r="E4555" s="2">
        <v>2.0</v>
      </c>
      <c r="F4555" s="2">
        <v>11.25</v>
      </c>
      <c r="G4555" s="4">
        <f t="shared" si="3"/>
        <v>9542863.96</v>
      </c>
      <c r="H4555" s="4">
        <f t="shared" si="1"/>
        <v>0.9998371771</v>
      </c>
      <c r="I4555" s="4" t="str">
        <f t="shared" si="2"/>
        <v>C</v>
      </c>
    </row>
    <row r="4556">
      <c r="A4556" s="2">
        <v>4555.0</v>
      </c>
      <c r="B4556" s="2" t="s">
        <v>5811</v>
      </c>
      <c r="C4556" s="2" t="s">
        <v>5812</v>
      </c>
      <c r="D4556" s="2">
        <v>1.25</v>
      </c>
      <c r="E4556" s="2">
        <v>9.0</v>
      </c>
      <c r="F4556" s="2">
        <v>11.25</v>
      </c>
      <c r="G4556" s="4">
        <f t="shared" si="3"/>
        <v>9542875.21</v>
      </c>
      <c r="H4556" s="4">
        <f t="shared" si="1"/>
        <v>0.9998383558</v>
      </c>
      <c r="I4556" s="4" t="str">
        <f t="shared" si="2"/>
        <v>C</v>
      </c>
    </row>
    <row r="4557">
      <c r="A4557" s="2">
        <v>4556.0</v>
      </c>
      <c r="B4557" s="2" t="s">
        <v>5813</v>
      </c>
      <c r="C4557" s="2" t="s">
        <v>5814</v>
      </c>
      <c r="D4557" s="2">
        <v>3.75</v>
      </c>
      <c r="E4557" s="2">
        <v>3.0</v>
      </c>
      <c r="F4557" s="2">
        <v>11.25</v>
      </c>
      <c r="G4557" s="4">
        <f t="shared" si="3"/>
        <v>9542886.46</v>
      </c>
      <c r="H4557" s="4">
        <f t="shared" si="1"/>
        <v>0.9998395345</v>
      </c>
      <c r="I4557" s="4" t="str">
        <f t="shared" si="2"/>
        <v>C</v>
      </c>
    </row>
    <row r="4558">
      <c r="A4558" s="2">
        <v>4557.0</v>
      </c>
      <c r="B4558" s="2">
        <v>85225.0</v>
      </c>
      <c r="C4558" s="2" t="s">
        <v>5815</v>
      </c>
      <c r="D4558" s="2">
        <v>1.25</v>
      </c>
      <c r="E4558" s="2">
        <v>10.0</v>
      </c>
      <c r="F4558" s="2">
        <v>11.25</v>
      </c>
      <c r="G4558" s="4">
        <f t="shared" si="3"/>
        <v>9542897.71</v>
      </c>
      <c r="H4558" s="4">
        <f t="shared" si="1"/>
        <v>0.9998407132</v>
      </c>
      <c r="I4558" s="4" t="str">
        <f t="shared" si="2"/>
        <v>C</v>
      </c>
    </row>
    <row r="4559">
      <c r="A4559" s="2">
        <v>4558.0</v>
      </c>
      <c r="B4559" s="2">
        <v>23645.0</v>
      </c>
      <c r="C4559" s="2" t="s">
        <v>5816</v>
      </c>
      <c r="D4559" s="2">
        <v>2.49</v>
      </c>
      <c r="E4559" s="2">
        <v>4.0</v>
      </c>
      <c r="F4559" s="2">
        <v>11.21</v>
      </c>
      <c r="G4559" s="4">
        <f t="shared" si="3"/>
        <v>9542908.92</v>
      </c>
      <c r="H4559" s="4">
        <f t="shared" si="1"/>
        <v>0.9998418877</v>
      </c>
      <c r="I4559" s="4" t="str">
        <f t="shared" si="2"/>
        <v>C</v>
      </c>
    </row>
    <row r="4560">
      <c r="A4560" s="2">
        <v>4559.0</v>
      </c>
      <c r="B4560" s="2">
        <v>23640.0</v>
      </c>
      <c r="C4560" s="2" t="s">
        <v>5817</v>
      </c>
      <c r="D4560" s="2">
        <v>2.49</v>
      </c>
      <c r="E4560" s="2">
        <v>4.0</v>
      </c>
      <c r="F4560" s="2">
        <v>11.21</v>
      </c>
      <c r="G4560" s="4">
        <f t="shared" si="3"/>
        <v>9542920.13</v>
      </c>
      <c r="H4560" s="4">
        <f t="shared" si="1"/>
        <v>0.9998430622</v>
      </c>
      <c r="I4560" s="4" t="str">
        <f t="shared" si="2"/>
        <v>C</v>
      </c>
    </row>
    <row r="4561">
      <c r="A4561" s="2">
        <v>4560.0</v>
      </c>
      <c r="B4561" s="2">
        <v>35652.0</v>
      </c>
      <c r="C4561" s="2" t="s">
        <v>5818</v>
      </c>
      <c r="D4561" s="2">
        <v>3.62</v>
      </c>
      <c r="E4561" s="2">
        <v>9.0</v>
      </c>
      <c r="F4561" s="2">
        <v>10.75</v>
      </c>
      <c r="G4561" s="4">
        <f t="shared" si="3"/>
        <v>9542930.88</v>
      </c>
      <c r="H4561" s="4">
        <f t="shared" si="1"/>
        <v>0.9998441885</v>
      </c>
      <c r="I4561" s="4" t="str">
        <f t="shared" si="2"/>
        <v>C</v>
      </c>
    </row>
    <row r="4562">
      <c r="A4562" s="2">
        <v>4561.0</v>
      </c>
      <c r="B4562" s="2" t="s">
        <v>5819</v>
      </c>
      <c r="C4562" s="2" t="s">
        <v>5820</v>
      </c>
      <c r="D4562" s="2">
        <v>0.85</v>
      </c>
      <c r="E4562" s="2">
        <v>16.0</v>
      </c>
      <c r="F4562" s="2">
        <v>10.74</v>
      </c>
      <c r="G4562" s="4">
        <f t="shared" si="3"/>
        <v>9542941.62</v>
      </c>
      <c r="H4562" s="4">
        <f t="shared" si="1"/>
        <v>0.9998453138</v>
      </c>
      <c r="I4562" s="4" t="str">
        <f t="shared" si="2"/>
        <v>C</v>
      </c>
    </row>
    <row r="4563">
      <c r="A4563" s="2">
        <v>4562.0</v>
      </c>
      <c r="B4563" s="2" t="s">
        <v>5821</v>
      </c>
      <c r="C4563" s="2" t="s">
        <v>5822</v>
      </c>
      <c r="D4563" s="2">
        <v>1.95</v>
      </c>
      <c r="E4563" s="2">
        <v>6.0</v>
      </c>
      <c r="F4563" s="2">
        <v>10.72</v>
      </c>
      <c r="G4563" s="4">
        <f t="shared" si="3"/>
        <v>9542952.34</v>
      </c>
      <c r="H4563" s="4">
        <f t="shared" si="1"/>
        <v>0.9998464369</v>
      </c>
      <c r="I4563" s="4" t="str">
        <f t="shared" si="2"/>
        <v>C</v>
      </c>
    </row>
    <row r="4564">
      <c r="A4564" s="2">
        <v>4563.0</v>
      </c>
      <c r="B4564" s="2">
        <v>21387.0</v>
      </c>
      <c r="C4564" s="2" t="s">
        <v>5823</v>
      </c>
      <c r="D4564" s="2">
        <v>0.85</v>
      </c>
      <c r="E4564" s="2">
        <v>12.0</v>
      </c>
      <c r="F4564" s="2">
        <v>10.62</v>
      </c>
      <c r="G4564" s="4">
        <f t="shared" si="3"/>
        <v>9542962.96</v>
      </c>
      <c r="H4564" s="4">
        <f t="shared" si="1"/>
        <v>0.9998475496</v>
      </c>
      <c r="I4564" s="4" t="str">
        <f t="shared" si="2"/>
        <v>C</v>
      </c>
    </row>
    <row r="4565">
      <c r="A4565" s="2">
        <v>4564.0</v>
      </c>
      <c r="B4565" s="2" t="s">
        <v>5824</v>
      </c>
      <c r="C4565" s="2" t="s">
        <v>5825</v>
      </c>
      <c r="D4565" s="2">
        <v>2.46</v>
      </c>
      <c r="E4565" s="2">
        <v>6.0</v>
      </c>
      <c r="F4565" s="2">
        <v>10.62</v>
      </c>
      <c r="G4565" s="4">
        <f t="shared" si="3"/>
        <v>9542973.58</v>
      </c>
      <c r="H4565" s="4">
        <f t="shared" si="1"/>
        <v>0.9998486623</v>
      </c>
      <c r="I4565" s="4" t="str">
        <f t="shared" si="2"/>
        <v>C</v>
      </c>
    </row>
    <row r="4566">
      <c r="A4566" s="2">
        <v>4565.0</v>
      </c>
      <c r="B4566" s="2" t="s">
        <v>5826</v>
      </c>
      <c r="C4566" s="2" t="s">
        <v>5827</v>
      </c>
      <c r="D4566" s="2">
        <v>0.85</v>
      </c>
      <c r="E4566" s="2">
        <v>12.0</v>
      </c>
      <c r="F4566" s="2">
        <v>10.62</v>
      </c>
      <c r="G4566" s="4">
        <f t="shared" si="3"/>
        <v>9542984.2</v>
      </c>
      <c r="H4566" s="4">
        <f t="shared" si="1"/>
        <v>0.999849775</v>
      </c>
      <c r="I4566" s="4" t="str">
        <f t="shared" si="2"/>
        <v>C</v>
      </c>
    </row>
    <row r="4567">
      <c r="A4567" s="2">
        <v>4566.0</v>
      </c>
      <c r="B4567" s="2">
        <v>21594.0</v>
      </c>
      <c r="C4567" s="2" t="s">
        <v>5828</v>
      </c>
      <c r="D4567" s="2">
        <v>4.21</v>
      </c>
      <c r="E4567" s="2">
        <v>2.0</v>
      </c>
      <c r="F4567" s="2">
        <v>10.53</v>
      </c>
      <c r="G4567" s="4">
        <f t="shared" si="3"/>
        <v>9542994.73</v>
      </c>
      <c r="H4567" s="4">
        <f t="shared" si="1"/>
        <v>0.9998508783</v>
      </c>
      <c r="I4567" s="4" t="str">
        <f t="shared" si="2"/>
        <v>C</v>
      </c>
    </row>
    <row r="4568">
      <c r="A4568" s="2">
        <v>4567.0</v>
      </c>
      <c r="B4568" s="2">
        <v>23692.0</v>
      </c>
      <c r="C4568" s="2" t="s">
        <v>5829</v>
      </c>
      <c r="D4568" s="2">
        <v>0.42</v>
      </c>
      <c r="E4568" s="2">
        <v>25.0</v>
      </c>
      <c r="F4568" s="2">
        <v>10.5</v>
      </c>
      <c r="G4568" s="4">
        <f t="shared" si="3"/>
        <v>9543005.23</v>
      </c>
      <c r="H4568" s="4">
        <f t="shared" si="1"/>
        <v>0.9998519784</v>
      </c>
      <c r="I4568" s="4" t="str">
        <f t="shared" si="2"/>
        <v>C</v>
      </c>
    </row>
    <row r="4569">
      <c r="A4569" s="2">
        <v>4568.0</v>
      </c>
      <c r="B4569" s="2" t="s">
        <v>5830</v>
      </c>
      <c r="C4569" s="2" t="s">
        <v>5831</v>
      </c>
      <c r="D4569" s="2">
        <v>0.42</v>
      </c>
      <c r="E4569" s="2">
        <v>25.0</v>
      </c>
      <c r="F4569" s="2">
        <v>10.5</v>
      </c>
      <c r="G4569" s="4">
        <f t="shared" si="3"/>
        <v>9543015.73</v>
      </c>
      <c r="H4569" s="4">
        <f t="shared" si="1"/>
        <v>0.9998530785</v>
      </c>
      <c r="I4569" s="4" t="str">
        <f t="shared" si="2"/>
        <v>C</v>
      </c>
    </row>
    <row r="4570">
      <c r="A4570" s="2">
        <v>4569.0</v>
      </c>
      <c r="B4570" s="2" t="s">
        <v>5832</v>
      </c>
      <c r="C4570" s="2" t="s">
        <v>2521</v>
      </c>
      <c r="D4570" s="2">
        <v>4.13</v>
      </c>
      <c r="E4570" s="2">
        <v>2.0</v>
      </c>
      <c r="F4570" s="2">
        <v>10.32</v>
      </c>
      <c r="G4570" s="4">
        <f t="shared" si="3"/>
        <v>9543026.05</v>
      </c>
      <c r="H4570" s="4">
        <f t="shared" si="1"/>
        <v>0.9998541598</v>
      </c>
      <c r="I4570" s="4" t="str">
        <f t="shared" si="2"/>
        <v>C</v>
      </c>
    </row>
    <row r="4571">
      <c r="A4571" s="2">
        <v>4570.0</v>
      </c>
      <c r="B4571" s="2" t="s">
        <v>5833</v>
      </c>
      <c r="C4571" s="2" t="s">
        <v>5834</v>
      </c>
      <c r="D4571" s="2">
        <v>5.17</v>
      </c>
      <c r="E4571" s="2">
        <v>2.0</v>
      </c>
      <c r="F4571" s="2">
        <v>10.28</v>
      </c>
      <c r="G4571" s="4">
        <f t="shared" si="3"/>
        <v>9543036.33</v>
      </c>
      <c r="H4571" s="4">
        <f t="shared" si="1"/>
        <v>0.9998552369</v>
      </c>
      <c r="I4571" s="4" t="str">
        <f t="shared" si="2"/>
        <v>C</v>
      </c>
    </row>
    <row r="4572">
      <c r="A4572" s="2">
        <v>4571.0</v>
      </c>
      <c r="B4572" s="2" t="s">
        <v>5835</v>
      </c>
      <c r="C4572" s="2" t="s">
        <v>5836</v>
      </c>
      <c r="D4572" s="2">
        <v>0.85</v>
      </c>
      <c r="E4572" s="2">
        <v>12.0</v>
      </c>
      <c r="F4572" s="2">
        <v>10.2</v>
      </c>
      <c r="G4572" s="4">
        <f t="shared" si="3"/>
        <v>9543046.53</v>
      </c>
      <c r="H4572" s="4">
        <f t="shared" si="1"/>
        <v>0.9998563055</v>
      </c>
      <c r="I4572" s="4" t="str">
        <f t="shared" si="2"/>
        <v>C</v>
      </c>
    </row>
    <row r="4573">
      <c r="A4573" s="2">
        <v>4572.0</v>
      </c>
      <c r="B4573" s="2" t="s">
        <v>5837</v>
      </c>
      <c r="C4573" s="2" t="s">
        <v>2070</v>
      </c>
      <c r="D4573" s="2">
        <v>10.17</v>
      </c>
      <c r="E4573" s="2">
        <v>1.0</v>
      </c>
      <c r="F4573" s="2">
        <v>10.17</v>
      </c>
      <c r="G4573" s="4">
        <f t="shared" si="3"/>
        <v>9543056.7</v>
      </c>
      <c r="H4573" s="4">
        <f t="shared" si="1"/>
        <v>0.9998573711</v>
      </c>
      <c r="I4573" s="4" t="str">
        <f t="shared" si="2"/>
        <v>C</v>
      </c>
    </row>
    <row r="4574">
      <c r="A4574" s="2">
        <v>4573.0</v>
      </c>
      <c r="B4574" s="2" t="s">
        <v>5838</v>
      </c>
      <c r="C4574" s="2" t="s">
        <v>1806</v>
      </c>
      <c r="D4574" s="2">
        <v>0.81</v>
      </c>
      <c r="E4574" s="2">
        <v>12.0</v>
      </c>
      <c r="F4574" s="2">
        <v>9.99</v>
      </c>
      <c r="G4574" s="4">
        <f t="shared" si="3"/>
        <v>9543066.69</v>
      </c>
      <c r="H4574" s="4">
        <f t="shared" si="1"/>
        <v>0.9998584178</v>
      </c>
      <c r="I4574" s="4" t="str">
        <f t="shared" si="2"/>
        <v>C</v>
      </c>
    </row>
    <row r="4575">
      <c r="A4575" s="2">
        <v>4574.0</v>
      </c>
      <c r="B4575" s="2" t="s">
        <v>5839</v>
      </c>
      <c r="C4575" s="2" t="s">
        <v>5840</v>
      </c>
      <c r="D4575" s="2">
        <v>1.86</v>
      </c>
      <c r="E4575" s="2">
        <v>7.0</v>
      </c>
      <c r="F4575" s="2">
        <v>9.96</v>
      </c>
      <c r="G4575" s="4">
        <f t="shared" si="3"/>
        <v>9543076.65</v>
      </c>
      <c r="H4575" s="4">
        <f t="shared" si="1"/>
        <v>0.9998594613</v>
      </c>
      <c r="I4575" s="4" t="str">
        <f t="shared" si="2"/>
        <v>C</v>
      </c>
    </row>
    <row r="4576">
      <c r="A4576" s="2">
        <v>4575.0</v>
      </c>
      <c r="B4576" s="2">
        <v>23646.0</v>
      </c>
      <c r="C4576" s="2" t="s">
        <v>5841</v>
      </c>
      <c r="D4576" s="2">
        <v>2.49</v>
      </c>
      <c r="E4576" s="2">
        <v>4.0</v>
      </c>
      <c r="F4576" s="2">
        <v>9.96</v>
      </c>
      <c r="G4576" s="4">
        <f t="shared" si="3"/>
        <v>9543086.61</v>
      </c>
      <c r="H4576" s="4">
        <f t="shared" si="1"/>
        <v>0.9998605049</v>
      </c>
      <c r="I4576" s="4" t="str">
        <f t="shared" si="2"/>
        <v>C</v>
      </c>
    </row>
    <row r="4577">
      <c r="A4577" s="2">
        <v>4576.0</v>
      </c>
      <c r="B4577" s="2" t="s">
        <v>5842</v>
      </c>
      <c r="C4577" s="2" t="s">
        <v>5843</v>
      </c>
      <c r="D4577" s="2">
        <v>6.79</v>
      </c>
      <c r="E4577" s="2">
        <v>2.0</v>
      </c>
      <c r="F4577" s="2">
        <v>9.96</v>
      </c>
      <c r="G4577" s="4">
        <f t="shared" si="3"/>
        <v>9543096.57</v>
      </c>
      <c r="H4577" s="4">
        <f t="shared" si="1"/>
        <v>0.9998615484</v>
      </c>
      <c r="I4577" s="4" t="str">
        <f t="shared" si="2"/>
        <v>C</v>
      </c>
    </row>
    <row r="4578">
      <c r="A4578" s="2">
        <v>4577.0</v>
      </c>
      <c r="B4578" s="2">
        <v>23601.0</v>
      </c>
      <c r="C4578" s="2" t="s">
        <v>5844</v>
      </c>
      <c r="D4578" s="2">
        <v>2.49</v>
      </c>
      <c r="E4578" s="2">
        <v>4.0</v>
      </c>
      <c r="F4578" s="2">
        <v>9.96</v>
      </c>
      <c r="G4578" s="4">
        <f t="shared" si="3"/>
        <v>9543106.53</v>
      </c>
      <c r="H4578" s="4">
        <f t="shared" si="1"/>
        <v>0.9998625919</v>
      </c>
      <c r="I4578" s="4" t="str">
        <f t="shared" si="2"/>
        <v>C</v>
      </c>
    </row>
    <row r="4579">
      <c r="A4579" s="2">
        <v>4578.0</v>
      </c>
      <c r="B4579" s="2">
        <v>23616.0</v>
      </c>
      <c r="C4579" s="2" t="s">
        <v>5845</v>
      </c>
      <c r="D4579" s="2">
        <v>2.49</v>
      </c>
      <c r="E4579" s="2">
        <v>4.0</v>
      </c>
      <c r="F4579" s="2">
        <v>9.96</v>
      </c>
      <c r="G4579" s="4">
        <f t="shared" si="3"/>
        <v>9543116.49</v>
      </c>
      <c r="H4579" s="4">
        <f t="shared" si="1"/>
        <v>0.9998636355</v>
      </c>
      <c r="I4579" s="4" t="str">
        <f t="shared" si="2"/>
        <v>C</v>
      </c>
    </row>
    <row r="4580">
      <c r="A4580" s="2">
        <v>4579.0</v>
      </c>
      <c r="B4580" s="2" t="s">
        <v>5846</v>
      </c>
      <c r="C4580" s="2" t="s">
        <v>5847</v>
      </c>
      <c r="D4580" s="2">
        <v>4.95</v>
      </c>
      <c r="E4580" s="2">
        <v>2.0</v>
      </c>
      <c r="F4580" s="2">
        <v>9.9</v>
      </c>
      <c r="G4580" s="4">
        <f t="shared" si="3"/>
        <v>9543126.39</v>
      </c>
      <c r="H4580" s="4">
        <f t="shared" si="1"/>
        <v>0.9998646727</v>
      </c>
      <c r="I4580" s="4" t="str">
        <f t="shared" si="2"/>
        <v>C</v>
      </c>
    </row>
    <row r="4581">
      <c r="A4581" s="2">
        <v>4580.0</v>
      </c>
      <c r="B4581" s="2" t="s">
        <v>5848</v>
      </c>
      <c r="C4581" s="2" t="s">
        <v>5849</v>
      </c>
      <c r="D4581" s="2">
        <v>0.39</v>
      </c>
      <c r="E4581" s="2">
        <v>16.0</v>
      </c>
      <c r="F4581" s="2">
        <v>9.89</v>
      </c>
      <c r="G4581" s="4">
        <f t="shared" si="3"/>
        <v>9543136.28</v>
      </c>
      <c r="H4581" s="4">
        <f t="shared" si="1"/>
        <v>0.9998657089</v>
      </c>
      <c r="I4581" s="4" t="str">
        <f t="shared" si="2"/>
        <v>C</v>
      </c>
    </row>
    <row r="4582">
      <c r="A4582" s="2">
        <v>4581.0</v>
      </c>
      <c r="B4582" s="2" t="s">
        <v>5850</v>
      </c>
      <c r="C4582" s="2" t="s">
        <v>5851</v>
      </c>
      <c r="D4582" s="2">
        <v>0.29</v>
      </c>
      <c r="E4582" s="2">
        <v>34.0</v>
      </c>
      <c r="F4582" s="2">
        <v>9.86</v>
      </c>
      <c r="G4582" s="4">
        <f t="shared" si="3"/>
        <v>9543146.14</v>
      </c>
      <c r="H4582" s="4">
        <f t="shared" si="1"/>
        <v>0.999866742</v>
      </c>
      <c r="I4582" s="4" t="str">
        <f t="shared" si="2"/>
        <v>C</v>
      </c>
    </row>
    <row r="4583">
      <c r="A4583" s="2">
        <v>4582.0</v>
      </c>
      <c r="B4583" s="2">
        <v>20680.0</v>
      </c>
      <c r="C4583" s="2" t="s">
        <v>5852</v>
      </c>
      <c r="D4583" s="2">
        <v>3.25</v>
      </c>
      <c r="E4583" s="2">
        <v>3.0</v>
      </c>
      <c r="F4583" s="2">
        <v>9.75</v>
      </c>
      <c r="G4583" s="4">
        <f t="shared" si="3"/>
        <v>9543155.89</v>
      </c>
      <c r="H4583" s="4">
        <f t="shared" si="1"/>
        <v>0.9998677635</v>
      </c>
      <c r="I4583" s="4" t="str">
        <f t="shared" si="2"/>
        <v>C</v>
      </c>
    </row>
    <row r="4584">
      <c r="A4584" s="2">
        <v>4583.0</v>
      </c>
      <c r="B4584" s="2" t="s">
        <v>5853</v>
      </c>
      <c r="C4584" s="2" t="s">
        <v>5854</v>
      </c>
      <c r="D4584" s="2">
        <v>0.29</v>
      </c>
      <c r="E4584" s="2">
        <v>26.0</v>
      </c>
      <c r="F4584" s="2">
        <v>9.7</v>
      </c>
      <c r="G4584" s="4">
        <f t="shared" si="3"/>
        <v>9543165.59</v>
      </c>
      <c r="H4584" s="4">
        <f t="shared" si="1"/>
        <v>0.9998687798</v>
      </c>
      <c r="I4584" s="4" t="str">
        <f t="shared" si="2"/>
        <v>C</v>
      </c>
    </row>
    <row r="4585">
      <c r="A4585" s="2">
        <v>4584.0</v>
      </c>
      <c r="B4585" s="2" t="s">
        <v>5855</v>
      </c>
      <c r="C4585" s="2" t="s">
        <v>5856</v>
      </c>
      <c r="D4585" s="2">
        <v>0.85</v>
      </c>
      <c r="E4585" s="2">
        <v>16.0</v>
      </c>
      <c r="F4585" s="2">
        <v>9.54</v>
      </c>
      <c r="G4585" s="4">
        <f t="shared" si="3"/>
        <v>9543175.13</v>
      </c>
      <c r="H4585" s="4">
        <f t="shared" si="1"/>
        <v>0.9998697794</v>
      </c>
      <c r="I4585" s="4" t="str">
        <f t="shared" si="2"/>
        <v>C</v>
      </c>
    </row>
    <row r="4586">
      <c r="A4586" s="2">
        <v>4585.0</v>
      </c>
      <c r="B4586" s="2" t="s">
        <v>5857</v>
      </c>
      <c r="C4586" s="2" t="s">
        <v>5858</v>
      </c>
      <c r="D4586" s="2">
        <v>3.75</v>
      </c>
      <c r="E4586" s="2">
        <v>2.0</v>
      </c>
      <c r="F4586" s="2">
        <v>9.38</v>
      </c>
      <c r="G4586" s="4">
        <f t="shared" si="3"/>
        <v>9543184.51</v>
      </c>
      <c r="H4586" s="4">
        <f t="shared" si="1"/>
        <v>0.9998707622</v>
      </c>
      <c r="I4586" s="4" t="str">
        <f t="shared" si="2"/>
        <v>C</v>
      </c>
    </row>
    <row r="4587">
      <c r="A4587" s="2">
        <v>4586.0</v>
      </c>
      <c r="B4587" s="2" t="s">
        <v>5859</v>
      </c>
      <c r="C4587" s="2" t="s">
        <v>5860</v>
      </c>
      <c r="D4587" s="2">
        <v>3.73</v>
      </c>
      <c r="E4587" s="2">
        <v>2.0</v>
      </c>
      <c r="F4587" s="2">
        <v>9.35</v>
      </c>
      <c r="G4587" s="4">
        <f t="shared" si="3"/>
        <v>9543193.86</v>
      </c>
      <c r="H4587" s="4">
        <f t="shared" si="1"/>
        <v>0.9998717418</v>
      </c>
      <c r="I4587" s="4" t="str">
        <f t="shared" si="2"/>
        <v>C</v>
      </c>
    </row>
    <row r="4588">
      <c r="A4588" s="2">
        <v>4587.0</v>
      </c>
      <c r="B4588" s="2" t="s">
        <v>5861</v>
      </c>
      <c r="C4588" s="2" t="s">
        <v>5862</v>
      </c>
      <c r="D4588" s="2">
        <v>1.65</v>
      </c>
      <c r="E4588" s="2">
        <v>14.0</v>
      </c>
      <c r="F4588" s="2">
        <v>9.24</v>
      </c>
      <c r="G4588" s="4">
        <f t="shared" si="3"/>
        <v>9543203.1</v>
      </c>
      <c r="H4588" s="4">
        <f t="shared" si="1"/>
        <v>0.9998727099</v>
      </c>
      <c r="I4588" s="4" t="str">
        <f t="shared" si="2"/>
        <v>C</v>
      </c>
    </row>
    <row r="4589">
      <c r="A4589" s="2">
        <v>4588.0</v>
      </c>
      <c r="B4589" s="2" t="s">
        <v>5863</v>
      </c>
      <c r="C4589" s="2" t="s">
        <v>5864</v>
      </c>
      <c r="D4589" s="2">
        <v>1.65</v>
      </c>
      <c r="E4589" s="2">
        <v>6.0</v>
      </c>
      <c r="F4589" s="2">
        <v>9.07</v>
      </c>
      <c r="G4589" s="4">
        <f t="shared" si="3"/>
        <v>9543212.17</v>
      </c>
      <c r="H4589" s="4">
        <f t="shared" si="1"/>
        <v>0.9998736602</v>
      </c>
      <c r="I4589" s="4" t="str">
        <f t="shared" si="2"/>
        <v>C</v>
      </c>
    </row>
    <row r="4590">
      <c r="A4590" s="2">
        <v>4589.0</v>
      </c>
      <c r="B4590" s="2">
        <v>84311.0</v>
      </c>
      <c r="C4590" s="2" t="s">
        <v>5865</v>
      </c>
      <c r="D4590" s="2">
        <v>1.65</v>
      </c>
      <c r="E4590" s="2">
        <v>6.0</v>
      </c>
      <c r="F4590" s="2">
        <v>9.07</v>
      </c>
      <c r="G4590" s="4">
        <f t="shared" si="3"/>
        <v>9543221.24</v>
      </c>
      <c r="H4590" s="4">
        <f t="shared" si="1"/>
        <v>0.9998746105</v>
      </c>
      <c r="I4590" s="4" t="str">
        <f t="shared" si="2"/>
        <v>C</v>
      </c>
    </row>
    <row r="4591">
      <c r="A4591" s="2">
        <v>4590.0</v>
      </c>
      <c r="B4591" s="2" t="s">
        <v>5866</v>
      </c>
      <c r="C4591" s="2" t="s">
        <v>3354</v>
      </c>
      <c r="D4591" s="2">
        <v>2.98</v>
      </c>
      <c r="E4591" s="2">
        <v>3.0</v>
      </c>
      <c r="F4591" s="2">
        <v>8.94</v>
      </c>
      <c r="G4591" s="4">
        <f t="shared" si="3"/>
        <v>9543230.18</v>
      </c>
      <c r="H4591" s="4">
        <f t="shared" si="1"/>
        <v>0.9998755472</v>
      </c>
      <c r="I4591" s="4" t="str">
        <f t="shared" si="2"/>
        <v>C</v>
      </c>
    </row>
    <row r="4592">
      <c r="A4592" s="2">
        <v>4591.0</v>
      </c>
      <c r="B4592" s="2">
        <v>21450.0</v>
      </c>
      <c r="C4592" s="2" t="s">
        <v>5867</v>
      </c>
      <c r="D4592" s="2">
        <v>5.95</v>
      </c>
      <c r="E4592" s="2">
        <v>2.0</v>
      </c>
      <c r="F4592" s="2">
        <v>8.93</v>
      </c>
      <c r="G4592" s="4">
        <f t="shared" si="3"/>
        <v>9543239.11</v>
      </c>
      <c r="H4592" s="4">
        <f t="shared" si="1"/>
        <v>0.9998764828</v>
      </c>
      <c r="I4592" s="4" t="str">
        <f t="shared" si="2"/>
        <v>C</v>
      </c>
    </row>
    <row r="4593">
      <c r="A4593" s="2">
        <v>4592.0</v>
      </c>
      <c r="B4593" s="2" t="s">
        <v>5868</v>
      </c>
      <c r="C4593" s="2" t="s">
        <v>5869</v>
      </c>
      <c r="D4593" s="2">
        <v>5.95</v>
      </c>
      <c r="E4593" s="2">
        <v>2.0</v>
      </c>
      <c r="F4593" s="2">
        <v>8.93</v>
      </c>
      <c r="G4593" s="4">
        <f t="shared" si="3"/>
        <v>9543248.04</v>
      </c>
      <c r="H4593" s="4">
        <f t="shared" si="1"/>
        <v>0.9998774184</v>
      </c>
      <c r="I4593" s="4" t="str">
        <f t="shared" si="2"/>
        <v>C</v>
      </c>
    </row>
    <row r="4594">
      <c r="A4594" s="2">
        <v>4593.0</v>
      </c>
      <c r="B4594" s="2" t="s">
        <v>5870</v>
      </c>
      <c r="C4594" s="2" t="s">
        <v>5871</v>
      </c>
      <c r="D4594" s="2">
        <v>2.55</v>
      </c>
      <c r="E4594" s="2">
        <v>4.0</v>
      </c>
      <c r="F4594" s="2">
        <v>8.92</v>
      </c>
      <c r="G4594" s="4">
        <f t="shared" si="3"/>
        <v>9543256.96</v>
      </c>
      <c r="H4594" s="4">
        <f t="shared" si="1"/>
        <v>0.999878353</v>
      </c>
      <c r="I4594" s="4" t="str">
        <f t="shared" si="2"/>
        <v>C</v>
      </c>
    </row>
    <row r="4595">
      <c r="A4595" s="2">
        <v>4594.0</v>
      </c>
      <c r="B4595" s="2">
        <v>71050.0</v>
      </c>
      <c r="C4595" s="2" t="s">
        <v>5872</v>
      </c>
      <c r="D4595" s="2">
        <v>0.35</v>
      </c>
      <c r="E4595" s="2">
        <v>26.0</v>
      </c>
      <c r="F4595" s="2">
        <v>8.92</v>
      </c>
      <c r="G4595" s="4">
        <f t="shared" si="3"/>
        <v>9543265.88</v>
      </c>
      <c r="H4595" s="4">
        <f t="shared" si="1"/>
        <v>0.9998792876</v>
      </c>
      <c r="I4595" s="4" t="str">
        <f t="shared" si="2"/>
        <v>C</v>
      </c>
    </row>
    <row r="4596">
      <c r="A4596" s="2">
        <v>4595.0</v>
      </c>
      <c r="B4596" s="2" t="s">
        <v>5873</v>
      </c>
      <c r="C4596" s="2" t="s">
        <v>3970</v>
      </c>
      <c r="D4596" s="2">
        <v>2.51</v>
      </c>
      <c r="E4596" s="2">
        <v>4.0</v>
      </c>
      <c r="F4596" s="2">
        <v>8.78</v>
      </c>
      <c r="G4596" s="4">
        <f t="shared" si="3"/>
        <v>9543274.66</v>
      </c>
      <c r="H4596" s="4">
        <f t="shared" si="1"/>
        <v>0.9998802075</v>
      </c>
      <c r="I4596" s="4" t="str">
        <f t="shared" si="2"/>
        <v>C</v>
      </c>
    </row>
    <row r="4597">
      <c r="A4597" s="2">
        <v>4596.0</v>
      </c>
      <c r="B4597" s="2" t="s">
        <v>5874</v>
      </c>
      <c r="C4597" s="2" t="s">
        <v>5875</v>
      </c>
      <c r="D4597" s="2">
        <v>2.9</v>
      </c>
      <c r="E4597" s="2">
        <v>3.0</v>
      </c>
      <c r="F4597" s="2">
        <v>8.76</v>
      </c>
      <c r="G4597" s="4">
        <f t="shared" si="3"/>
        <v>9543283.42</v>
      </c>
      <c r="H4597" s="4">
        <f t="shared" si="1"/>
        <v>0.9998811253</v>
      </c>
      <c r="I4597" s="4" t="str">
        <f t="shared" si="2"/>
        <v>C</v>
      </c>
    </row>
    <row r="4598">
      <c r="A4598" s="2">
        <v>4597.0</v>
      </c>
      <c r="B4598" s="2">
        <v>23627.0</v>
      </c>
      <c r="C4598" s="2" t="s">
        <v>5876</v>
      </c>
      <c r="D4598" s="2">
        <v>2.49</v>
      </c>
      <c r="E4598" s="2">
        <v>4.0</v>
      </c>
      <c r="F4598" s="2">
        <v>8.72</v>
      </c>
      <c r="G4598" s="4">
        <f t="shared" si="3"/>
        <v>9543292.14</v>
      </c>
      <c r="H4598" s="4">
        <f t="shared" si="1"/>
        <v>0.9998820389</v>
      </c>
      <c r="I4598" s="4" t="str">
        <f t="shared" si="2"/>
        <v>C</v>
      </c>
    </row>
    <row r="4599">
      <c r="A4599" s="2">
        <v>4598.0</v>
      </c>
      <c r="B4599" s="2" t="s">
        <v>5877</v>
      </c>
      <c r="C4599" s="2" t="s">
        <v>2672</v>
      </c>
      <c r="D4599" s="2">
        <v>17.35</v>
      </c>
      <c r="E4599" s="2">
        <v>0.0</v>
      </c>
      <c r="F4599" s="2">
        <v>8.68</v>
      </c>
      <c r="G4599" s="4">
        <f t="shared" si="3"/>
        <v>9543300.82</v>
      </c>
      <c r="H4599" s="4">
        <f t="shared" si="1"/>
        <v>0.9998829483</v>
      </c>
      <c r="I4599" s="4" t="str">
        <f t="shared" si="2"/>
        <v>C</v>
      </c>
    </row>
    <row r="4600">
      <c r="A4600" s="2">
        <v>4599.0</v>
      </c>
      <c r="B4600" s="2" t="s">
        <v>5878</v>
      </c>
      <c r="C4600" s="2" t="s">
        <v>1028</v>
      </c>
      <c r="D4600" s="2">
        <v>8.56</v>
      </c>
      <c r="E4600" s="2">
        <v>1.0</v>
      </c>
      <c r="F4600" s="2">
        <v>8.56</v>
      </c>
      <c r="G4600" s="4">
        <f t="shared" si="3"/>
        <v>9543309.38</v>
      </c>
      <c r="H4600" s="4">
        <f t="shared" si="1"/>
        <v>0.9998838452</v>
      </c>
      <c r="I4600" s="4" t="str">
        <f t="shared" si="2"/>
        <v>C</v>
      </c>
    </row>
    <row r="4601">
      <c r="A4601" s="2">
        <v>4600.0</v>
      </c>
      <c r="B4601" s="2">
        <v>21120.0</v>
      </c>
      <c r="C4601" s="2" t="s">
        <v>5879</v>
      </c>
      <c r="D4601" s="2">
        <v>16.98</v>
      </c>
      <c r="E4601" s="2">
        <v>0.0</v>
      </c>
      <c r="F4601" s="2">
        <v>8.49</v>
      </c>
      <c r="G4601" s="4">
        <f t="shared" si="3"/>
        <v>9543317.87</v>
      </c>
      <c r="H4601" s="4">
        <f t="shared" si="1"/>
        <v>0.9998847347</v>
      </c>
      <c r="I4601" s="4" t="str">
        <f t="shared" si="2"/>
        <v>C</v>
      </c>
    </row>
    <row r="4602">
      <c r="A4602" s="2">
        <v>4601.0</v>
      </c>
      <c r="B4602" s="2" t="s">
        <v>5880</v>
      </c>
      <c r="C4602" s="2" t="s">
        <v>4437</v>
      </c>
      <c r="D4602" s="2">
        <v>0.85</v>
      </c>
      <c r="E4602" s="2">
        <v>10.0</v>
      </c>
      <c r="F4602" s="2">
        <v>8.49</v>
      </c>
      <c r="G4602" s="4">
        <f t="shared" si="3"/>
        <v>9543326.36</v>
      </c>
      <c r="H4602" s="4">
        <f t="shared" si="1"/>
        <v>0.9998856242</v>
      </c>
      <c r="I4602" s="4" t="str">
        <f t="shared" si="2"/>
        <v>C</v>
      </c>
    </row>
    <row r="4603">
      <c r="A4603" s="2">
        <v>4602.0</v>
      </c>
      <c r="B4603" s="2" t="s">
        <v>5881</v>
      </c>
      <c r="C4603" s="2" t="s">
        <v>1621</v>
      </c>
      <c r="D4603" s="2">
        <v>8.47</v>
      </c>
      <c r="E4603" s="2">
        <v>1.0</v>
      </c>
      <c r="F4603" s="2">
        <v>8.47</v>
      </c>
      <c r="G4603" s="4">
        <f t="shared" si="3"/>
        <v>9543334.83</v>
      </c>
      <c r="H4603" s="4">
        <f t="shared" si="1"/>
        <v>0.9998865117</v>
      </c>
      <c r="I4603" s="4" t="str">
        <f t="shared" si="2"/>
        <v>C</v>
      </c>
    </row>
    <row r="4604">
      <c r="A4604" s="2">
        <v>4603.0</v>
      </c>
      <c r="B4604" s="2" t="s">
        <v>5882</v>
      </c>
      <c r="C4604" s="2" t="s">
        <v>2289</v>
      </c>
      <c r="D4604" s="2">
        <v>8.47</v>
      </c>
      <c r="E4604" s="2">
        <v>1.0</v>
      </c>
      <c r="F4604" s="2">
        <v>8.47</v>
      </c>
      <c r="G4604" s="4">
        <f t="shared" si="3"/>
        <v>9543343.3</v>
      </c>
      <c r="H4604" s="4">
        <f t="shared" si="1"/>
        <v>0.9998873991</v>
      </c>
      <c r="I4604" s="4" t="str">
        <f t="shared" si="2"/>
        <v>C</v>
      </c>
    </row>
    <row r="4605">
      <c r="A4605" s="2">
        <v>4604.0</v>
      </c>
      <c r="B4605" s="2">
        <v>72805.0</v>
      </c>
      <c r="C4605" s="2" t="s">
        <v>5883</v>
      </c>
      <c r="D4605" s="2">
        <v>1.69</v>
      </c>
      <c r="E4605" s="2">
        <v>5.0</v>
      </c>
      <c r="F4605" s="2">
        <v>8.45</v>
      </c>
      <c r="G4605" s="4">
        <f t="shared" si="3"/>
        <v>9543351.75</v>
      </c>
      <c r="H4605" s="4">
        <f t="shared" si="1"/>
        <v>0.9998882844</v>
      </c>
      <c r="I4605" s="4" t="str">
        <f t="shared" si="2"/>
        <v>C</v>
      </c>
    </row>
    <row r="4606">
      <c r="A4606" s="2">
        <v>4605.0</v>
      </c>
      <c r="B4606" s="2" t="s">
        <v>5884</v>
      </c>
      <c r="C4606" s="2" t="s">
        <v>1953</v>
      </c>
      <c r="D4606" s="2">
        <v>4.21</v>
      </c>
      <c r="E4606" s="2">
        <v>2.0</v>
      </c>
      <c r="F4606" s="2">
        <v>8.42</v>
      </c>
      <c r="G4606" s="4">
        <f t="shared" si="3"/>
        <v>9543360.17</v>
      </c>
      <c r="H4606" s="4">
        <f t="shared" si="1"/>
        <v>0.9998891666</v>
      </c>
      <c r="I4606" s="4" t="str">
        <f t="shared" si="2"/>
        <v>C</v>
      </c>
    </row>
    <row r="4607">
      <c r="A4607" s="2">
        <v>4606.0</v>
      </c>
      <c r="B4607" s="2" t="s">
        <v>5885</v>
      </c>
      <c r="C4607" s="2" t="s">
        <v>5886</v>
      </c>
      <c r="D4607" s="2">
        <v>2.1</v>
      </c>
      <c r="E4607" s="2">
        <v>4.0</v>
      </c>
      <c r="F4607" s="2">
        <v>8.4</v>
      </c>
      <c r="G4607" s="4">
        <f t="shared" si="3"/>
        <v>9543368.57</v>
      </c>
      <c r="H4607" s="4">
        <f t="shared" si="1"/>
        <v>0.9998900467</v>
      </c>
      <c r="I4607" s="4" t="str">
        <f t="shared" si="2"/>
        <v>C</v>
      </c>
    </row>
    <row r="4608">
      <c r="A4608" s="2">
        <v>4607.0</v>
      </c>
      <c r="B4608" s="2" t="s">
        <v>5887</v>
      </c>
      <c r="C4608" s="2" t="s">
        <v>5888</v>
      </c>
      <c r="D4608" s="2">
        <v>0.42</v>
      </c>
      <c r="E4608" s="2">
        <v>20.0</v>
      </c>
      <c r="F4608" s="2">
        <v>8.4</v>
      </c>
      <c r="G4608" s="4">
        <f t="shared" si="3"/>
        <v>9543376.97</v>
      </c>
      <c r="H4608" s="4">
        <f t="shared" si="1"/>
        <v>0.9998909268</v>
      </c>
      <c r="I4608" s="4" t="str">
        <f t="shared" si="2"/>
        <v>C</v>
      </c>
    </row>
    <row r="4609">
      <c r="A4609" s="2">
        <v>4608.0</v>
      </c>
      <c r="B4609" s="2">
        <v>21511.0</v>
      </c>
      <c r="C4609" s="2" t="s">
        <v>5889</v>
      </c>
      <c r="D4609" s="2">
        <v>0.42</v>
      </c>
      <c r="E4609" s="2">
        <v>20.0</v>
      </c>
      <c r="F4609" s="2">
        <v>8.4</v>
      </c>
      <c r="G4609" s="4">
        <f t="shared" si="3"/>
        <v>9543385.37</v>
      </c>
      <c r="H4609" s="4">
        <f t="shared" si="1"/>
        <v>0.9998918069</v>
      </c>
      <c r="I4609" s="4" t="str">
        <f t="shared" si="2"/>
        <v>C</v>
      </c>
    </row>
    <row r="4610">
      <c r="A4610" s="2">
        <v>4609.0</v>
      </c>
      <c r="B4610" s="2">
        <v>23644.0</v>
      </c>
      <c r="C4610" s="2" t="s">
        <v>5890</v>
      </c>
      <c r="D4610" s="2">
        <v>3.33</v>
      </c>
      <c r="E4610" s="2">
        <v>2.0</v>
      </c>
      <c r="F4610" s="2">
        <v>8.32</v>
      </c>
      <c r="G4610" s="4">
        <f t="shared" si="3"/>
        <v>9543393.69</v>
      </c>
      <c r="H4610" s="4">
        <f t="shared" si="1"/>
        <v>0.9998926786</v>
      </c>
      <c r="I4610" s="4" t="str">
        <f t="shared" si="2"/>
        <v>C</v>
      </c>
    </row>
    <row r="4611">
      <c r="A4611" s="2">
        <v>4610.0</v>
      </c>
      <c r="B4611" s="2" t="s">
        <v>5891</v>
      </c>
      <c r="C4611" s="2" t="s">
        <v>1418</v>
      </c>
      <c r="D4611" s="2">
        <v>16.63</v>
      </c>
      <c r="E4611" s="2">
        <v>0.0</v>
      </c>
      <c r="F4611" s="2">
        <v>8.32</v>
      </c>
      <c r="G4611" s="4">
        <f t="shared" si="3"/>
        <v>9543402.01</v>
      </c>
      <c r="H4611" s="4">
        <f t="shared" si="1"/>
        <v>0.9998935503</v>
      </c>
      <c r="I4611" s="4" t="str">
        <f t="shared" si="2"/>
        <v>C</v>
      </c>
    </row>
    <row r="4612">
      <c r="A4612" s="2">
        <v>4611.0</v>
      </c>
      <c r="B4612" s="2" t="s">
        <v>5892</v>
      </c>
      <c r="C4612" s="2" t="s">
        <v>1131</v>
      </c>
      <c r="D4612" s="2">
        <v>16.63</v>
      </c>
      <c r="E4612" s="2">
        <v>0.0</v>
      </c>
      <c r="F4612" s="2">
        <v>8.32</v>
      </c>
      <c r="G4612" s="4">
        <f t="shared" si="3"/>
        <v>9543410.33</v>
      </c>
      <c r="H4612" s="4">
        <f t="shared" si="1"/>
        <v>0.9998944221</v>
      </c>
      <c r="I4612" s="4" t="str">
        <f t="shared" si="2"/>
        <v>C</v>
      </c>
    </row>
    <row r="4613">
      <c r="A4613" s="2">
        <v>4612.0</v>
      </c>
      <c r="B4613" s="2" t="s">
        <v>5893</v>
      </c>
      <c r="C4613" s="2" t="s">
        <v>1732</v>
      </c>
      <c r="D4613" s="2">
        <v>8.29</v>
      </c>
      <c r="E4613" s="2">
        <v>1.0</v>
      </c>
      <c r="F4613" s="2">
        <v>8.29</v>
      </c>
      <c r="G4613" s="4">
        <f t="shared" si="3"/>
        <v>9543418.62</v>
      </c>
      <c r="H4613" s="4">
        <f t="shared" si="1"/>
        <v>0.9998952906</v>
      </c>
      <c r="I4613" s="4" t="str">
        <f t="shared" si="2"/>
        <v>C</v>
      </c>
    </row>
    <row r="4614">
      <c r="A4614" s="2">
        <v>4613.0</v>
      </c>
      <c r="B4614" s="2" t="s">
        <v>1617</v>
      </c>
      <c r="C4614" s="2" t="s">
        <v>1618</v>
      </c>
      <c r="D4614" s="2">
        <v>16.13</v>
      </c>
      <c r="E4614" s="2">
        <v>0.0</v>
      </c>
      <c r="F4614" s="2">
        <v>8.06</v>
      </c>
      <c r="G4614" s="4">
        <f t="shared" si="3"/>
        <v>9543426.68</v>
      </c>
      <c r="H4614" s="4">
        <f t="shared" si="1"/>
        <v>0.9998961351</v>
      </c>
      <c r="I4614" s="4" t="str">
        <f t="shared" si="2"/>
        <v>C</v>
      </c>
    </row>
    <row r="4615">
      <c r="A4615" s="2">
        <v>4614.0</v>
      </c>
      <c r="B4615" s="2" t="s">
        <v>5894</v>
      </c>
      <c r="C4615" s="2" t="s">
        <v>3435</v>
      </c>
      <c r="D4615" s="2">
        <v>16.13</v>
      </c>
      <c r="E4615" s="2">
        <v>0.0</v>
      </c>
      <c r="F4615" s="2">
        <v>8.06</v>
      </c>
      <c r="G4615" s="4">
        <f t="shared" si="3"/>
        <v>9543434.74</v>
      </c>
      <c r="H4615" s="4">
        <f t="shared" si="1"/>
        <v>0.9998969796</v>
      </c>
      <c r="I4615" s="4" t="str">
        <f t="shared" si="2"/>
        <v>C</v>
      </c>
    </row>
    <row r="4616">
      <c r="A4616" s="2">
        <v>4615.0</v>
      </c>
      <c r="B4616" s="2">
        <v>90102.0</v>
      </c>
      <c r="C4616" s="2" t="s">
        <v>5895</v>
      </c>
      <c r="D4616" s="2">
        <v>0.85</v>
      </c>
      <c r="E4616" s="2">
        <v>10.0</v>
      </c>
      <c r="F4616" s="2">
        <v>8.06</v>
      </c>
      <c r="G4616" s="4">
        <f t="shared" si="3"/>
        <v>9543442.8</v>
      </c>
      <c r="H4616" s="4">
        <f t="shared" si="1"/>
        <v>0.999897824</v>
      </c>
      <c r="I4616" s="4" t="str">
        <f t="shared" si="2"/>
        <v>C</v>
      </c>
    </row>
    <row r="4617">
      <c r="A4617" s="2">
        <v>4616.0</v>
      </c>
      <c r="B4617" s="2" t="s">
        <v>5896</v>
      </c>
      <c r="C4617" s="2" t="s">
        <v>5897</v>
      </c>
      <c r="D4617" s="2">
        <v>0.42</v>
      </c>
      <c r="E4617" s="2">
        <v>19.0</v>
      </c>
      <c r="F4617" s="2">
        <v>7.98</v>
      </c>
      <c r="G4617" s="4">
        <f t="shared" si="3"/>
        <v>9543450.78</v>
      </c>
      <c r="H4617" s="4">
        <f t="shared" si="1"/>
        <v>0.9998986601</v>
      </c>
      <c r="I4617" s="4" t="str">
        <f t="shared" si="2"/>
        <v>C</v>
      </c>
    </row>
    <row r="4618">
      <c r="A4618" s="2">
        <v>4617.0</v>
      </c>
      <c r="B4618" s="2" t="s">
        <v>5898</v>
      </c>
      <c r="C4618" s="2" t="s">
        <v>5899</v>
      </c>
      <c r="D4618" s="2">
        <v>0.85</v>
      </c>
      <c r="E4618" s="2">
        <v>14.0</v>
      </c>
      <c r="F4618" s="2">
        <v>7.95</v>
      </c>
      <c r="G4618" s="4">
        <f t="shared" si="3"/>
        <v>9543458.73</v>
      </c>
      <c r="H4618" s="4">
        <f t="shared" si="1"/>
        <v>0.9998994931</v>
      </c>
      <c r="I4618" s="4" t="str">
        <f t="shared" si="2"/>
        <v>C</v>
      </c>
    </row>
    <row r="4619">
      <c r="A4619" s="2">
        <v>4618.0</v>
      </c>
      <c r="B4619" s="2">
        <v>84630.0</v>
      </c>
      <c r="C4619" s="2" t="s">
        <v>5900</v>
      </c>
      <c r="D4619" s="2">
        <v>7.95</v>
      </c>
      <c r="E4619" s="2">
        <v>1.0</v>
      </c>
      <c r="F4619" s="2">
        <v>7.95</v>
      </c>
      <c r="G4619" s="4">
        <f t="shared" si="3"/>
        <v>9543466.68</v>
      </c>
      <c r="H4619" s="4">
        <f t="shared" si="1"/>
        <v>0.999900326</v>
      </c>
      <c r="I4619" s="4" t="str">
        <f t="shared" si="2"/>
        <v>C</v>
      </c>
    </row>
    <row r="4620">
      <c r="A4620" s="2">
        <v>4619.0</v>
      </c>
      <c r="B4620" s="2">
        <v>35932.0</v>
      </c>
      <c r="C4620" s="2" t="s">
        <v>5901</v>
      </c>
      <c r="D4620" s="2">
        <v>0.38</v>
      </c>
      <c r="E4620" s="2">
        <v>18.0</v>
      </c>
      <c r="F4620" s="2">
        <v>7.82</v>
      </c>
      <c r="G4620" s="4">
        <f t="shared" si="3"/>
        <v>9543474.5</v>
      </c>
      <c r="H4620" s="4">
        <f t="shared" si="1"/>
        <v>0.9999011454</v>
      </c>
      <c r="I4620" s="4" t="str">
        <f t="shared" si="2"/>
        <v>C</v>
      </c>
    </row>
    <row r="4621">
      <c r="A4621" s="2">
        <v>4620.0</v>
      </c>
      <c r="B4621" s="2" t="s">
        <v>5902</v>
      </c>
      <c r="C4621" s="2" t="s">
        <v>1517</v>
      </c>
      <c r="D4621" s="2">
        <v>7.78</v>
      </c>
      <c r="E4621" s="2">
        <v>1.0</v>
      </c>
      <c r="F4621" s="2">
        <v>7.78</v>
      </c>
      <c r="G4621" s="4">
        <f t="shared" si="3"/>
        <v>9543482.28</v>
      </c>
      <c r="H4621" s="4">
        <f t="shared" si="1"/>
        <v>0.9999019605</v>
      </c>
      <c r="I4621" s="4" t="str">
        <f t="shared" si="2"/>
        <v>C</v>
      </c>
    </row>
    <row r="4622">
      <c r="A4622" s="2">
        <v>4621.0</v>
      </c>
      <c r="B4622" s="2">
        <v>21560.0</v>
      </c>
      <c r="C4622" s="2" t="s">
        <v>5903</v>
      </c>
      <c r="D4622" s="2">
        <v>3.86</v>
      </c>
      <c r="E4622" s="2">
        <v>2.0</v>
      </c>
      <c r="F4622" s="2">
        <v>7.72</v>
      </c>
      <c r="G4622" s="4">
        <f t="shared" si="3"/>
        <v>9543490</v>
      </c>
      <c r="H4622" s="4">
        <f t="shared" si="1"/>
        <v>0.9999027693</v>
      </c>
      <c r="I4622" s="4" t="str">
        <f t="shared" si="2"/>
        <v>C</v>
      </c>
    </row>
    <row r="4623">
      <c r="A4623" s="2">
        <v>4622.0</v>
      </c>
      <c r="B4623" s="2">
        <v>21853.0</v>
      </c>
      <c r="C4623" s="2" t="s">
        <v>5904</v>
      </c>
      <c r="D4623" s="2">
        <v>5.17</v>
      </c>
      <c r="E4623" s="2">
        <v>2.0</v>
      </c>
      <c r="F4623" s="2">
        <v>7.7</v>
      </c>
      <c r="G4623" s="4">
        <f t="shared" si="3"/>
        <v>9543497.7</v>
      </c>
      <c r="H4623" s="4">
        <f t="shared" si="1"/>
        <v>0.9999035761</v>
      </c>
      <c r="I4623" s="4" t="str">
        <f t="shared" si="2"/>
        <v>C</v>
      </c>
    </row>
    <row r="4624">
      <c r="A4624" s="2">
        <v>4623.0</v>
      </c>
      <c r="B4624" s="2">
        <v>37481.0</v>
      </c>
      <c r="C4624" s="2" t="s">
        <v>5905</v>
      </c>
      <c r="D4624" s="2">
        <v>2.55</v>
      </c>
      <c r="E4624" s="2">
        <v>3.0</v>
      </c>
      <c r="F4624" s="2">
        <v>7.65</v>
      </c>
      <c r="G4624" s="4">
        <f t="shared" si="3"/>
        <v>9543505.35</v>
      </c>
      <c r="H4624" s="4">
        <f t="shared" si="1"/>
        <v>0.9999043776</v>
      </c>
      <c r="I4624" s="4" t="str">
        <f t="shared" si="2"/>
        <v>C</v>
      </c>
    </row>
    <row r="4625">
      <c r="A4625" s="2">
        <v>4624.0</v>
      </c>
      <c r="B4625" s="2" t="s">
        <v>5906</v>
      </c>
      <c r="C4625" s="2" t="s">
        <v>4196</v>
      </c>
      <c r="D4625" s="2">
        <v>7.62</v>
      </c>
      <c r="E4625" s="2">
        <v>1.0</v>
      </c>
      <c r="F4625" s="2">
        <v>7.62</v>
      </c>
      <c r="G4625" s="4">
        <f t="shared" si="3"/>
        <v>9543512.97</v>
      </c>
      <c r="H4625" s="4">
        <f t="shared" si="1"/>
        <v>0.999905176</v>
      </c>
      <c r="I4625" s="4" t="str">
        <f t="shared" si="2"/>
        <v>C</v>
      </c>
    </row>
    <row r="4626">
      <c r="A4626" s="2">
        <v>4625.0</v>
      </c>
      <c r="B4626" s="2" t="s">
        <v>5907</v>
      </c>
      <c r="C4626" s="2" t="s">
        <v>2678</v>
      </c>
      <c r="D4626" s="2">
        <v>5.06</v>
      </c>
      <c r="E4626" s="2">
        <v>2.0</v>
      </c>
      <c r="F4626" s="2">
        <v>7.59</v>
      </c>
      <c r="G4626" s="4">
        <f t="shared" si="3"/>
        <v>9543520.56</v>
      </c>
      <c r="H4626" s="4">
        <f t="shared" si="1"/>
        <v>0.9999059712</v>
      </c>
      <c r="I4626" s="4" t="str">
        <f t="shared" si="2"/>
        <v>C</v>
      </c>
    </row>
    <row r="4627">
      <c r="A4627" s="2">
        <v>4626.0</v>
      </c>
      <c r="B4627" s="2">
        <v>17174.0</v>
      </c>
      <c r="C4627" s="2" t="s">
        <v>5908</v>
      </c>
      <c r="D4627" s="2">
        <v>0.42</v>
      </c>
      <c r="E4627" s="2">
        <v>18.0</v>
      </c>
      <c r="F4627" s="2">
        <v>7.56</v>
      </c>
      <c r="G4627" s="4">
        <f t="shared" si="3"/>
        <v>9543528.12</v>
      </c>
      <c r="H4627" s="4">
        <f t="shared" si="1"/>
        <v>0.9999067633</v>
      </c>
      <c r="I4627" s="4" t="str">
        <f t="shared" si="2"/>
        <v>C</v>
      </c>
    </row>
    <row r="4628">
      <c r="A4628" s="2">
        <v>4627.0</v>
      </c>
      <c r="B4628" s="2" t="s">
        <v>5909</v>
      </c>
      <c r="C4628" s="2" t="s">
        <v>5910</v>
      </c>
      <c r="D4628" s="2">
        <v>0.19</v>
      </c>
      <c r="E4628" s="2">
        <v>40.0</v>
      </c>
      <c r="F4628" s="2">
        <v>7.51</v>
      </c>
      <c r="G4628" s="4">
        <f t="shared" si="3"/>
        <v>9543535.63</v>
      </c>
      <c r="H4628" s="4">
        <f t="shared" si="1"/>
        <v>0.9999075502</v>
      </c>
      <c r="I4628" s="4" t="str">
        <f t="shared" si="2"/>
        <v>C</v>
      </c>
    </row>
    <row r="4629">
      <c r="A4629" s="2">
        <v>4628.0</v>
      </c>
      <c r="B4629" s="2">
        <v>23449.0</v>
      </c>
      <c r="C4629" s="2" t="s">
        <v>5911</v>
      </c>
      <c r="D4629" s="2">
        <v>1.25</v>
      </c>
      <c r="E4629" s="2">
        <v>6.0</v>
      </c>
      <c r="F4629" s="2">
        <v>7.5</v>
      </c>
      <c r="G4629" s="4">
        <f t="shared" si="3"/>
        <v>9543543.13</v>
      </c>
      <c r="H4629" s="4">
        <f t="shared" si="1"/>
        <v>0.999908336</v>
      </c>
      <c r="I4629" s="4" t="str">
        <f t="shared" si="2"/>
        <v>C</v>
      </c>
    </row>
    <row r="4630">
      <c r="A4630" s="2">
        <v>4629.0</v>
      </c>
      <c r="B4630" s="2">
        <v>90068.0</v>
      </c>
      <c r="C4630" s="2" t="s">
        <v>5912</v>
      </c>
      <c r="D4630" s="2">
        <v>7.5</v>
      </c>
      <c r="E4630" s="2">
        <v>1.0</v>
      </c>
      <c r="F4630" s="2">
        <v>7.5</v>
      </c>
      <c r="G4630" s="4">
        <f t="shared" si="3"/>
        <v>9543550.63</v>
      </c>
      <c r="H4630" s="4">
        <f t="shared" si="1"/>
        <v>0.9999091218</v>
      </c>
      <c r="I4630" s="4" t="str">
        <f t="shared" si="2"/>
        <v>C</v>
      </c>
    </row>
    <row r="4631">
      <c r="A4631" s="2">
        <v>4630.0</v>
      </c>
      <c r="B4631" s="2">
        <v>23621.0</v>
      </c>
      <c r="C4631" s="2" t="s">
        <v>5913</v>
      </c>
      <c r="D4631" s="2">
        <v>2.49</v>
      </c>
      <c r="E4631" s="2">
        <v>3.0</v>
      </c>
      <c r="F4631" s="2">
        <v>7.47</v>
      </c>
      <c r="G4631" s="4">
        <f t="shared" si="3"/>
        <v>9543558.1</v>
      </c>
      <c r="H4631" s="4">
        <f t="shared" si="1"/>
        <v>0.9999099044</v>
      </c>
      <c r="I4631" s="4" t="str">
        <f t="shared" si="2"/>
        <v>C</v>
      </c>
    </row>
    <row r="4632">
      <c r="A4632" s="2">
        <v>4631.0</v>
      </c>
      <c r="B4632" s="2" t="s">
        <v>5914</v>
      </c>
      <c r="C4632" s="2" t="s">
        <v>1735</v>
      </c>
      <c r="D4632" s="2">
        <v>7.46</v>
      </c>
      <c r="E4632" s="2">
        <v>1.0</v>
      </c>
      <c r="F4632" s="2">
        <v>7.46</v>
      </c>
      <c r="G4632" s="4">
        <f t="shared" si="3"/>
        <v>9543565.56</v>
      </c>
      <c r="H4632" s="4">
        <f t="shared" si="1"/>
        <v>0.999910686</v>
      </c>
      <c r="I4632" s="4" t="str">
        <f t="shared" si="2"/>
        <v>C</v>
      </c>
    </row>
    <row r="4633">
      <c r="A4633" s="2">
        <v>4632.0</v>
      </c>
      <c r="B4633" s="2">
        <v>35650.0</v>
      </c>
      <c r="C4633" s="2" t="s">
        <v>5915</v>
      </c>
      <c r="D4633" s="2">
        <v>4.95</v>
      </c>
      <c r="E4633" s="2">
        <v>2.0</v>
      </c>
      <c r="F4633" s="2">
        <v>7.43</v>
      </c>
      <c r="G4633" s="4">
        <f t="shared" si="3"/>
        <v>9543572.99</v>
      </c>
      <c r="H4633" s="4">
        <f t="shared" si="1"/>
        <v>0.9999114645</v>
      </c>
      <c r="I4633" s="4" t="str">
        <f t="shared" si="2"/>
        <v>C</v>
      </c>
    </row>
    <row r="4634">
      <c r="A4634" s="2">
        <v>4633.0</v>
      </c>
      <c r="B4634" s="2">
        <v>84567.0</v>
      </c>
      <c r="C4634" s="2" t="s">
        <v>5916</v>
      </c>
      <c r="D4634" s="2">
        <v>1.65</v>
      </c>
      <c r="E4634" s="2">
        <v>4.0</v>
      </c>
      <c r="F4634" s="2">
        <v>7.42</v>
      </c>
      <c r="G4634" s="4">
        <f t="shared" si="3"/>
        <v>9543580.41</v>
      </c>
      <c r="H4634" s="4">
        <f t="shared" si="1"/>
        <v>0.9999122419</v>
      </c>
      <c r="I4634" s="4" t="str">
        <f t="shared" si="2"/>
        <v>C</v>
      </c>
    </row>
    <row r="4635">
      <c r="A4635" s="2">
        <v>4634.0</v>
      </c>
      <c r="B4635" s="2" t="s">
        <v>5917</v>
      </c>
      <c r="C4635" s="2" t="s">
        <v>5918</v>
      </c>
      <c r="D4635" s="2">
        <v>2.96</v>
      </c>
      <c r="E4635" s="2">
        <v>2.0</v>
      </c>
      <c r="F4635" s="2">
        <v>7.38</v>
      </c>
      <c r="G4635" s="4">
        <f t="shared" si="3"/>
        <v>9543587.79</v>
      </c>
      <c r="H4635" s="4">
        <f t="shared" si="1"/>
        <v>0.9999130151</v>
      </c>
      <c r="I4635" s="4" t="str">
        <f t="shared" si="2"/>
        <v>C</v>
      </c>
    </row>
    <row r="4636">
      <c r="A4636" s="2">
        <v>4635.0</v>
      </c>
      <c r="B4636" s="2">
        <v>23634.0</v>
      </c>
      <c r="C4636" s="2" t="s">
        <v>5919</v>
      </c>
      <c r="D4636" s="2">
        <v>2.91</v>
      </c>
      <c r="E4636" s="2">
        <v>2.0</v>
      </c>
      <c r="F4636" s="2">
        <v>7.28</v>
      </c>
      <c r="G4636" s="4">
        <f t="shared" si="3"/>
        <v>9543595.07</v>
      </c>
      <c r="H4636" s="4">
        <f t="shared" si="1"/>
        <v>0.9999137779</v>
      </c>
      <c r="I4636" s="4" t="str">
        <f t="shared" si="2"/>
        <v>C</v>
      </c>
    </row>
    <row r="4637">
      <c r="A4637" s="2">
        <v>4636.0</v>
      </c>
      <c r="B4637" s="2">
        <v>90077.0</v>
      </c>
      <c r="C4637" s="2" t="s">
        <v>5920</v>
      </c>
      <c r="D4637" s="2">
        <v>2.96</v>
      </c>
      <c r="E4637" s="2">
        <v>2.0</v>
      </c>
      <c r="F4637" s="2">
        <v>7.2</v>
      </c>
      <c r="G4637" s="4">
        <f t="shared" si="3"/>
        <v>9543602.27</v>
      </c>
      <c r="H4637" s="4">
        <f t="shared" si="1"/>
        <v>0.9999145322</v>
      </c>
      <c r="I4637" s="4" t="str">
        <f t="shared" si="2"/>
        <v>C</v>
      </c>
    </row>
    <row r="4638">
      <c r="A4638" s="2">
        <v>4637.0</v>
      </c>
      <c r="B4638" s="2" t="s">
        <v>5921</v>
      </c>
      <c r="C4638" s="2" t="s">
        <v>5922</v>
      </c>
      <c r="D4638" s="2">
        <v>0.42</v>
      </c>
      <c r="E4638" s="2">
        <v>16.0</v>
      </c>
      <c r="F4638" s="2">
        <v>7.14</v>
      </c>
      <c r="G4638" s="4">
        <f t="shared" si="3"/>
        <v>9543609.41</v>
      </c>
      <c r="H4638" s="4">
        <f t="shared" si="1"/>
        <v>0.9999152803</v>
      </c>
      <c r="I4638" s="4" t="str">
        <f t="shared" si="2"/>
        <v>C</v>
      </c>
    </row>
    <row r="4639">
      <c r="A4639" s="2">
        <v>4638.0</v>
      </c>
      <c r="B4639" s="2">
        <v>21852.0</v>
      </c>
      <c r="C4639" s="2" t="s">
        <v>5923</v>
      </c>
      <c r="D4639" s="2">
        <v>6.95</v>
      </c>
      <c r="E4639" s="2">
        <v>1.0</v>
      </c>
      <c r="F4639" s="2">
        <v>6.95</v>
      </c>
      <c r="G4639" s="4">
        <f t="shared" si="3"/>
        <v>9543616.36</v>
      </c>
      <c r="H4639" s="4">
        <f t="shared" si="1"/>
        <v>0.9999160085</v>
      </c>
      <c r="I4639" s="4" t="str">
        <f t="shared" si="2"/>
        <v>C</v>
      </c>
    </row>
    <row r="4640">
      <c r="A4640" s="2">
        <v>4639.0</v>
      </c>
      <c r="B4640" s="2" t="s">
        <v>5924</v>
      </c>
      <c r="C4640" s="2" t="s">
        <v>5925</v>
      </c>
      <c r="D4640" s="2">
        <v>6.95</v>
      </c>
      <c r="E4640" s="2">
        <v>1.0</v>
      </c>
      <c r="F4640" s="2">
        <v>6.95</v>
      </c>
      <c r="G4640" s="4">
        <f t="shared" si="3"/>
        <v>9543623.31</v>
      </c>
      <c r="H4640" s="4">
        <f t="shared" si="1"/>
        <v>0.9999167367</v>
      </c>
      <c r="I4640" s="4" t="str">
        <f t="shared" si="2"/>
        <v>C</v>
      </c>
    </row>
    <row r="4641">
      <c r="A4641" s="2">
        <v>4640.0</v>
      </c>
      <c r="B4641" s="2" t="s">
        <v>5926</v>
      </c>
      <c r="C4641" s="2" t="s">
        <v>247</v>
      </c>
      <c r="D4641" s="2">
        <v>6.91</v>
      </c>
      <c r="E4641" s="2">
        <v>1.0</v>
      </c>
      <c r="F4641" s="2">
        <v>6.91</v>
      </c>
      <c r="G4641" s="4">
        <f t="shared" si="3"/>
        <v>9543630.22</v>
      </c>
      <c r="H4641" s="4">
        <f t="shared" si="1"/>
        <v>0.9999174607</v>
      </c>
      <c r="I4641" s="4" t="str">
        <f t="shared" si="2"/>
        <v>C</v>
      </c>
    </row>
    <row r="4642">
      <c r="A4642" s="2">
        <v>4641.0</v>
      </c>
      <c r="B4642" s="2" t="s">
        <v>5927</v>
      </c>
      <c r="C4642" s="2" t="s">
        <v>5928</v>
      </c>
      <c r="D4642" s="2">
        <v>1.25</v>
      </c>
      <c r="E4642" s="2">
        <v>6.0</v>
      </c>
      <c r="F4642" s="2">
        <v>6.88</v>
      </c>
      <c r="G4642" s="4">
        <f t="shared" si="3"/>
        <v>9543637.1</v>
      </c>
      <c r="H4642" s="4">
        <f t="shared" si="1"/>
        <v>0.9999181815</v>
      </c>
      <c r="I4642" s="4" t="str">
        <f t="shared" si="2"/>
        <v>C</v>
      </c>
    </row>
    <row r="4643">
      <c r="A4643" s="2">
        <v>4642.0</v>
      </c>
      <c r="B4643" s="2">
        <v>35936.0</v>
      </c>
      <c r="C4643" s="2" t="s">
        <v>5929</v>
      </c>
      <c r="D4643" s="2">
        <v>0.38</v>
      </c>
      <c r="E4643" s="2">
        <v>18.0</v>
      </c>
      <c r="F4643" s="2">
        <v>6.84</v>
      </c>
      <c r="G4643" s="4">
        <f t="shared" si="3"/>
        <v>9543643.94</v>
      </c>
      <c r="H4643" s="4">
        <f t="shared" si="1"/>
        <v>0.9999188981</v>
      </c>
      <c r="I4643" s="4" t="str">
        <f t="shared" si="2"/>
        <v>C</v>
      </c>
    </row>
    <row r="4644">
      <c r="A4644" s="2">
        <v>4643.0</v>
      </c>
      <c r="B4644" s="2" t="s">
        <v>5930</v>
      </c>
      <c r="C4644" s="2" t="s">
        <v>5931</v>
      </c>
      <c r="D4644" s="2">
        <v>1.95</v>
      </c>
      <c r="E4644" s="2">
        <v>4.0</v>
      </c>
      <c r="F4644" s="2">
        <v>6.82</v>
      </c>
      <c r="G4644" s="4">
        <f t="shared" si="3"/>
        <v>9543650.76</v>
      </c>
      <c r="H4644" s="4">
        <f t="shared" si="1"/>
        <v>0.9999196127</v>
      </c>
      <c r="I4644" s="4" t="str">
        <f t="shared" si="2"/>
        <v>C</v>
      </c>
    </row>
    <row r="4645">
      <c r="A4645" s="2">
        <v>4644.0</v>
      </c>
      <c r="B4645" s="2">
        <v>35443.0</v>
      </c>
      <c r="C4645" s="2" t="s">
        <v>5932</v>
      </c>
      <c r="D4645" s="2">
        <v>0.85</v>
      </c>
      <c r="E4645" s="2">
        <v>8.0</v>
      </c>
      <c r="F4645" s="2">
        <v>6.8</v>
      </c>
      <c r="G4645" s="4">
        <f t="shared" si="3"/>
        <v>9543657.56</v>
      </c>
      <c r="H4645" s="4">
        <f t="shared" si="1"/>
        <v>0.9999203252</v>
      </c>
      <c r="I4645" s="4" t="str">
        <f t="shared" si="2"/>
        <v>C</v>
      </c>
    </row>
    <row r="4646">
      <c r="A4646" s="2">
        <v>4645.0</v>
      </c>
      <c r="B4646" s="2" t="s">
        <v>5933</v>
      </c>
      <c r="C4646" s="2" t="s">
        <v>5070</v>
      </c>
      <c r="D4646" s="2">
        <v>13.57</v>
      </c>
      <c r="E4646" s="2">
        <v>0.0</v>
      </c>
      <c r="F4646" s="2">
        <v>6.78</v>
      </c>
      <c r="G4646" s="4">
        <f t="shared" si="3"/>
        <v>9543664.34</v>
      </c>
      <c r="H4646" s="4">
        <f t="shared" si="1"/>
        <v>0.9999210355</v>
      </c>
      <c r="I4646" s="4" t="str">
        <f t="shared" si="2"/>
        <v>C</v>
      </c>
    </row>
    <row r="4647">
      <c r="A4647" s="2">
        <v>4646.0</v>
      </c>
      <c r="B4647" s="2" t="s">
        <v>5934</v>
      </c>
      <c r="C4647" s="2" t="s">
        <v>3151</v>
      </c>
      <c r="D4647" s="2">
        <v>13.57</v>
      </c>
      <c r="E4647" s="2">
        <v>0.0</v>
      </c>
      <c r="F4647" s="2">
        <v>6.78</v>
      </c>
      <c r="G4647" s="4">
        <f t="shared" si="3"/>
        <v>9543671.12</v>
      </c>
      <c r="H4647" s="4">
        <f t="shared" si="1"/>
        <v>0.9999217459</v>
      </c>
      <c r="I4647" s="4" t="str">
        <f t="shared" si="2"/>
        <v>C</v>
      </c>
    </row>
    <row r="4648">
      <c r="A4648" s="2">
        <v>4647.0</v>
      </c>
      <c r="B4648" s="2">
        <v>21525.0</v>
      </c>
      <c r="C4648" s="2" t="s">
        <v>5935</v>
      </c>
      <c r="D4648" s="2">
        <v>6.75</v>
      </c>
      <c r="E4648" s="2">
        <v>1.0</v>
      </c>
      <c r="F4648" s="2">
        <v>6.75</v>
      </c>
      <c r="G4648" s="4">
        <f t="shared" si="3"/>
        <v>9543677.87</v>
      </c>
      <c r="H4648" s="4">
        <f t="shared" si="1"/>
        <v>0.9999224531</v>
      </c>
      <c r="I4648" s="4" t="str">
        <f t="shared" si="2"/>
        <v>C</v>
      </c>
    </row>
    <row r="4649">
      <c r="A4649" s="2">
        <v>4648.0</v>
      </c>
      <c r="B4649" s="2" t="s">
        <v>5936</v>
      </c>
      <c r="C4649" s="2" t="s">
        <v>1876</v>
      </c>
      <c r="D4649" s="2">
        <v>3.36</v>
      </c>
      <c r="E4649" s="2">
        <v>2.0</v>
      </c>
      <c r="F4649" s="2">
        <v>6.72</v>
      </c>
      <c r="G4649" s="4">
        <f t="shared" si="3"/>
        <v>9543684.59</v>
      </c>
      <c r="H4649" s="4">
        <f t="shared" si="1"/>
        <v>0.9999231572</v>
      </c>
      <c r="I4649" s="4" t="str">
        <f t="shared" si="2"/>
        <v>C</v>
      </c>
    </row>
    <row r="4650">
      <c r="A4650" s="2">
        <v>4649.0</v>
      </c>
      <c r="B4650" s="2" t="s">
        <v>5937</v>
      </c>
      <c r="C4650" s="2" t="s">
        <v>5938</v>
      </c>
      <c r="D4650" s="2">
        <v>0.83</v>
      </c>
      <c r="E4650" s="2">
        <v>6.0</v>
      </c>
      <c r="F4650" s="2">
        <v>6.68</v>
      </c>
      <c r="G4650" s="4">
        <f t="shared" si="3"/>
        <v>9543691.27</v>
      </c>
      <c r="H4650" s="4">
        <f t="shared" si="1"/>
        <v>0.9999238571</v>
      </c>
      <c r="I4650" s="4" t="str">
        <f t="shared" si="2"/>
        <v>C</v>
      </c>
    </row>
    <row r="4651">
      <c r="A4651" s="2">
        <v>4650.0</v>
      </c>
      <c r="B4651" s="2">
        <v>23639.0</v>
      </c>
      <c r="C4651" s="2" t="s">
        <v>5939</v>
      </c>
      <c r="D4651" s="2">
        <v>3.33</v>
      </c>
      <c r="E4651" s="2">
        <v>2.0</v>
      </c>
      <c r="F4651" s="2">
        <v>6.66</v>
      </c>
      <c r="G4651" s="4">
        <f t="shared" si="3"/>
        <v>9543697.93</v>
      </c>
      <c r="H4651" s="4">
        <f t="shared" si="1"/>
        <v>0.9999245549</v>
      </c>
      <c r="I4651" s="4" t="str">
        <f t="shared" si="2"/>
        <v>C</v>
      </c>
    </row>
    <row r="4652">
      <c r="A4652" s="2">
        <v>4651.0</v>
      </c>
      <c r="B4652" s="2">
        <v>23607.0</v>
      </c>
      <c r="C4652" s="2" t="s">
        <v>5940</v>
      </c>
      <c r="D4652" s="2">
        <v>1.66</v>
      </c>
      <c r="E4652" s="2">
        <v>4.0</v>
      </c>
      <c r="F4652" s="2">
        <v>6.64</v>
      </c>
      <c r="G4652" s="4">
        <f t="shared" si="3"/>
        <v>9543704.57</v>
      </c>
      <c r="H4652" s="4">
        <f t="shared" si="1"/>
        <v>0.9999252505</v>
      </c>
      <c r="I4652" s="4" t="str">
        <f t="shared" si="2"/>
        <v>C</v>
      </c>
    </row>
    <row r="4653">
      <c r="A4653" s="2">
        <v>4652.0</v>
      </c>
      <c r="B4653" s="2" t="s">
        <v>5941</v>
      </c>
      <c r="C4653" s="2" t="s">
        <v>5942</v>
      </c>
      <c r="D4653" s="2">
        <v>0.42</v>
      </c>
      <c r="E4653" s="2">
        <v>16.0</v>
      </c>
      <c r="F4653" s="2">
        <v>6.51</v>
      </c>
      <c r="G4653" s="4">
        <f t="shared" si="3"/>
        <v>9543711.08</v>
      </c>
      <c r="H4653" s="4">
        <f t="shared" si="1"/>
        <v>0.9999259326</v>
      </c>
      <c r="I4653" s="4" t="str">
        <f t="shared" si="2"/>
        <v>C</v>
      </c>
    </row>
    <row r="4654">
      <c r="A4654" s="2">
        <v>4653.0</v>
      </c>
      <c r="B4654" s="2" t="s">
        <v>5943</v>
      </c>
      <c r="C4654" s="2" t="s">
        <v>3753</v>
      </c>
      <c r="D4654" s="2">
        <v>13.0</v>
      </c>
      <c r="E4654" s="2">
        <v>0.0</v>
      </c>
      <c r="F4654" s="2">
        <v>6.5</v>
      </c>
      <c r="G4654" s="4">
        <f t="shared" si="3"/>
        <v>9543717.58</v>
      </c>
      <c r="H4654" s="4">
        <f t="shared" si="1"/>
        <v>0.9999266137</v>
      </c>
      <c r="I4654" s="4" t="str">
        <f t="shared" si="2"/>
        <v>C</v>
      </c>
    </row>
    <row r="4655">
      <c r="A4655" s="2">
        <v>4654.0</v>
      </c>
      <c r="B4655" s="2" t="s">
        <v>5944</v>
      </c>
      <c r="C4655" s="2" t="s">
        <v>2318</v>
      </c>
      <c r="D4655" s="2">
        <v>13.0</v>
      </c>
      <c r="E4655" s="2">
        <v>0.0</v>
      </c>
      <c r="F4655" s="2">
        <v>6.5</v>
      </c>
      <c r="G4655" s="4">
        <f t="shared" si="3"/>
        <v>9543724.08</v>
      </c>
      <c r="H4655" s="4">
        <f t="shared" si="1"/>
        <v>0.9999272947</v>
      </c>
      <c r="I4655" s="4" t="str">
        <f t="shared" si="2"/>
        <v>C</v>
      </c>
    </row>
    <row r="4656">
      <c r="A4656" s="2">
        <v>4655.0</v>
      </c>
      <c r="B4656" s="2">
        <v>16192.0</v>
      </c>
      <c r="C4656" s="2" t="s">
        <v>5945</v>
      </c>
      <c r="D4656" s="2">
        <v>4.3</v>
      </c>
      <c r="E4656" s="2">
        <v>2.0</v>
      </c>
      <c r="F4656" s="2">
        <v>6.45</v>
      </c>
      <c r="G4656" s="4">
        <f t="shared" si="3"/>
        <v>9543730.53</v>
      </c>
      <c r="H4656" s="4">
        <f t="shared" si="1"/>
        <v>0.9999279705</v>
      </c>
      <c r="I4656" s="4" t="str">
        <f t="shared" si="2"/>
        <v>C</v>
      </c>
    </row>
    <row r="4657">
      <c r="A4657" s="2">
        <v>4656.0</v>
      </c>
      <c r="B4657" s="2" t="s">
        <v>5946</v>
      </c>
      <c r="C4657" s="2" t="s">
        <v>3740</v>
      </c>
      <c r="D4657" s="2">
        <v>1.28</v>
      </c>
      <c r="E4657" s="2">
        <v>5.0</v>
      </c>
      <c r="F4657" s="2">
        <v>6.4</v>
      </c>
      <c r="G4657" s="4">
        <f t="shared" si="3"/>
        <v>9543736.93</v>
      </c>
      <c r="H4657" s="4">
        <f t="shared" si="1"/>
        <v>0.999928641</v>
      </c>
      <c r="I4657" s="4" t="str">
        <f t="shared" si="2"/>
        <v>C</v>
      </c>
    </row>
    <row r="4658">
      <c r="A4658" s="2">
        <v>4657.0</v>
      </c>
      <c r="B4658" s="2" t="s">
        <v>5947</v>
      </c>
      <c r="C4658" s="2" t="s">
        <v>5948</v>
      </c>
      <c r="D4658" s="2">
        <v>0.86</v>
      </c>
      <c r="E4658" s="2">
        <v>5.0</v>
      </c>
      <c r="F4658" s="2">
        <v>6.39</v>
      </c>
      <c r="G4658" s="4">
        <f t="shared" si="3"/>
        <v>9543743.32</v>
      </c>
      <c r="H4658" s="4">
        <f t="shared" si="1"/>
        <v>0.9999293105</v>
      </c>
      <c r="I4658" s="4" t="str">
        <f t="shared" si="2"/>
        <v>C</v>
      </c>
    </row>
    <row r="4659">
      <c r="A4659" s="2">
        <v>4658.0</v>
      </c>
      <c r="B4659" s="2">
        <v>21772.0</v>
      </c>
      <c r="C4659" s="2" t="s">
        <v>5949</v>
      </c>
      <c r="D4659" s="2">
        <v>12.75</v>
      </c>
      <c r="E4659" s="2">
        <v>0.0</v>
      </c>
      <c r="F4659" s="2">
        <v>6.38</v>
      </c>
      <c r="G4659" s="4">
        <f t="shared" si="3"/>
        <v>9543749.7</v>
      </c>
      <c r="H4659" s="4">
        <f t="shared" si="1"/>
        <v>0.999929979</v>
      </c>
      <c r="I4659" s="4" t="str">
        <f t="shared" si="2"/>
        <v>C</v>
      </c>
    </row>
    <row r="4660">
      <c r="A4660" s="2">
        <v>4659.0</v>
      </c>
      <c r="B4660" s="2" t="s">
        <v>5950</v>
      </c>
      <c r="C4660" s="2" t="s">
        <v>5951</v>
      </c>
      <c r="D4660" s="2">
        <v>4.25</v>
      </c>
      <c r="E4660" s="2">
        <v>2.0</v>
      </c>
      <c r="F4660" s="2">
        <v>6.38</v>
      </c>
      <c r="G4660" s="4">
        <f t="shared" si="3"/>
        <v>9543756.08</v>
      </c>
      <c r="H4660" s="4">
        <f t="shared" si="1"/>
        <v>0.9999306474</v>
      </c>
      <c r="I4660" s="4" t="str">
        <f t="shared" si="2"/>
        <v>C</v>
      </c>
    </row>
    <row r="4661">
      <c r="A4661" s="2">
        <v>4660.0</v>
      </c>
      <c r="B4661" s="2">
        <v>85083.0</v>
      </c>
      <c r="C4661" s="2" t="s">
        <v>5952</v>
      </c>
      <c r="D4661" s="2">
        <v>2.55</v>
      </c>
      <c r="E4661" s="2">
        <v>2.0</v>
      </c>
      <c r="F4661" s="2">
        <v>6.38</v>
      </c>
      <c r="G4661" s="4">
        <f t="shared" si="3"/>
        <v>9543762.46</v>
      </c>
      <c r="H4661" s="4">
        <f t="shared" si="1"/>
        <v>0.9999313159</v>
      </c>
      <c r="I4661" s="4" t="str">
        <f t="shared" si="2"/>
        <v>C</v>
      </c>
    </row>
    <row r="4662">
      <c r="A4662" s="2">
        <v>4661.0</v>
      </c>
      <c r="B4662" s="2" t="s">
        <v>5953</v>
      </c>
      <c r="C4662" s="2" t="s">
        <v>5954</v>
      </c>
      <c r="D4662" s="2">
        <v>0.85</v>
      </c>
      <c r="E4662" s="2">
        <v>8.0</v>
      </c>
      <c r="F4662" s="2">
        <v>6.38</v>
      </c>
      <c r="G4662" s="4">
        <f t="shared" si="3"/>
        <v>9543768.84</v>
      </c>
      <c r="H4662" s="4">
        <f t="shared" si="1"/>
        <v>0.9999319843</v>
      </c>
      <c r="I4662" s="4" t="str">
        <f t="shared" si="2"/>
        <v>C</v>
      </c>
    </row>
    <row r="4663">
      <c r="A4663" s="2">
        <v>4662.0</v>
      </c>
      <c r="B4663" s="2">
        <v>84648.0</v>
      </c>
      <c r="C4663" s="2" t="s">
        <v>5955</v>
      </c>
      <c r="D4663" s="2">
        <v>12.75</v>
      </c>
      <c r="E4663" s="2">
        <v>0.0</v>
      </c>
      <c r="F4663" s="2">
        <v>6.38</v>
      </c>
      <c r="G4663" s="4">
        <f t="shared" si="3"/>
        <v>9543775.22</v>
      </c>
      <c r="H4663" s="4">
        <f t="shared" si="1"/>
        <v>0.9999326528</v>
      </c>
      <c r="I4663" s="4" t="str">
        <f t="shared" si="2"/>
        <v>C</v>
      </c>
    </row>
    <row r="4664">
      <c r="A4664" s="2">
        <v>4663.0</v>
      </c>
      <c r="B4664" s="2">
        <v>20812.0</v>
      </c>
      <c r="C4664" s="2" t="s">
        <v>5956</v>
      </c>
      <c r="D4664" s="2">
        <v>2.55</v>
      </c>
      <c r="E4664" s="2">
        <v>2.0</v>
      </c>
      <c r="F4664" s="2">
        <v>6.38</v>
      </c>
      <c r="G4664" s="4">
        <f t="shared" si="3"/>
        <v>9543781.6</v>
      </c>
      <c r="H4664" s="4">
        <f t="shared" si="1"/>
        <v>0.9999333212</v>
      </c>
      <c r="I4664" s="4" t="str">
        <f t="shared" si="2"/>
        <v>C</v>
      </c>
    </row>
    <row r="4665">
      <c r="A4665" s="2">
        <v>4664.0</v>
      </c>
      <c r="B4665" s="2" t="s">
        <v>5957</v>
      </c>
      <c r="C4665" s="2" t="s">
        <v>3453</v>
      </c>
      <c r="D4665" s="2">
        <v>12.72</v>
      </c>
      <c r="E4665" s="2">
        <v>0.0</v>
      </c>
      <c r="F4665" s="2">
        <v>6.36</v>
      </c>
      <c r="G4665" s="4">
        <f t="shared" si="3"/>
        <v>9543787.96</v>
      </c>
      <c r="H4665" s="4">
        <f t="shared" si="1"/>
        <v>0.9999339876</v>
      </c>
      <c r="I4665" s="4" t="str">
        <f t="shared" si="2"/>
        <v>C</v>
      </c>
    </row>
    <row r="4666">
      <c r="A4666" s="2">
        <v>4665.0</v>
      </c>
      <c r="B4666" s="2">
        <v>85157.0</v>
      </c>
      <c r="C4666" s="2" t="s">
        <v>5958</v>
      </c>
      <c r="D4666" s="2">
        <v>12.72</v>
      </c>
      <c r="E4666" s="2">
        <v>0.0</v>
      </c>
      <c r="F4666" s="2">
        <v>6.36</v>
      </c>
      <c r="G4666" s="4">
        <f t="shared" si="3"/>
        <v>9543794.32</v>
      </c>
      <c r="H4666" s="4">
        <f t="shared" si="1"/>
        <v>0.999934654</v>
      </c>
      <c r="I4666" s="4" t="str">
        <f t="shared" si="2"/>
        <v>C</v>
      </c>
    </row>
    <row r="4667">
      <c r="A4667" s="2">
        <v>4666.0</v>
      </c>
      <c r="B4667" s="2" t="s">
        <v>5959</v>
      </c>
      <c r="C4667" s="2" t="s">
        <v>5960</v>
      </c>
      <c r="D4667" s="2">
        <v>0.47</v>
      </c>
      <c r="E4667" s="2">
        <v>16.0</v>
      </c>
      <c r="F4667" s="2">
        <v>6.3</v>
      </c>
      <c r="G4667" s="4">
        <f t="shared" si="3"/>
        <v>9543800.62</v>
      </c>
      <c r="H4667" s="4">
        <f t="shared" si="1"/>
        <v>0.999935314</v>
      </c>
      <c r="I4667" s="4" t="str">
        <f t="shared" si="2"/>
        <v>C</v>
      </c>
    </row>
    <row r="4668">
      <c r="A4668" s="2">
        <v>4667.0</v>
      </c>
      <c r="B4668" s="2" t="s">
        <v>5961</v>
      </c>
      <c r="C4668" s="2" t="s">
        <v>5962</v>
      </c>
      <c r="D4668" s="2">
        <v>1.25</v>
      </c>
      <c r="E4668" s="2">
        <v>5.0</v>
      </c>
      <c r="F4668" s="2">
        <v>6.25</v>
      </c>
      <c r="G4668" s="4">
        <f t="shared" si="3"/>
        <v>9543806.87</v>
      </c>
      <c r="H4668" s="4">
        <f t="shared" si="1"/>
        <v>0.9999359689</v>
      </c>
      <c r="I4668" s="4" t="str">
        <f t="shared" si="2"/>
        <v>C</v>
      </c>
    </row>
    <row r="4669">
      <c r="A4669" s="2">
        <v>4668.0</v>
      </c>
      <c r="B4669" s="2" t="s">
        <v>5963</v>
      </c>
      <c r="C4669" s="2" t="s">
        <v>5964</v>
      </c>
      <c r="D4669" s="2">
        <v>1.25</v>
      </c>
      <c r="E4669" s="2">
        <v>5.0</v>
      </c>
      <c r="F4669" s="2">
        <v>6.25</v>
      </c>
      <c r="G4669" s="4">
        <f t="shared" si="3"/>
        <v>9543813.12</v>
      </c>
      <c r="H4669" s="4">
        <f t="shared" si="1"/>
        <v>0.9999366237</v>
      </c>
      <c r="I4669" s="4" t="str">
        <f t="shared" si="2"/>
        <v>C</v>
      </c>
    </row>
    <row r="4670">
      <c r="A4670" s="2">
        <v>4669.0</v>
      </c>
      <c r="B4670" s="2" t="s">
        <v>5965</v>
      </c>
      <c r="C4670" s="2" t="s">
        <v>5966</v>
      </c>
      <c r="D4670" s="2">
        <v>1.25</v>
      </c>
      <c r="E4670" s="2">
        <v>5.0</v>
      </c>
      <c r="F4670" s="2">
        <v>6.25</v>
      </c>
      <c r="G4670" s="4">
        <f t="shared" si="3"/>
        <v>9543819.37</v>
      </c>
      <c r="H4670" s="4">
        <f t="shared" si="1"/>
        <v>0.9999372785</v>
      </c>
      <c r="I4670" s="4" t="str">
        <f t="shared" si="2"/>
        <v>C</v>
      </c>
    </row>
    <row r="4671">
      <c r="A4671" s="2">
        <v>4670.0</v>
      </c>
      <c r="B4671" s="2" t="s">
        <v>5967</v>
      </c>
      <c r="C4671" s="2" t="s">
        <v>5968</v>
      </c>
      <c r="D4671" s="2">
        <v>1.25</v>
      </c>
      <c r="E4671" s="2">
        <v>5.0</v>
      </c>
      <c r="F4671" s="2">
        <v>6.25</v>
      </c>
      <c r="G4671" s="4">
        <f t="shared" si="3"/>
        <v>9543825.62</v>
      </c>
      <c r="H4671" s="4">
        <f t="shared" si="1"/>
        <v>0.9999379334</v>
      </c>
      <c r="I4671" s="4" t="str">
        <f t="shared" si="2"/>
        <v>C</v>
      </c>
    </row>
    <row r="4672">
      <c r="A4672" s="2">
        <v>4671.0</v>
      </c>
      <c r="B4672" s="2">
        <v>23635.0</v>
      </c>
      <c r="C4672" s="2" t="s">
        <v>5969</v>
      </c>
      <c r="D4672" s="2">
        <v>4.16</v>
      </c>
      <c r="E4672" s="2">
        <v>2.0</v>
      </c>
      <c r="F4672" s="2">
        <v>6.24</v>
      </c>
      <c r="G4672" s="4">
        <f t="shared" si="3"/>
        <v>9543831.86</v>
      </c>
      <c r="H4672" s="4">
        <f t="shared" si="1"/>
        <v>0.9999385871</v>
      </c>
      <c r="I4672" s="4" t="str">
        <f t="shared" si="2"/>
        <v>C</v>
      </c>
    </row>
    <row r="4673">
      <c r="A4673" s="2">
        <v>4672.0</v>
      </c>
      <c r="B4673" s="2">
        <v>23654.0</v>
      </c>
      <c r="C4673" s="2" t="s">
        <v>5970</v>
      </c>
      <c r="D4673" s="2">
        <v>2.49</v>
      </c>
      <c r="E4673" s="2">
        <v>2.0</v>
      </c>
      <c r="F4673" s="2">
        <v>6.22</v>
      </c>
      <c r="G4673" s="4">
        <f t="shared" si="3"/>
        <v>9543838.08</v>
      </c>
      <c r="H4673" s="4">
        <f t="shared" si="1"/>
        <v>0.9999392388</v>
      </c>
      <c r="I4673" s="4" t="str">
        <f t="shared" si="2"/>
        <v>C</v>
      </c>
    </row>
    <row r="4674">
      <c r="A4674" s="2">
        <v>4673.0</v>
      </c>
      <c r="B4674" s="2" t="s">
        <v>5971</v>
      </c>
      <c r="C4674" s="2" t="s">
        <v>2366</v>
      </c>
      <c r="D4674" s="2">
        <v>2.48</v>
      </c>
      <c r="E4674" s="2">
        <v>2.0</v>
      </c>
      <c r="F4674" s="2">
        <v>6.2</v>
      </c>
      <c r="G4674" s="4">
        <f t="shared" si="3"/>
        <v>9543844.28</v>
      </c>
      <c r="H4674" s="4">
        <f t="shared" si="1"/>
        <v>0.9999398884</v>
      </c>
      <c r="I4674" s="4" t="str">
        <f t="shared" si="2"/>
        <v>C</v>
      </c>
    </row>
    <row r="4675">
      <c r="A4675" s="2">
        <v>4674.0</v>
      </c>
      <c r="B4675" s="2" t="s">
        <v>5972</v>
      </c>
      <c r="C4675" s="2" t="s">
        <v>5973</v>
      </c>
      <c r="D4675" s="2">
        <v>6.16</v>
      </c>
      <c r="E4675" s="2">
        <v>1.0</v>
      </c>
      <c r="F4675" s="2">
        <v>6.16</v>
      </c>
      <c r="G4675" s="4">
        <f t="shared" si="3"/>
        <v>9543850.44</v>
      </c>
      <c r="H4675" s="4">
        <f t="shared" si="1"/>
        <v>0.9999405338</v>
      </c>
      <c r="I4675" s="4" t="str">
        <f t="shared" si="2"/>
        <v>C</v>
      </c>
    </row>
    <row r="4676">
      <c r="A4676" s="2">
        <v>4675.0</v>
      </c>
      <c r="B4676" s="2" t="s">
        <v>5974</v>
      </c>
      <c r="C4676" s="2" t="s">
        <v>5975</v>
      </c>
      <c r="D4676" s="2">
        <v>1.02</v>
      </c>
      <c r="E4676" s="2">
        <v>7.0</v>
      </c>
      <c r="F4676" s="2">
        <v>5.99</v>
      </c>
      <c r="G4676" s="4">
        <f t="shared" si="3"/>
        <v>9543856.43</v>
      </c>
      <c r="H4676" s="4">
        <f t="shared" si="1"/>
        <v>0.9999411614</v>
      </c>
      <c r="I4676" s="4" t="str">
        <f t="shared" si="2"/>
        <v>C</v>
      </c>
    </row>
    <row r="4677">
      <c r="A4677" s="2">
        <v>4676.0</v>
      </c>
      <c r="B4677" s="2">
        <v>22206.0</v>
      </c>
      <c r="C4677" s="2" t="s">
        <v>5976</v>
      </c>
      <c r="D4677" s="2">
        <v>0.85</v>
      </c>
      <c r="E4677" s="2">
        <v>7.0</v>
      </c>
      <c r="F4677" s="2">
        <v>5.91</v>
      </c>
      <c r="G4677" s="4">
        <f t="shared" si="3"/>
        <v>9543862.34</v>
      </c>
      <c r="H4677" s="4">
        <f t="shared" si="1"/>
        <v>0.9999417806</v>
      </c>
      <c r="I4677" s="4" t="str">
        <f t="shared" si="2"/>
        <v>C</v>
      </c>
    </row>
    <row r="4678">
      <c r="A4678" s="2">
        <v>4677.0</v>
      </c>
      <c r="B4678" s="2" t="s">
        <v>5977</v>
      </c>
      <c r="C4678" s="2" t="s">
        <v>5978</v>
      </c>
      <c r="D4678" s="2">
        <v>2.95</v>
      </c>
      <c r="E4678" s="2">
        <v>2.0</v>
      </c>
      <c r="F4678" s="2">
        <v>5.9</v>
      </c>
      <c r="G4678" s="4">
        <f t="shared" si="3"/>
        <v>9543868.24</v>
      </c>
      <c r="H4678" s="4">
        <f t="shared" si="1"/>
        <v>0.9999423988</v>
      </c>
      <c r="I4678" s="4" t="str">
        <f t="shared" si="2"/>
        <v>C</v>
      </c>
    </row>
    <row r="4679">
      <c r="A4679" s="2">
        <v>4678.0</v>
      </c>
      <c r="B4679" s="2" t="s">
        <v>5979</v>
      </c>
      <c r="C4679" s="2" t="s">
        <v>3722</v>
      </c>
      <c r="D4679" s="2">
        <v>5.89</v>
      </c>
      <c r="E4679" s="2">
        <v>1.0</v>
      </c>
      <c r="F4679" s="2">
        <v>5.89</v>
      </c>
      <c r="G4679" s="4">
        <f t="shared" si="3"/>
        <v>9543874.13</v>
      </c>
      <c r="H4679" s="4">
        <f t="shared" si="1"/>
        <v>0.9999430159</v>
      </c>
      <c r="I4679" s="4" t="str">
        <f t="shared" si="2"/>
        <v>C</v>
      </c>
    </row>
    <row r="4680">
      <c r="A4680" s="2">
        <v>4679.0</v>
      </c>
      <c r="B4680" s="2">
        <v>23605.0</v>
      </c>
      <c r="C4680" s="2" t="s">
        <v>5980</v>
      </c>
      <c r="D4680" s="2">
        <v>2.91</v>
      </c>
      <c r="E4680" s="2">
        <v>2.0</v>
      </c>
      <c r="F4680" s="2">
        <v>5.82</v>
      </c>
      <c r="G4680" s="4">
        <f t="shared" si="3"/>
        <v>9543879.95</v>
      </c>
      <c r="H4680" s="4">
        <f t="shared" si="1"/>
        <v>0.9999436257</v>
      </c>
      <c r="I4680" s="4" t="str">
        <f t="shared" si="2"/>
        <v>C</v>
      </c>
    </row>
    <row r="4681">
      <c r="A4681" s="2">
        <v>4680.0</v>
      </c>
      <c r="B4681" s="2">
        <v>23608.0</v>
      </c>
      <c r="C4681" s="2" t="s">
        <v>5981</v>
      </c>
      <c r="D4681" s="2">
        <v>2.91</v>
      </c>
      <c r="E4681" s="2">
        <v>2.0</v>
      </c>
      <c r="F4681" s="2">
        <v>5.82</v>
      </c>
      <c r="G4681" s="4">
        <f t="shared" si="3"/>
        <v>9543885.77</v>
      </c>
      <c r="H4681" s="4">
        <f t="shared" si="1"/>
        <v>0.9999442355</v>
      </c>
      <c r="I4681" s="4" t="str">
        <f t="shared" si="2"/>
        <v>C</v>
      </c>
    </row>
    <row r="4682">
      <c r="A4682" s="2">
        <v>4681.0</v>
      </c>
      <c r="B4682" s="2" t="s">
        <v>5982</v>
      </c>
      <c r="C4682" s="2" t="s">
        <v>5983</v>
      </c>
      <c r="D4682" s="2">
        <v>3.75</v>
      </c>
      <c r="E4682" s="2">
        <v>2.0</v>
      </c>
      <c r="F4682" s="2">
        <v>5.64</v>
      </c>
      <c r="G4682" s="4">
        <f t="shared" si="3"/>
        <v>9543891.41</v>
      </c>
      <c r="H4682" s="4">
        <f t="shared" si="1"/>
        <v>0.9999448264</v>
      </c>
      <c r="I4682" s="4" t="str">
        <f t="shared" si="2"/>
        <v>C</v>
      </c>
    </row>
    <row r="4683">
      <c r="A4683" s="2">
        <v>4682.0</v>
      </c>
      <c r="B4683" s="2" t="s">
        <v>5984</v>
      </c>
      <c r="C4683" s="2" t="s">
        <v>5985</v>
      </c>
      <c r="D4683" s="2">
        <v>11.26</v>
      </c>
      <c r="E4683" s="2">
        <v>0.0</v>
      </c>
      <c r="F4683" s="2">
        <v>5.63</v>
      </c>
      <c r="G4683" s="4">
        <f t="shared" si="3"/>
        <v>9543897.04</v>
      </c>
      <c r="H4683" s="4">
        <f t="shared" si="1"/>
        <v>0.9999454163</v>
      </c>
      <c r="I4683" s="4" t="str">
        <f t="shared" si="2"/>
        <v>C</v>
      </c>
    </row>
    <row r="4684">
      <c r="A4684" s="2">
        <v>4683.0</v>
      </c>
      <c r="B4684" s="2">
        <v>84366.0</v>
      </c>
      <c r="C4684" s="2" t="s">
        <v>5986</v>
      </c>
      <c r="D4684" s="2">
        <v>3.75</v>
      </c>
      <c r="E4684" s="2">
        <v>2.0</v>
      </c>
      <c r="F4684" s="2">
        <v>5.62</v>
      </c>
      <c r="G4684" s="4">
        <f t="shared" si="3"/>
        <v>9543902.66</v>
      </c>
      <c r="H4684" s="4">
        <f t="shared" si="1"/>
        <v>0.9999460051</v>
      </c>
      <c r="I4684" s="4" t="str">
        <f t="shared" si="2"/>
        <v>C</v>
      </c>
    </row>
    <row r="4685">
      <c r="A4685" s="2">
        <v>4684.0</v>
      </c>
      <c r="B4685" s="2" t="s">
        <v>5987</v>
      </c>
      <c r="C4685" s="2" t="s">
        <v>5988</v>
      </c>
      <c r="D4685" s="2">
        <v>1.2</v>
      </c>
      <c r="E4685" s="2">
        <v>10.0</v>
      </c>
      <c r="F4685" s="2">
        <v>5.55</v>
      </c>
      <c r="G4685" s="4">
        <f t="shared" si="3"/>
        <v>9543908.21</v>
      </c>
      <c r="H4685" s="4">
        <f t="shared" si="1"/>
        <v>0.9999465866</v>
      </c>
      <c r="I4685" s="4" t="str">
        <f t="shared" si="2"/>
        <v>C</v>
      </c>
    </row>
    <row r="4686">
      <c r="A4686" s="2">
        <v>4685.0</v>
      </c>
      <c r="B4686" s="2" t="s">
        <v>5989</v>
      </c>
      <c r="C4686" s="2" t="s">
        <v>230</v>
      </c>
      <c r="D4686" s="2">
        <v>11.02</v>
      </c>
      <c r="E4686" s="2">
        <v>0.0</v>
      </c>
      <c r="F4686" s="2">
        <v>5.51</v>
      </c>
      <c r="G4686" s="4">
        <f t="shared" si="3"/>
        <v>9543913.72</v>
      </c>
      <c r="H4686" s="4">
        <f t="shared" si="1"/>
        <v>0.9999471639</v>
      </c>
      <c r="I4686" s="4" t="str">
        <f t="shared" si="2"/>
        <v>C</v>
      </c>
    </row>
    <row r="4687">
      <c r="A4687" s="2">
        <v>4686.0</v>
      </c>
      <c r="B4687" s="2" t="s">
        <v>5990</v>
      </c>
      <c r="C4687" s="2" t="s">
        <v>5991</v>
      </c>
      <c r="D4687" s="2">
        <v>2.1</v>
      </c>
      <c r="E4687" s="2">
        <v>4.0</v>
      </c>
      <c r="F4687" s="2">
        <v>5.45</v>
      </c>
      <c r="G4687" s="4">
        <f t="shared" si="3"/>
        <v>9543919.17</v>
      </c>
      <c r="H4687" s="4">
        <f t="shared" si="1"/>
        <v>0.9999477349</v>
      </c>
      <c r="I4687" s="4" t="str">
        <f t="shared" si="2"/>
        <v>C</v>
      </c>
    </row>
    <row r="4688">
      <c r="A4688" s="2">
        <v>4687.0</v>
      </c>
      <c r="B4688" s="2" t="s">
        <v>5992</v>
      </c>
      <c r="C4688" s="2" t="s">
        <v>5993</v>
      </c>
      <c r="D4688" s="2">
        <v>1.65</v>
      </c>
      <c r="E4688" s="2">
        <v>8.0</v>
      </c>
      <c r="F4688" s="2">
        <v>5.44</v>
      </c>
      <c r="G4688" s="4">
        <f t="shared" si="3"/>
        <v>9543924.61</v>
      </c>
      <c r="H4688" s="4">
        <f t="shared" si="1"/>
        <v>0.9999483049</v>
      </c>
      <c r="I4688" s="4" t="str">
        <f t="shared" si="2"/>
        <v>C</v>
      </c>
    </row>
    <row r="4689">
      <c r="A4689" s="2">
        <v>4688.0</v>
      </c>
      <c r="B4689" s="2">
        <v>21496.0</v>
      </c>
      <c r="C4689" s="2" t="s">
        <v>5994</v>
      </c>
      <c r="D4689" s="2">
        <v>0.42</v>
      </c>
      <c r="E4689" s="2">
        <v>12.0</v>
      </c>
      <c r="F4689" s="2">
        <v>5.25</v>
      </c>
      <c r="G4689" s="4">
        <f t="shared" si="3"/>
        <v>9543929.86</v>
      </c>
      <c r="H4689" s="4">
        <f t="shared" si="1"/>
        <v>0.9999488549</v>
      </c>
      <c r="I4689" s="4" t="str">
        <f t="shared" si="2"/>
        <v>C</v>
      </c>
    </row>
    <row r="4690">
      <c r="A4690" s="2">
        <v>4689.0</v>
      </c>
      <c r="B4690" s="2" t="s">
        <v>5995</v>
      </c>
      <c r="C4690" s="2" t="s">
        <v>5996</v>
      </c>
      <c r="D4690" s="2">
        <v>0.42</v>
      </c>
      <c r="E4690" s="2">
        <v>12.0</v>
      </c>
      <c r="F4690" s="2">
        <v>5.25</v>
      </c>
      <c r="G4690" s="4">
        <f t="shared" si="3"/>
        <v>9543935.11</v>
      </c>
      <c r="H4690" s="4">
        <f t="shared" si="1"/>
        <v>0.999949405</v>
      </c>
      <c r="I4690" s="4" t="str">
        <f t="shared" si="2"/>
        <v>C</v>
      </c>
    </row>
    <row r="4691">
      <c r="A4691" s="2">
        <v>4690.0</v>
      </c>
      <c r="B4691" s="2" t="s">
        <v>5997</v>
      </c>
      <c r="C4691" s="2" t="s">
        <v>5998</v>
      </c>
      <c r="D4691" s="2">
        <v>0.42</v>
      </c>
      <c r="E4691" s="2">
        <v>12.0</v>
      </c>
      <c r="F4691" s="2">
        <v>5.25</v>
      </c>
      <c r="G4691" s="4">
        <f t="shared" si="3"/>
        <v>9543940.36</v>
      </c>
      <c r="H4691" s="4">
        <f t="shared" si="1"/>
        <v>0.999949955</v>
      </c>
      <c r="I4691" s="4" t="str">
        <f t="shared" si="2"/>
        <v>C</v>
      </c>
    </row>
    <row r="4692">
      <c r="A4692" s="2">
        <v>4691.0</v>
      </c>
      <c r="B4692" s="2" t="s">
        <v>5999</v>
      </c>
      <c r="C4692" s="2" t="s">
        <v>6000</v>
      </c>
      <c r="D4692" s="2">
        <v>0.21</v>
      </c>
      <c r="E4692" s="2">
        <v>25.0</v>
      </c>
      <c r="F4692" s="2">
        <v>5.25</v>
      </c>
      <c r="G4692" s="4">
        <f t="shared" si="3"/>
        <v>9543945.61</v>
      </c>
      <c r="H4692" s="4">
        <f t="shared" si="1"/>
        <v>0.9999505051</v>
      </c>
      <c r="I4692" s="4" t="str">
        <f t="shared" si="2"/>
        <v>C</v>
      </c>
    </row>
    <row r="4693">
      <c r="A4693" s="2">
        <v>4692.0</v>
      </c>
      <c r="B4693" s="2">
        <v>21857.0</v>
      </c>
      <c r="C4693" s="2" t="s">
        <v>6001</v>
      </c>
      <c r="D4693" s="2">
        <v>5.12</v>
      </c>
      <c r="E4693" s="2">
        <v>1.0</v>
      </c>
      <c r="F4693" s="2">
        <v>5.12</v>
      </c>
      <c r="G4693" s="4">
        <f t="shared" si="3"/>
        <v>9543950.73</v>
      </c>
      <c r="H4693" s="4">
        <f t="shared" si="1"/>
        <v>0.9999510415</v>
      </c>
      <c r="I4693" s="4" t="str">
        <f t="shared" si="2"/>
        <v>C</v>
      </c>
    </row>
    <row r="4694">
      <c r="A4694" s="2">
        <v>4693.0</v>
      </c>
      <c r="B4694" s="2">
        <v>21858.0</v>
      </c>
      <c r="C4694" s="2" t="s">
        <v>6002</v>
      </c>
      <c r="D4694" s="2">
        <v>5.12</v>
      </c>
      <c r="E4694" s="2">
        <v>1.0</v>
      </c>
      <c r="F4694" s="2">
        <v>5.12</v>
      </c>
      <c r="G4694" s="4">
        <f t="shared" si="3"/>
        <v>9543955.85</v>
      </c>
      <c r="H4694" s="4">
        <f t="shared" si="1"/>
        <v>0.999951578</v>
      </c>
      <c r="I4694" s="4" t="str">
        <f t="shared" si="2"/>
        <v>C</v>
      </c>
    </row>
    <row r="4695">
      <c r="A4695" s="2">
        <v>4694.0</v>
      </c>
      <c r="B4695" s="2" t="s">
        <v>6003</v>
      </c>
      <c r="C4695" s="2" t="s">
        <v>2957</v>
      </c>
      <c r="D4695" s="2">
        <v>5.12</v>
      </c>
      <c r="E4695" s="2">
        <v>1.0</v>
      </c>
      <c r="F4695" s="2">
        <v>5.12</v>
      </c>
      <c r="G4695" s="4">
        <f t="shared" si="3"/>
        <v>9543960.97</v>
      </c>
      <c r="H4695" s="4">
        <f t="shared" si="1"/>
        <v>0.9999521144</v>
      </c>
      <c r="I4695" s="4" t="str">
        <f t="shared" si="2"/>
        <v>C</v>
      </c>
    </row>
    <row r="4696">
      <c r="A4696" s="2">
        <v>4695.0</v>
      </c>
      <c r="B4696" s="2">
        <v>20939.0</v>
      </c>
      <c r="C4696" s="2" t="s">
        <v>6004</v>
      </c>
      <c r="D4696" s="2">
        <v>0.85</v>
      </c>
      <c r="E4696" s="2">
        <v>6.0</v>
      </c>
      <c r="F4696" s="2">
        <v>5.1</v>
      </c>
      <c r="G4696" s="4">
        <f t="shared" si="3"/>
        <v>9543966.07</v>
      </c>
      <c r="H4696" s="4">
        <f t="shared" si="1"/>
        <v>0.9999526488</v>
      </c>
      <c r="I4696" s="4" t="str">
        <f t="shared" si="2"/>
        <v>C</v>
      </c>
    </row>
    <row r="4697">
      <c r="A4697" s="2">
        <v>4696.0</v>
      </c>
      <c r="B4697" s="2" t="s">
        <v>6005</v>
      </c>
      <c r="C4697" s="2" t="s">
        <v>6006</v>
      </c>
      <c r="D4697" s="2">
        <v>0.84</v>
      </c>
      <c r="E4697" s="2">
        <v>10.0</v>
      </c>
      <c r="F4697" s="2">
        <v>5.08</v>
      </c>
      <c r="G4697" s="4">
        <f t="shared" si="3"/>
        <v>9543971.15</v>
      </c>
      <c r="H4697" s="4">
        <f t="shared" si="1"/>
        <v>0.999953181</v>
      </c>
      <c r="I4697" s="4" t="str">
        <f t="shared" si="2"/>
        <v>C</v>
      </c>
    </row>
    <row r="4698">
      <c r="A4698" s="2">
        <v>4697.0</v>
      </c>
      <c r="B4698" s="2" t="s">
        <v>6007</v>
      </c>
      <c r="C4698" s="2" t="s">
        <v>1310</v>
      </c>
      <c r="D4698" s="2">
        <v>10.17</v>
      </c>
      <c r="E4698" s="2">
        <v>0.0</v>
      </c>
      <c r="F4698" s="2">
        <v>5.08</v>
      </c>
      <c r="G4698" s="4">
        <f t="shared" si="3"/>
        <v>9543976.23</v>
      </c>
      <c r="H4698" s="4">
        <f t="shared" si="1"/>
        <v>0.9999537133</v>
      </c>
      <c r="I4698" s="4" t="str">
        <f t="shared" si="2"/>
        <v>C</v>
      </c>
    </row>
    <row r="4699">
      <c r="A4699" s="2">
        <v>4698.0</v>
      </c>
      <c r="B4699" s="2" t="s">
        <v>6008</v>
      </c>
      <c r="C4699" s="2" t="s">
        <v>4697</v>
      </c>
      <c r="D4699" s="2">
        <v>5.06</v>
      </c>
      <c r="E4699" s="2">
        <v>1.0</v>
      </c>
      <c r="F4699" s="2">
        <v>5.06</v>
      </c>
      <c r="G4699" s="4">
        <f t="shared" si="3"/>
        <v>9543981.29</v>
      </c>
      <c r="H4699" s="4">
        <f t="shared" si="1"/>
        <v>0.9999542434</v>
      </c>
      <c r="I4699" s="4" t="str">
        <f t="shared" si="2"/>
        <v>C</v>
      </c>
    </row>
    <row r="4700">
      <c r="A4700" s="2">
        <v>4699.0</v>
      </c>
      <c r="B4700" s="2" t="s">
        <v>6009</v>
      </c>
      <c r="C4700" s="2" t="s">
        <v>4239</v>
      </c>
      <c r="D4700" s="2">
        <v>5.01</v>
      </c>
      <c r="E4700" s="2">
        <v>1.0</v>
      </c>
      <c r="F4700" s="2">
        <v>5.01</v>
      </c>
      <c r="G4700" s="4">
        <f t="shared" si="3"/>
        <v>9543986.3</v>
      </c>
      <c r="H4700" s="4">
        <f t="shared" si="1"/>
        <v>0.9999547683</v>
      </c>
      <c r="I4700" s="4" t="str">
        <f t="shared" si="2"/>
        <v>C</v>
      </c>
    </row>
    <row r="4701">
      <c r="A4701" s="2">
        <v>4700.0</v>
      </c>
      <c r="B4701" s="2">
        <v>23624.0</v>
      </c>
      <c r="C4701" s="2" t="s">
        <v>6010</v>
      </c>
      <c r="D4701" s="2">
        <v>2.49</v>
      </c>
      <c r="E4701" s="2">
        <v>2.0</v>
      </c>
      <c r="F4701" s="2">
        <v>4.98</v>
      </c>
      <c r="G4701" s="4">
        <f t="shared" si="3"/>
        <v>9543991.28</v>
      </c>
      <c r="H4701" s="4">
        <f t="shared" si="1"/>
        <v>0.9999552901</v>
      </c>
      <c r="I4701" s="4" t="str">
        <f t="shared" si="2"/>
        <v>C</v>
      </c>
    </row>
    <row r="4702">
      <c r="A4702" s="2">
        <v>4701.0</v>
      </c>
      <c r="B4702" s="2" t="s">
        <v>6011</v>
      </c>
      <c r="C4702" s="2" t="s">
        <v>942</v>
      </c>
      <c r="D4702" s="2">
        <v>1.66</v>
      </c>
      <c r="E4702" s="2">
        <v>3.0</v>
      </c>
      <c r="F4702" s="2">
        <v>4.98</v>
      </c>
      <c r="G4702" s="4">
        <f t="shared" si="3"/>
        <v>9543996.26</v>
      </c>
      <c r="H4702" s="4">
        <f t="shared" si="1"/>
        <v>0.9999558119</v>
      </c>
      <c r="I4702" s="4" t="str">
        <f t="shared" si="2"/>
        <v>C</v>
      </c>
    </row>
    <row r="4703">
      <c r="A4703" s="2">
        <v>4702.0</v>
      </c>
      <c r="B4703" s="2">
        <v>23650.0</v>
      </c>
      <c r="C4703" s="2" t="s">
        <v>6012</v>
      </c>
      <c r="D4703" s="2">
        <v>2.49</v>
      </c>
      <c r="E4703" s="2">
        <v>2.0</v>
      </c>
      <c r="F4703" s="2">
        <v>4.98</v>
      </c>
      <c r="G4703" s="4">
        <f t="shared" si="3"/>
        <v>9544001.24</v>
      </c>
      <c r="H4703" s="4">
        <f t="shared" si="1"/>
        <v>0.9999563336</v>
      </c>
      <c r="I4703" s="4" t="str">
        <f t="shared" si="2"/>
        <v>C</v>
      </c>
    </row>
    <row r="4704">
      <c r="A4704" s="2">
        <v>4703.0</v>
      </c>
      <c r="B4704" s="2">
        <v>23619.0</v>
      </c>
      <c r="C4704" s="2" t="s">
        <v>6013</v>
      </c>
      <c r="D4704" s="2">
        <v>2.49</v>
      </c>
      <c r="E4704" s="2">
        <v>2.0</v>
      </c>
      <c r="F4704" s="2">
        <v>4.98</v>
      </c>
      <c r="G4704" s="4">
        <f t="shared" si="3"/>
        <v>9544006.22</v>
      </c>
      <c r="H4704" s="4">
        <f t="shared" si="1"/>
        <v>0.9999568554</v>
      </c>
      <c r="I4704" s="4" t="str">
        <f t="shared" si="2"/>
        <v>C</v>
      </c>
    </row>
    <row r="4705">
      <c r="A4705" s="2">
        <v>4704.0</v>
      </c>
      <c r="B4705" s="2">
        <v>23615.0</v>
      </c>
      <c r="C4705" s="2" t="s">
        <v>6014</v>
      </c>
      <c r="D4705" s="2">
        <v>2.49</v>
      </c>
      <c r="E4705" s="2">
        <v>2.0</v>
      </c>
      <c r="F4705" s="2">
        <v>4.98</v>
      </c>
      <c r="G4705" s="4">
        <f t="shared" si="3"/>
        <v>9544011.2</v>
      </c>
      <c r="H4705" s="4">
        <f t="shared" si="1"/>
        <v>0.9999573772</v>
      </c>
      <c r="I4705" s="4" t="str">
        <f t="shared" si="2"/>
        <v>C</v>
      </c>
    </row>
    <row r="4706">
      <c r="A4706" s="2">
        <v>4705.0</v>
      </c>
      <c r="B4706" s="2" t="s">
        <v>6015</v>
      </c>
      <c r="C4706" s="2" t="s">
        <v>1649</v>
      </c>
      <c r="D4706" s="2">
        <v>2.46</v>
      </c>
      <c r="E4706" s="2">
        <v>2.0</v>
      </c>
      <c r="F4706" s="2">
        <v>4.97</v>
      </c>
      <c r="G4706" s="4">
        <f t="shared" si="3"/>
        <v>9544016.17</v>
      </c>
      <c r="H4706" s="4">
        <f t="shared" si="1"/>
        <v>0.9999578979</v>
      </c>
      <c r="I4706" s="4" t="str">
        <f t="shared" si="2"/>
        <v>C</v>
      </c>
    </row>
    <row r="4707">
      <c r="A4707" s="2">
        <v>4706.0</v>
      </c>
      <c r="B4707" s="2" t="s">
        <v>6016</v>
      </c>
      <c r="C4707" s="2" t="s">
        <v>2536</v>
      </c>
      <c r="D4707" s="2">
        <v>1.63</v>
      </c>
      <c r="E4707" s="2">
        <v>3.0</v>
      </c>
      <c r="F4707" s="2">
        <v>4.89</v>
      </c>
      <c r="G4707" s="4">
        <f t="shared" si="3"/>
        <v>9544021.06</v>
      </c>
      <c r="H4707" s="4">
        <f t="shared" si="1"/>
        <v>0.9999584102</v>
      </c>
      <c r="I4707" s="4" t="str">
        <f t="shared" si="2"/>
        <v>C</v>
      </c>
    </row>
    <row r="4708">
      <c r="A4708" s="2">
        <v>4707.0</v>
      </c>
      <c r="B4708" s="2" t="s">
        <v>6017</v>
      </c>
      <c r="C4708" s="2" t="s">
        <v>6018</v>
      </c>
      <c r="D4708" s="2">
        <v>0.52</v>
      </c>
      <c r="E4708" s="2">
        <v>16.0</v>
      </c>
      <c r="F4708" s="2">
        <v>4.78</v>
      </c>
      <c r="G4708" s="4">
        <f t="shared" si="3"/>
        <v>9544025.84</v>
      </c>
      <c r="H4708" s="4">
        <f t="shared" si="1"/>
        <v>0.9999589111</v>
      </c>
      <c r="I4708" s="4" t="str">
        <f t="shared" si="2"/>
        <v>C</v>
      </c>
    </row>
    <row r="4709">
      <c r="A4709" s="2">
        <v>4708.0</v>
      </c>
      <c r="B4709" s="2">
        <v>72708.0</v>
      </c>
      <c r="C4709" s="2" t="s">
        <v>6019</v>
      </c>
      <c r="D4709" s="2">
        <v>0.21</v>
      </c>
      <c r="E4709" s="2">
        <v>22.0</v>
      </c>
      <c r="F4709" s="2">
        <v>4.62</v>
      </c>
      <c r="G4709" s="4">
        <f t="shared" si="3"/>
        <v>9544030.46</v>
      </c>
      <c r="H4709" s="4">
        <f t="shared" si="1"/>
        <v>0.9999593951</v>
      </c>
      <c r="I4709" s="4" t="str">
        <f t="shared" si="2"/>
        <v>C</v>
      </c>
    </row>
    <row r="4710">
      <c r="A4710" s="2">
        <v>4709.0</v>
      </c>
      <c r="B4710" s="2">
        <v>23441.0</v>
      </c>
      <c r="C4710" s="2" t="s">
        <v>6020</v>
      </c>
      <c r="D4710" s="2">
        <v>0.42</v>
      </c>
      <c r="E4710" s="2">
        <v>11.0</v>
      </c>
      <c r="F4710" s="2">
        <v>4.62</v>
      </c>
      <c r="G4710" s="4">
        <f t="shared" si="3"/>
        <v>9544035.08</v>
      </c>
      <c r="H4710" s="4">
        <f t="shared" si="1"/>
        <v>0.9999598792</v>
      </c>
      <c r="I4710" s="4" t="str">
        <f t="shared" si="2"/>
        <v>C</v>
      </c>
    </row>
    <row r="4711">
      <c r="A4711" s="2">
        <v>4710.0</v>
      </c>
      <c r="B4711" s="2" t="s">
        <v>6021</v>
      </c>
      <c r="C4711" s="2" t="s">
        <v>3378</v>
      </c>
      <c r="D4711" s="2">
        <v>9.15</v>
      </c>
      <c r="E4711" s="2">
        <v>0.0</v>
      </c>
      <c r="F4711" s="2">
        <v>4.58</v>
      </c>
      <c r="G4711" s="4">
        <f t="shared" si="3"/>
        <v>9544039.66</v>
      </c>
      <c r="H4711" s="4">
        <f t="shared" si="1"/>
        <v>0.999960359</v>
      </c>
      <c r="I4711" s="4" t="str">
        <f t="shared" si="2"/>
        <v>C</v>
      </c>
    </row>
    <row r="4712">
      <c r="A4712" s="2">
        <v>4711.0</v>
      </c>
      <c r="B4712" s="2" t="s">
        <v>6022</v>
      </c>
      <c r="C4712" s="2" t="s">
        <v>6023</v>
      </c>
      <c r="D4712" s="2">
        <v>2.95</v>
      </c>
      <c r="E4712" s="2">
        <v>2.0</v>
      </c>
      <c r="F4712" s="2">
        <v>4.43</v>
      </c>
      <c r="G4712" s="4">
        <f t="shared" si="3"/>
        <v>9544044.09</v>
      </c>
      <c r="H4712" s="4">
        <f t="shared" si="1"/>
        <v>0.9999608232</v>
      </c>
      <c r="I4712" s="4" t="str">
        <f t="shared" si="2"/>
        <v>C</v>
      </c>
    </row>
    <row r="4713">
      <c r="A4713" s="2">
        <v>4712.0</v>
      </c>
      <c r="B4713" s="2">
        <v>20882.0</v>
      </c>
      <c r="C4713" s="2" t="s">
        <v>6024</v>
      </c>
      <c r="D4713" s="2">
        <v>2.95</v>
      </c>
      <c r="E4713" s="2">
        <v>2.0</v>
      </c>
      <c r="F4713" s="2">
        <v>4.43</v>
      </c>
      <c r="G4713" s="4">
        <f t="shared" si="3"/>
        <v>9544048.52</v>
      </c>
      <c r="H4713" s="4">
        <f t="shared" si="1"/>
        <v>0.9999612873</v>
      </c>
      <c r="I4713" s="4" t="str">
        <f t="shared" si="2"/>
        <v>C</v>
      </c>
    </row>
    <row r="4714">
      <c r="A4714" s="2">
        <v>4713.0</v>
      </c>
      <c r="B4714" s="2" t="s">
        <v>6025</v>
      </c>
      <c r="C4714" s="2" t="s">
        <v>6026</v>
      </c>
      <c r="D4714" s="2">
        <v>2.95</v>
      </c>
      <c r="E4714" s="2">
        <v>2.0</v>
      </c>
      <c r="F4714" s="2">
        <v>4.43</v>
      </c>
      <c r="G4714" s="4">
        <f t="shared" si="3"/>
        <v>9544052.95</v>
      </c>
      <c r="H4714" s="4">
        <f t="shared" si="1"/>
        <v>0.9999617515</v>
      </c>
      <c r="I4714" s="4" t="str">
        <f t="shared" si="2"/>
        <v>C</v>
      </c>
    </row>
    <row r="4715">
      <c r="A4715" s="2">
        <v>4714.0</v>
      </c>
      <c r="B4715" s="2" t="s">
        <v>6027</v>
      </c>
      <c r="C4715" s="2" t="s">
        <v>6028</v>
      </c>
      <c r="D4715" s="2">
        <v>2.95</v>
      </c>
      <c r="E4715" s="2">
        <v>2.0</v>
      </c>
      <c r="F4715" s="2">
        <v>4.43</v>
      </c>
      <c r="G4715" s="4">
        <f t="shared" si="3"/>
        <v>9544057.38</v>
      </c>
      <c r="H4715" s="4">
        <f t="shared" si="1"/>
        <v>0.9999622156</v>
      </c>
      <c r="I4715" s="4" t="str">
        <f t="shared" si="2"/>
        <v>C</v>
      </c>
    </row>
    <row r="4716">
      <c r="A4716" s="2">
        <v>4715.0</v>
      </c>
      <c r="B4716" s="2" t="s">
        <v>6029</v>
      </c>
      <c r="C4716" s="2" t="s">
        <v>6030</v>
      </c>
      <c r="D4716" s="2">
        <v>0.59</v>
      </c>
      <c r="E4716" s="2">
        <v>8.0</v>
      </c>
      <c r="F4716" s="2">
        <v>4.34</v>
      </c>
      <c r="G4716" s="4">
        <f t="shared" si="3"/>
        <v>9544061.72</v>
      </c>
      <c r="H4716" s="4">
        <f t="shared" si="1"/>
        <v>0.9999626703</v>
      </c>
      <c r="I4716" s="4" t="str">
        <f t="shared" si="2"/>
        <v>C</v>
      </c>
    </row>
    <row r="4717">
      <c r="A4717" s="2">
        <v>4716.0</v>
      </c>
      <c r="B4717" s="2">
        <v>20739.0</v>
      </c>
      <c r="C4717" s="2" t="s">
        <v>6031</v>
      </c>
      <c r="D4717" s="2">
        <v>8.65</v>
      </c>
      <c r="E4717" s="2">
        <v>0.0</v>
      </c>
      <c r="F4717" s="2">
        <v>4.32</v>
      </c>
      <c r="G4717" s="4">
        <f t="shared" si="3"/>
        <v>9544066.04</v>
      </c>
      <c r="H4717" s="4">
        <f t="shared" si="1"/>
        <v>0.9999631229</v>
      </c>
      <c r="I4717" s="4" t="str">
        <f t="shared" si="2"/>
        <v>C</v>
      </c>
    </row>
    <row r="4718">
      <c r="A4718" s="2">
        <v>4717.0</v>
      </c>
      <c r="B4718" s="2">
        <v>21406.0</v>
      </c>
      <c r="C4718" s="2" t="s">
        <v>6032</v>
      </c>
      <c r="D4718" s="2">
        <v>8.65</v>
      </c>
      <c r="E4718" s="2">
        <v>0.0</v>
      </c>
      <c r="F4718" s="2">
        <v>4.32</v>
      </c>
      <c r="G4718" s="4">
        <f t="shared" si="3"/>
        <v>9544070.36</v>
      </c>
      <c r="H4718" s="4">
        <f t="shared" si="1"/>
        <v>0.9999635756</v>
      </c>
      <c r="I4718" s="4" t="str">
        <f t="shared" si="2"/>
        <v>C</v>
      </c>
    </row>
    <row r="4719">
      <c r="A4719" s="2">
        <v>4718.0</v>
      </c>
      <c r="B4719" s="2" t="s">
        <v>6033</v>
      </c>
      <c r="C4719" s="2" t="s">
        <v>6034</v>
      </c>
      <c r="D4719" s="2">
        <v>4.28</v>
      </c>
      <c r="E4719" s="2">
        <v>1.0</v>
      </c>
      <c r="F4719" s="2">
        <v>4.28</v>
      </c>
      <c r="G4719" s="4">
        <f t="shared" si="3"/>
        <v>9544074.64</v>
      </c>
      <c r="H4719" s="4">
        <f t="shared" si="1"/>
        <v>0.999964024</v>
      </c>
      <c r="I4719" s="4" t="str">
        <f t="shared" si="2"/>
        <v>C</v>
      </c>
    </row>
    <row r="4720">
      <c r="A4720" s="2">
        <v>4719.0</v>
      </c>
      <c r="B4720" s="2" t="s">
        <v>6035</v>
      </c>
      <c r="C4720" s="2" t="s">
        <v>3950</v>
      </c>
      <c r="D4720" s="2">
        <v>8.47</v>
      </c>
      <c r="E4720" s="2">
        <v>0.0</v>
      </c>
      <c r="F4720" s="2">
        <v>4.24</v>
      </c>
      <c r="G4720" s="4">
        <f t="shared" si="3"/>
        <v>9544078.88</v>
      </c>
      <c r="H4720" s="4">
        <f t="shared" si="1"/>
        <v>0.9999644682</v>
      </c>
      <c r="I4720" s="4" t="str">
        <f t="shared" si="2"/>
        <v>C</v>
      </c>
    </row>
    <row r="4721">
      <c r="A4721" s="2">
        <v>4720.0</v>
      </c>
      <c r="B4721" s="2">
        <v>84572.0</v>
      </c>
      <c r="C4721" s="2" t="s">
        <v>6036</v>
      </c>
      <c r="D4721" s="2">
        <v>8.49</v>
      </c>
      <c r="E4721" s="2">
        <v>0.0</v>
      </c>
      <c r="F4721" s="2">
        <v>4.24</v>
      </c>
      <c r="G4721" s="4">
        <f t="shared" si="3"/>
        <v>9544083.12</v>
      </c>
      <c r="H4721" s="4">
        <f t="shared" si="1"/>
        <v>0.9999649125</v>
      </c>
      <c r="I4721" s="4" t="str">
        <f t="shared" si="2"/>
        <v>C</v>
      </c>
    </row>
    <row r="4722">
      <c r="A4722" s="2">
        <v>4721.0</v>
      </c>
      <c r="B4722" s="2" t="s">
        <v>6037</v>
      </c>
      <c r="C4722" s="2" t="s">
        <v>6038</v>
      </c>
      <c r="D4722" s="2">
        <v>3.36</v>
      </c>
      <c r="E4722" s="2">
        <v>2.0</v>
      </c>
      <c r="F4722" s="2">
        <v>4.24</v>
      </c>
      <c r="G4722" s="4">
        <f t="shared" si="3"/>
        <v>9544087.36</v>
      </c>
      <c r="H4722" s="4">
        <f t="shared" si="1"/>
        <v>0.9999653567</v>
      </c>
      <c r="I4722" s="4" t="str">
        <f t="shared" si="2"/>
        <v>C</v>
      </c>
    </row>
    <row r="4723">
      <c r="A4723" s="2">
        <v>4722.0</v>
      </c>
      <c r="B4723" s="2" t="s">
        <v>6039</v>
      </c>
      <c r="C4723" s="2" t="s">
        <v>5858</v>
      </c>
      <c r="D4723" s="2">
        <v>8.46</v>
      </c>
      <c r="E4723" s="2">
        <v>0.0</v>
      </c>
      <c r="F4723" s="2">
        <v>4.23</v>
      </c>
      <c r="G4723" s="4">
        <f t="shared" si="3"/>
        <v>9544091.59</v>
      </c>
      <c r="H4723" s="4">
        <f t="shared" si="1"/>
        <v>0.9999657999</v>
      </c>
      <c r="I4723" s="4" t="str">
        <f t="shared" si="2"/>
        <v>C</v>
      </c>
    </row>
    <row r="4724">
      <c r="A4724" s="2">
        <v>4723.0</v>
      </c>
      <c r="B4724" s="2" t="s">
        <v>6040</v>
      </c>
      <c r="C4724" s="2" t="s">
        <v>6041</v>
      </c>
      <c r="D4724" s="2">
        <v>0.42</v>
      </c>
      <c r="E4724" s="2">
        <v>10.0</v>
      </c>
      <c r="F4724" s="2">
        <v>4.2</v>
      </c>
      <c r="G4724" s="4">
        <f t="shared" si="3"/>
        <v>9544095.79</v>
      </c>
      <c r="H4724" s="4">
        <f t="shared" si="1"/>
        <v>0.99996624</v>
      </c>
      <c r="I4724" s="4" t="str">
        <f t="shared" si="2"/>
        <v>C</v>
      </c>
    </row>
    <row r="4725">
      <c r="A4725" s="2">
        <v>4724.0</v>
      </c>
      <c r="B4725" s="2">
        <v>90111.0</v>
      </c>
      <c r="C4725" s="2" t="s">
        <v>6042</v>
      </c>
      <c r="D4725" s="2">
        <v>1.05</v>
      </c>
      <c r="E4725" s="2">
        <v>4.0</v>
      </c>
      <c r="F4725" s="2">
        <v>4.2</v>
      </c>
      <c r="G4725" s="4">
        <f t="shared" si="3"/>
        <v>9544099.99</v>
      </c>
      <c r="H4725" s="4">
        <f t="shared" si="1"/>
        <v>0.99996668</v>
      </c>
      <c r="I4725" s="4" t="str">
        <f t="shared" si="2"/>
        <v>C</v>
      </c>
    </row>
    <row r="4726">
      <c r="A4726" s="2">
        <v>4725.0</v>
      </c>
      <c r="B4726" s="2">
        <v>23612.0</v>
      </c>
      <c r="C4726" s="2" t="s">
        <v>6043</v>
      </c>
      <c r="D4726" s="2">
        <v>1.66</v>
      </c>
      <c r="E4726" s="2">
        <v>2.0</v>
      </c>
      <c r="F4726" s="2">
        <v>4.15</v>
      </c>
      <c r="G4726" s="4">
        <f t="shared" si="3"/>
        <v>9544104.14</v>
      </c>
      <c r="H4726" s="4">
        <f t="shared" si="1"/>
        <v>0.9999671148</v>
      </c>
      <c r="I4726" s="4" t="str">
        <f t="shared" si="2"/>
        <v>C</v>
      </c>
    </row>
    <row r="4727">
      <c r="A4727" s="2">
        <v>4726.0</v>
      </c>
      <c r="B4727" s="2" t="s">
        <v>6044</v>
      </c>
      <c r="C4727" s="2" t="s">
        <v>3211</v>
      </c>
      <c r="D4727" s="2">
        <v>1.66</v>
      </c>
      <c r="E4727" s="2">
        <v>2.0</v>
      </c>
      <c r="F4727" s="2">
        <v>4.15</v>
      </c>
      <c r="G4727" s="4">
        <f t="shared" si="3"/>
        <v>9544108.29</v>
      </c>
      <c r="H4727" s="4">
        <f t="shared" si="1"/>
        <v>0.9999675496</v>
      </c>
      <c r="I4727" s="4" t="str">
        <f t="shared" si="2"/>
        <v>C</v>
      </c>
    </row>
    <row r="4728">
      <c r="A4728" s="2">
        <v>4727.0</v>
      </c>
      <c r="B4728" s="2" t="s">
        <v>6045</v>
      </c>
      <c r="C4728" s="2" t="s">
        <v>1667</v>
      </c>
      <c r="D4728" s="2">
        <v>8.29</v>
      </c>
      <c r="E4728" s="2">
        <v>0.0</v>
      </c>
      <c r="F4728" s="2">
        <v>4.14</v>
      </c>
      <c r="G4728" s="4">
        <f t="shared" si="3"/>
        <v>9544112.43</v>
      </c>
      <c r="H4728" s="4">
        <f t="shared" si="1"/>
        <v>0.9999679834</v>
      </c>
      <c r="I4728" s="4" t="str">
        <f t="shared" si="2"/>
        <v>C</v>
      </c>
    </row>
    <row r="4729">
      <c r="A4729" s="2">
        <v>4728.0</v>
      </c>
      <c r="B4729" s="2" t="s">
        <v>6046</v>
      </c>
      <c r="C4729" s="2" t="s">
        <v>955</v>
      </c>
      <c r="D4729" s="2">
        <v>8.29</v>
      </c>
      <c r="E4729" s="2">
        <v>0.0</v>
      </c>
      <c r="F4729" s="2">
        <v>4.14</v>
      </c>
      <c r="G4729" s="4">
        <f t="shared" si="3"/>
        <v>9544116.57</v>
      </c>
      <c r="H4729" s="4">
        <f t="shared" si="1"/>
        <v>0.9999684171</v>
      </c>
      <c r="I4729" s="4" t="str">
        <f t="shared" si="2"/>
        <v>C</v>
      </c>
    </row>
    <row r="4730">
      <c r="A4730" s="2">
        <v>4729.0</v>
      </c>
      <c r="B4730" s="2" t="s">
        <v>6047</v>
      </c>
      <c r="C4730" s="2" t="s">
        <v>3209</v>
      </c>
      <c r="D4730" s="2">
        <v>7.78</v>
      </c>
      <c r="E4730" s="2">
        <v>0.0</v>
      </c>
      <c r="F4730" s="2">
        <v>3.89</v>
      </c>
      <c r="G4730" s="4">
        <f t="shared" si="3"/>
        <v>9544120.46</v>
      </c>
      <c r="H4730" s="4">
        <f t="shared" si="1"/>
        <v>0.9999688247</v>
      </c>
      <c r="I4730" s="4" t="str">
        <f t="shared" si="2"/>
        <v>C</v>
      </c>
    </row>
    <row r="4731">
      <c r="A4731" s="2">
        <v>4730.0</v>
      </c>
      <c r="B4731" s="2" t="s">
        <v>6048</v>
      </c>
      <c r="C4731" s="2" t="s">
        <v>6049</v>
      </c>
      <c r="D4731" s="2">
        <v>1.25</v>
      </c>
      <c r="E4731" s="2">
        <v>3.0</v>
      </c>
      <c r="F4731" s="2">
        <v>3.75</v>
      </c>
      <c r="G4731" s="4">
        <f t="shared" si="3"/>
        <v>9544124.21</v>
      </c>
      <c r="H4731" s="4">
        <f t="shared" si="1"/>
        <v>0.9999692176</v>
      </c>
      <c r="I4731" s="4" t="str">
        <f t="shared" si="2"/>
        <v>C</v>
      </c>
    </row>
    <row r="4732">
      <c r="A4732" s="2">
        <v>4731.0</v>
      </c>
      <c r="B4732" s="2">
        <v>37438.0</v>
      </c>
      <c r="C4732" s="2" t="s">
        <v>6050</v>
      </c>
      <c r="D4732" s="2">
        <v>3.75</v>
      </c>
      <c r="E4732" s="2">
        <v>1.0</v>
      </c>
      <c r="F4732" s="2">
        <v>3.75</v>
      </c>
      <c r="G4732" s="4">
        <f t="shared" si="3"/>
        <v>9544127.96</v>
      </c>
      <c r="H4732" s="4">
        <f t="shared" si="1"/>
        <v>0.9999696105</v>
      </c>
      <c r="I4732" s="4" t="str">
        <f t="shared" si="2"/>
        <v>C</v>
      </c>
    </row>
    <row r="4733">
      <c r="A4733" s="2">
        <v>4732.0</v>
      </c>
      <c r="B4733" s="2" t="s">
        <v>6051</v>
      </c>
      <c r="C4733" s="2" t="s">
        <v>6052</v>
      </c>
      <c r="D4733" s="2">
        <v>3.75</v>
      </c>
      <c r="E4733" s="2">
        <v>1.0</v>
      </c>
      <c r="F4733" s="2">
        <v>3.75</v>
      </c>
      <c r="G4733" s="4">
        <f t="shared" si="3"/>
        <v>9544131.71</v>
      </c>
      <c r="H4733" s="4">
        <f t="shared" si="1"/>
        <v>0.9999700034</v>
      </c>
      <c r="I4733" s="4" t="str">
        <f t="shared" si="2"/>
        <v>C</v>
      </c>
    </row>
    <row r="4734">
      <c r="A4734" s="2">
        <v>4733.0</v>
      </c>
      <c r="B4734" s="2" t="s">
        <v>6053</v>
      </c>
      <c r="C4734" s="2" t="s">
        <v>6054</v>
      </c>
      <c r="D4734" s="2">
        <v>3.75</v>
      </c>
      <c r="E4734" s="2">
        <v>1.0</v>
      </c>
      <c r="F4734" s="2">
        <v>3.75</v>
      </c>
      <c r="G4734" s="4">
        <f t="shared" si="3"/>
        <v>9544135.46</v>
      </c>
      <c r="H4734" s="4">
        <f t="shared" si="1"/>
        <v>0.9999703963</v>
      </c>
      <c r="I4734" s="4" t="str">
        <f t="shared" si="2"/>
        <v>C</v>
      </c>
    </row>
    <row r="4735">
      <c r="A4735" s="2">
        <v>4734.0</v>
      </c>
      <c r="B4735" s="2" t="s">
        <v>6055</v>
      </c>
      <c r="C4735" s="2" t="s">
        <v>2858</v>
      </c>
      <c r="D4735" s="2">
        <v>2.51</v>
      </c>
      <c r="E4735" s="2">
        <v>2.0</v>
      </c>
      <c r="F4735" s="2">
        <v>3.74</v>
      </c>
      <c r="G4735" s="4">
        <f t="shared" si="3"/>
        <v>9544139.2</v>
      </c>
      <c r="H4735" s="4">
        <f t="shared" si="1"/>
        <v>0.9999707882</v>
      </c>
      <c r="I4735" s="4" t="str">
        <f t="shared" si="2"/>
        <v>C</v>
      </c>
    </row>
    <row r="4736">
      <c r="A4736" s="2">
        <v>4735.0</v>
      </c>
      <c r="B4736" s="2">
        <v>23633.0</v>
      </c>
      <c r="C4736" s="2" t="s">
        <v>6056</v>
      </c>
      <c r="D4736" s="2">
        <v>2.49</v>
      </c>
      <c r="E4736" s="2">
        <v>2.0</v>
      </c>
      <c r="F4736" s="2">
        <v>3.74</v>
      </c>
      <c r="G4736" s="4">
        <f t="shared" si="3"/>
        <v>9544142.94</v>
      </c>
      <c r="H4736" s="4">
        <f t="shared" si="1"/>
        <v>0.99997118</v>
      </c>
      <c r="I4736" s="4" t="str">
        <f t="shared" si="2"/>
        <v>C</v>
      </c>
    </row>
    <row r="4737">
      <c r="A4737" s="2">
        <v>4736.0</v>
      </c>
      <c r="B4737" s="2" t="s">
        <v>6057</v>
      </c>
      <c r="C4737" s="2" t="s">
        <v>6058</v>
      </c>
      <c r="D4737" s="2">
        <v>0.19</v>
      </c>
      <c r="E4737" s="2">
        <v>20.0</v>
      </c>
      <c r="F4737" s="2">
        <v>3.7</v>
      </c>
      <c r="G4737" s="4">
        <f t="shared" si="3"/>
        <v>9544146.64</v>
      </c>
      <c r="H4737" s="4">
        <f t="shared" si="1"/>
        <v>0.9999715677</v>
      </c>
      <c r="I4737" s="4" t="str">
        <f t="shared" si="2"/>
        <v>C</v>
      </c>
    </row>
    <row r="4738">
      <c r="A4738" s="2">
        <v>4737.0</v>
      </c>
      <c r="B4738" s="2" t="s">
        <v>6059</v>
      </c>
      <c r="C4738" s="2" t="s">
        <v>6060</v>
      </c>
      <c r="D4738" s="2">
        <v>0.29</v>
      </c>
      <c r="E4738" s="2">
        <v>12.0</v>
      </c>
      <c r="F4738" s="2">
        <v>3.48</v>
      </c>
      <c r="G4738" s="4">
        <f t="shared" si="3"/>
        <v>9544150.12</v>
      </c>
      <c r="H4738" s="4">
        <f t="shared" si="1"/>
        <v>0.9999719323</v>
      </c>
      <c r="I4738" s="4" t="str">
        <f t="shared" si="2"/>
        <v>C</v>
      </c>
    </row>
    <row r="4739">
      <c r="A4739" s="2">
        <v>4738.0</v>
      </c>
      <c r="B4739" s="2" t="s">
        <v>6061</v>
      </c>
      <c r="C4739" s="2" t="s">
        <v>6062</v>
      </c>
      <c r="D4739" s="2">
        <v>0.29</v>
      </c>
      <c r="E4739" s="2">
        <v>12.0</v>
      </c>
      <c r="F4739" s="2">
        <v>3.48</v>
      </c>
      <c r="G4739" s="4">
        <f t="shared" si="3"/>
        <v>9544153.6</v>
      </c>
      <c r="H4739" s="4">
        <f t="shared" si="1"/>
        <v>0.9999722969</v>
      </c>
      <c r="I4739" s="4" t="str">
        <f t="shared" si="2"/>
        <v>C</v>
      </c>
    </row>
    <row r="4740">
      <c r="A4740" s="2">
        <v>4739.0</v>
      </c>
      <c r="B4740" s="2" t="s">
        <v>6063</v>
      </c>
      <c r="C4740" s="2" t="s">
        <v>5025</v>
      </c>
      <c r="D4740" s="2">
        <v>3.43</v>
      </c>
      <c r="E4740" s="2">
        <v>1.0</v>
      </c>
      <c r="F4740" s="2">
        <v>3.43</v>
      </c>
      <c r="G4740" s="4">
        <f t="shared" si="3"/>
        <v>9544157.03</v>
      </c>
      <c r="H4740" s="4">
        <f t="shared" si="1"/>
        <v>0.9999726563</v>
      </c>
      <c r="I4740" s="4" t="str">
        <f t="shared" si="2"/>
        <v>C</v>
      </c>
    </row>
    <row r="4741">
      <c r="A4741" s="2">
        <v>4740.0</v>
      </c>
      <c r="B4741" s="2">
        <v>37409.0</v>
      </c>
      <c r="C4741" s="2" t="s">
        <v>6064</v>
      </c>
      <c r="D4741" s="2">
        <v>0.85</v>
      </c>
      <c r="E4741" s="2">
        <v>4.0</v>
      </c>
      <c r="F4741" s="2">
        <v>3.4</v>
      </c>
      <c r="G4741" s="4">
        <f t="shared" si="3"/>
        <v>9544160.43</v>
      </c>
      <c r="H4741" s="4">
        <f t="shared" si="1"/>
        <v>0.9999730125</v>
      </c>
      <c r="I4741" s="4" t="str">
        <f t="shared" si="2"/>
        <v>C</v>
      </c>
    </row>
    <row r="4742">
      <c r="A4742" s="2">
        <v>4741.0</v>
      </c>
      <c r="B4742" s="2" t="s">
        <v>6065</v>
      </c>
      <c r="C4742" s="2" t="s">
        <v>6066</v>
      </c>
      <c r="D4742" s="2">
        <v>6.75</v>
      </c>
      <c r="E4742" s="2">
        <v>0.0</v>
      </c>
      <c r="F4742" s="2">
        <v>3.38</v>
      </c>
      <c r="G4742" s="4">
        <f t="shared" si="3"/>
        <v>9544163.81</v>
      </c>
      <c r="H4742" s="4">
        <f t="shared" si="1"/>
        <v>0.9999733666</v>
      </c>
      <c r="I4742" s="4" t="str">
        <f t="shared" si="2"/>
        <v>C</v>
      </c>
    </row>
    <row r="4743">
      <c r="A4743" s="2">
        <v>4742.0</v>
      </c>
      <c r="B4743" s="2">
        <v>37484.0</v>
      </c>
      <c r="C4743" s="2" t="s">
        <v>6067</v>
      </c>
      <c r="D4743" s="2">
        <v>6.75</v>
      </c>
      <c r="E4743" s="2">
        <v>0.0</v>
      </c>
      <c r="F4743" s="2">
        <v>3.38</v>
      </c>
      <c r="G4743" s="4">
        <f t="shared" si="3"/>
        <v>9544167.19</v>
      </c>
      <c r="H4743" s="4">
        <f t="shared" si="1"/>
        <v>0.9999737208</v>
      </c>
      <c r="I4743" s="4" t="str">
        <f t="shared" si="2"/>
        <v>C</v>
      </c>
    </row>
    <row r="4744">
      <c r="A4744" s="2">
        <v>4743.0</v>
      </c>
      <c r="B4744" s="2">
        <v>23604.0</v>
      </c>
      <c r="C4744" s="2" t="s">
        <v>6068</v>
      </c>
      <c r="D4744" s="2">
        <v>1.66</v>
      </c>
      <c r="E4744" s="2">
        <v>2.0</v>
      </c>
      <c r="F4744" s="2">
        <v>3.32</v>
      </c>
      <c r="G4744" s="4">
        <f t="shared" si="3"/>
        <v>9544170.51</v>
      </c>
      <c r="H4744" s="4">
        <f t="shared" si="1"/>
        <v>0.9999740686</v>
      </c>
      <c r="I4744" s="4" t="str">
        <f t="shared" si="2"/>
        <v>C</v>
      </c>
    </row>
    <row r="4745">
      <c r="A4745" s="2">
        <v>4744.0</v>
      </c>
      <c r="B4745" s="2">
        <v>20858.0</v>
      </c>
      <c r="C4745" s="2" t="s">
        <v>6069</v>
      </c>
      <c r="D4745" s="2">
        <v>1.65</v>
      </c>
      <c r="E4745" s="2">
        <v>2.0</v>
      </c>
      <c r="F4745" s="2">
        <v>3.3</v>
      </c>
      <c r="G4745" s="4">
        <f t="shared" si="3"/>
        <v>9544173.81</v>
      </c>
      <c r="H4745" s="4">
        <f t="shared" si="1"/>
        <v>0.9999744144</v>
      </c>
      <c r="I4745" s="4" t="str">
        <f t="shared" si="2"/>
        <v>C</v>
      </c>
    </row>
    <row r="4746">
      <c r="A4746" s="2">
        <v>4745.0</v>
      </c>
      <c r="B4746" s="2">
        <v>20678.0</v>
      </c>
      <c r="C4746" s="2" t="s">
        <v>6070</v>
      </c>
      <c r="D4746" s="2">
        <v>1.65</v>
      </c>
      <c r="E4746" s="2">
        <v>2.0</v>
      </c>
      <c r="F4746" s="2">
        <v>3.3</v>
      </c>
      <c r="G4746" s="4">
        <f t="shared" si="3"/>
        <v>9544177.11</v>
      </c>
      <c r="H4746" s="4">
        <f t="shared" si="1"/>
        <v>0.9999747601</v>
      </c>
      <c r="I4746" s="4" t="str">
        <f t="shared" si="2"/>
        <v>C</v>
      </c>
    </row>
    <row r="4747">
      <c r="A4747" s="2">
        <v>4746.0</v>
      </c>
      <c r="B4747" s="2" t="s">
        <v>6071</v>
      </c>
      <c r="C4747" s="2" t="s">
        <v>2048</v>
      </c>
      <c r="D4747" s="2">
        <v>1.64</v>
      </c>
      <c r="E4747" s="2">
        <v>2.0</v>
      </c>
      <c r="F4747" s="2">
        <v>3.29</v>
      </c>
      <c r="G4747" s="4">
        <f t="shared" si="3"/>
        <v>9544180.4</v>
      </c>
      <c r="H4747" s="4">
        <f t="shared" si="1"/>
        <v>0.9999751048</v>
      </c>
      <c r="I4747" s="4" t="str">
        <f t="shared" si="2"/>
        <v>C</v>
      </c>
    </row>
    <row r="4748">
      <c r="A4748" s="2">
        <v>4747.0</v>
      </c>
      <c r="B4748" s="2" t="s">
        <v>6072</v>
      </c>
      <c r="C4748" s="2" t="s">
        <v>2275</v>
      </c>
      <c r="D4748" s="2">
        <v>0.81</v>
      </c>
      <c r="E4748" s="2">
        <v>4.0</v>
      </c>
      <c r="F4748" s="2">
        <v>3.24</v>
      </c>
      <c r="G4748" s="4">
        <f t="shared" si="3"/>
        <v>9544183.64</v>
      </c>
      <c r="H4748" s="4">
        <f t="shared" si="1"/>
        <v>0.9999754443</v>
      </c>
      <c r="I4748" s="4" t="str">
        <f t="shared" si="2"/>
        <v>C</v>
      </c>
    </row>
    <row r="4749">
      <c r="A4749" s="2">
        <v>4748.0</v>
      </c>
      <c r="B4749" s="2">
        <v>79140.0</v>
      </c>
      <c r="C4749" s="2" t="s">
        <v>6073</v>
      </c>
      <c r="D4749" s="2">
        <v>0.42</v>
      </c>
      <c r="E4749" s="2">
        <v>8.0</v>
      </c>
      <c r="F4749" s="2">
        <v>3.15</v>
      </c>
      <c r="G4749" s="4">
        <f t="shared" si="3"/>
        <v>9544186.79</v>
      </c>
      <c r="H4749" s="4">
        <f t="shared" si="1"/>
        <v>0.9999757743</v>
      </c>
      <c r="I4749" s="4" t="str">
        <f t="shared" si="2"/>
        <v>C</v>
      </c>
    </row>
    <row r="4750">
      <c r="A4750" s="2">
        <v>4749.0</v>
      </c>
      <c r="B4750" s="2">
        <v>20884.0</v>
      </c>
      <c r="C4750" s="2" t="s">
        <v>6024</v>
      </c>
      <c r="D4750" s="2">
        <v>2.1</v>
      </c>
      <c r="E4750" s="2">
        <v>2.0</v>
      </c>
      <c r="F4750" s="2">
        <v>3.15</v>
      </c>
      <c r="G4750" s="4">
        <f t="shared" si="3"/>
        <v>9544189.94</v>
      </c>
      <c r="H4750" s="4">
        <f t="shared" si="1"/>
        <v>0.9999761044</v>
      </c>
      <c r="I4750" s="4" t="str">
        <f t="shared" si="2"/>
        <v>C</v>
      </c>
    </row>
    <row r="4751">
      <c r="A4751" s="2">
        <v>4750.0</v>
      </c>
      <c r="B4751" s="2">
        <v>20673.0</v>
      </c>
      <c r="C4751" s="2" t="s">
        <v>6074</v>
      </c>
      <c r="D4751" s="2">
        <v>1.25</v>
      </c>
      <c r="E4751" s="2">
        <v>2.0</v>
      </c>
      <c r="F4751" s="2">
        <v>3.12</v>
      </c>
      <c r="G4751" s="4">
        <f t="shared" si="3"/>
        <v>9544193.06</v>
      </c>
      <c r="H4751" s="4">
        <f t="shared" si="1"/>
        <v>0.9999764313</v>
      </c>
      <c r="I4751" s="4" t="str">
        <f t="shared" si="2"/>
        <v>C</v>
      </c>
    </row>
    <row r="4752">
      <c r="A4752" s="2">
        <v>4751.0</v>
      </c>
      <c r="B4752" s="2">
        <v>37408.0</v>
      </c>
      <c r="C4752" s="2" t="s">
        <v>6075</v>
      </c>
      <c r="D4752" s="2">
        <v>1.25</v>
      </c>
      <c r="E4752" s="2">
        <v>2.0</v>
      </c>
      <c r="F4752" s="2">
        <v>3.12</v>
      </c>
      <c r="G4752" s="4">
        <f t="shared" si="3"/>
        <v>9544196.18</v>
      </c>
      <c r="H4752" s="4">
        <f t="shared" si="1"/>
        <v>0.9999767581</v>
      </c>
      <c r="I4752" s="4" t="str">
        <f t="shared" si="2"/>
        <v>C</v>
      </c>
    </row>
    <row r="4753">
      <c r="A4753" s="2">
        <v>4752.0</v>
      </c>
      <c r="B4753" s="2">
        <v>82072.0</v>
      </c>
      <c r="C4753" s="2" t="s">
        <v>6076</v>
      </c>
      <c r="D4753" s="2">
        <v>1.25</v>
      </c>
      <c r="E4753" s="2">
        <v>2.0</v>
      </c>
      <c r="F4753" s="2">
        <v>3.12</v>
      </c>
      <c r="G4753" s="4">
        <f t="shared" si="3"/>
        <v>9544199.3</v>
      </c>
      <c r="H4753" s="4">
        <f t="shared" si="1"/>
        <v>0.999977085</v>
      </c>
      <c r="I4753" s="4" t="str">
        <f t="shared" si="2"/>
        <v>C</v>
      </c>
    </row>
    <row r="4754">
      <c r="A4754" s="2">
        <v>4753.0</v>
      </c>
      <c r="B4754" s="2">
        <v>20942.0</v>
      </c>
      <c r="C4754" s="2" t="s">
        <v>6077</v>
      </c>
      <c r="D4754" s="2">
        <v>1.25</v>
      </c>
      <c r="E4754" s="2">
        <v>2.0</v>
      </c>
      <c r="F4754" s="2">
        <v>3.12</v>
      </c>
      <c r="G4754" s="4">
        <f t="shared" si="3"/>
        <v>9544202.42</v>
      </c>
      <c r="H4754" s="4">
        <f t="shared" si="1"/>
        <v>0.9999774119</v>
      </c>
      <c r="I4754" s="4" t="str">
        <f t="shared" si="2"/>
        <v>C</v>
      </c>
    </row>
    <row r="4755">
      <c r="A4755" s="2">
        <v>4754.0</v>
      </c>
      <c r="B4755" s="2">
        <v>23610.0</v>
      </c>
      <c r="C4755" s="2" t="s">
        <v>6078</v>
      </c>
      <c r="D4755" s="2">
        <v>2.08</v>
      </c>
      <c r="E4755" s="2">
        <v>2.0</v>
      </c>
      <c r="F4755" s="2">
        <v>3.12</v>
      </c>
      <c r="G4755" s="4">
        <f t="shared" si="3"/>
        <v>9544205.54</v>
      </c>
      <c r="H4755" s="4">
        <f t="shared" si="1"/>
        <v>0.9999777388</v>
      </c>
      <c r="I4755" s="4" t="str">
        <f t="shared" si="2"/>
        <v>C</v>
      </c>
    </row>
    <row r="4756">
      <c r="A4756" s="2">
        <v>4755.0</v>
      </c>
      <c r="B4756" s="2" t="s">
        <v>6079</v>
      </c>
      <c r="C4756" s="2" t="s">
        <v>4026</v>
      </c>
      <c r="D4756" s="2">
        <v>6.04</v>
      </c>
      <c r="E4756" s="2">
        <v>0.0</v>
      </c>
      <c r="F4756" s="2">
        <v>3.02</v>
      </c>
      <c r="G4756" s="4">
        <f t="shared" si="3"/>
        <v>9544208.56</v>
      </c>
      <c r="H4756" s="4">
        <f t="shared" si="1"/>
        <v>0.9999780552</v>
      </c>
      <c r="I4756" s="4" t="str">
        <f t="shared" si="2"/>
        <v>C</v>
      </c>
    </row>
    <row r="4757">
      <c r="A4757" s="2">
        <v>4756.0</v>
      </c>
      <c r="B4757" s="2" t="s">
        <v>6080</v>
      </c>
      <c r="C4757" s="2" t="s">
        <v>6081</v>
      </c>
      <c r="D4757" s="2">
        <v>6.04</v>
      </c>
      <c r="E4757" s="2">
        <v>0.0</v>
      </c>
      <c r="F4757" s="2">
        <v>3.02</v>
      </c>
      <c r="G4757" s="4">
        <f t="shared" si="3"/>
        <v>9544211.58</v>
      </c>
      <c r="H4757" s="4">
        <f t="shared" si="1"/>
        <v>0.9999783717</v>
      </c>
      <c r="I4757" s="4" t="str">
        <f t="shared" si="2"/>
        <v>C</v>
      </c>
    </row>
    <row r="4758">
      <c r="A4758" s="2">
        <v>4757.0</v>
      </c>
      <c r="B4758" s="2" t="s">
        <v>6082</v>
      </c>
      <c r="C4758" s="2" t="s">
        <v>6083</v>
      </c>
      <c r="D4758" s="2">
        <v>5.95</v>
      </c>
      <c r="E4758" s="2">
        <v>0.0</v>
      </c>
      <c r="F4758" s="2">
        <v>2.98</v>
      </c>
      <c r="G4758" s="4">
        <f t="shared" si="3"/>
        <v>9544214.56</v>
      </c>
      <c r="H4758" s="4">
        <f t="shared" si="1"/>
        <v>0.9999786839</v>
      </c>
      <c r="I4758" s="4" t="str">
        <f t="shared" si="2"/>
        <v>C</v>
      </c>
    </row>
    <row r="4759">
      <c r="A4759" s="2">
        <v>4758.0</v>
      </c>
      <c r="B4759" s="2">
        <v>85077.0</v>
      </c>
      <c r="C4759" s="2" t="s">
        <v>6084</v>
      </c>
      <c r="D4759" s="2">
        <v>5.95</v>
      </c>
      <c r="E4759" s="2">
        <v>0.0</v>
      </c>
      <c r="F4759" s="2">
        <v>2.98</v>
      </c>
      <c r="G4759" s="4">
        <f t="shared" si="3"/>
        <v>9544217.54</v>
      </c>
      <c r="H4759" s="4">
        <f t="shared" si="1"/>
        <v>0.9999789961</v>
      </c>
      <c r="I4759" s="4" t="str">
        <f t="shared" si="2"/>
        <v>C</v>
      </c>
    </row>
    <row r="4760">
      <c r="A4760" s="2">
        <v>4759.0</v>
      </c>
      <c r="B4760" s="2" t="s">
        <v>6085</v>
      </c>
      <c r="C4760" s="2" t="s">
        <v>6086</v>
      </c>
      <c r="D4760" s="2">
        <v>5.95</v>
      </c>
      <c r="E4760" s="2">
        <v>0.0</v>
      </c>
      <c r="F4760" s="2">
        <v>2.98</v>
      </c>
      <c r="G4760" s="4">
        <f t="shared" si="3"/>
        <v>9544220.52</v>
      </c>
      <c r="H4760" s="4">
        <f t="shared" si="1"/>
        <v>0.9999793083</v>
      </c>
      <c r="I4760" s="4" t="str">
        <f t="shared" si="2"/>
        <v>C</v>
      </c>
    </row>
    <row r="4761">
      <c r="A4761" s="2">
        <v>4760.0</v>
      </c>
      <c r="B4761" s="2" t="s">
        <v>6087</v>
      </c>
      <c r="C4761" s="2" t="s">
        <v>6088</v>
      </c>
      <c r="D4761" s="2">
        <v>5.95</v>
      </c>
      <c r="E4761" s="2">
        <v>0.0</v>
      </c>
      <c r="F4761" s="2">
        <v>2.98</v>
      </c>
      <c r="G4761" s="4">
        <f t="shared" si="3"/>
        <v>9544223.5</v>
      </c>
      <c r="H4761" s="4">
        <f t="shared" si="1"/>
        <v>0.9999796205</v>
      </c>
      <c r="I4761" s="4" t="str">
        <f t="shared" si="2"/>
        <v>C</v>
      </c>
    </row>
    <row r="4762">
      <c r="A4762" s="2">
        <v>4761.0</v>
      </c>
      <c r="B4762" s="2" t="s">
        <v>6089</v>
      </c>
      <c r="C4762" s="2" t="s">
        <v>1544</v>
      </c>
      <c r="D4762" s="2">
        <v>5.91</v>
      </c>
      <c r="E4762" s="2">
        <v>0.0</v>
      </c>
      <c r="F4762" s="2">
        <v>2.96</v>
      </c>
      <c r="G4762" s="4">
        <f t="shared" si="3"/>
        <v>9544226.46</v>
      </c>
      <c r="H4762" s="4">
        <f t="shared" si="1"/>
        <v>0.9999799307</v>
      </c>
      <c r="I4762" s="4" t="str">
        <f t="shared" si="2"/>
        <v>C</v>
      </c>
    </row>
    <row r="4763">
      <c r="A4763" s="2">
        <v>4762.0</v>
      </c>
      <c r="B4763" s="2" t="s">
        <v>6090</v>
      </c>
      <c r="C4763" s="2" t="s">
        <v>6091</v>
      </c>
      <c r="D4763" s="2">
        <v>2.95</v>
      </c>
      <c r="E4763" s="2">
        <v>1.0</v>
      </c>
      <c r="F4763" s="2">
        <v>2.95</v>
      </c>
      <c r="G4763" s="4">
        <f t="shared" si="3"/>
        <v>9544229.41</v>
      </c>
      <c r="H4763" s="4">
        <f t="shared" si="1"/>
        <v>0.9999802398</v>
      </c>
      <c r="I4763" s="4" t="str">
        <f t="shared" si="2"/>
        <v>C</v>
      </c>
    </row>
    <row r="4764">
      <c r="A4764" s="2">
        <v>4763.0</v>
      </c>
      <c r="B4764" s="2" t="s">
        <v>6092</v>
      </c>
      <c r="C4764" s="2" t="s">
        <v>6093</v>
      </c>
      <c r="D4764" s="2">
        <v>2.95</v>
      </c>
      <c r="E4764" s="2">
        <v>1.0</v>
      </c>
      <c r="F4764" s="2">
        <v>2.95</v>
      </c>
      <c r="G4764" s="4">
        <f t="shared" si="3"/>
        <v>9544232.36</v>
      </c>
      <c r="H4764" s="4">
        <f t="shared" si="1"/>
        <v>0.9999805488</v>
      </c>
      <c r="I4764" s="4" t="str">
        <f t="shared" si="2"/>
        <v>C</v>
      </c>
    </row>
    <row r="4765">
      <c r="A4765" s="2">
        <v>4764.0</v>
      </c>
      <c r="B4765" s="2" t="s">
        <v>6094</v>
      </c>
      <c r="C4765" s="2" t="s">
        <v>6095</v>
      </c>
      <c r="D4765" s="2">
        <v>2.95</v>
      </c>
      <c r="E4765" s="2">
        <v>1.0</v>
      </c>
      <c r="F4765" s="2">
        <v>2.95</v>
      </c>
      <c r="G4765" s="4">
        <f t="shared" si="3"/>
        <v>9544235.31</v>
      </c>
      <c r="H4765" s="4">
        <f t="shared" si="1"/>
        <v>0.9999808579</v>
      </c>
      <c r="I4765" s="4" t="str">
        <f t="shared" si="2"/>
        <v>C</v>
      </c>
    </row>
    <row r="4766">
      <c r="A4766" s="2">
        <v>4765.0</v>
      </c>
      <c r="B4766" s="2" t="s">
        <v>6096</v>
      </c>
      <c r="C4766" s="2" t="s">
        <v>6097</v>
      </c>
      <c r="D4766" s="2">
        <v>2.95</v>
      </c>
      <c r="E4766" s="2">
        <v>1.0</v>
      </c>
      <c r="F4766" s="2">
        <v>2.95</v>
      </c>
      <c r="G4766" s="4">
        <f t="shared" si="3"/>
        <v>9544238.26</v>
      </c>
      <c r="H4766" s="4">
        <f t="shared" si="1"/>
        <v>0.999981167</v>
      </c>
      <c r="I4766" s="4" t="str">
        <f t="shared" si="2"/>
        <v>C</v>
      </c>
    </row>
    <row r="4767">
      <c r="A4767" s="2">
        <v>4766.0</v>
      </c>
      <c r="B4767" s="2" t="s">
        <v>6098</v>
      </c>
      <c r="C4767" s="2" t="s">
        <v>6099</v>
      </c>
      <c r="D4767" s="2">
        <v>0.42</v>
      </c>
      <c r="E4767" s="2">
        <v>7.0</v>
      </c>
      <c r="F4767" s="2">
        <v>2.94</v>
      </c>
      <c r="G4767" s="4">
        <f t="shared" si="3"/>
        <v>9544241.2</v>
      </c>
      <c r="H4767" s="4">
        <f t="shared" si="1"/>
        <v>0.999981475</v>
      </c>
      <c r="I4767" s="4" t="str">
        <f t="shared" si="2"/>
        <v>C</v>
      </c>
    </row>
    <row r="4768">
      <c r="A4768" s="2">
        <v>4767.0</v>
      </c>
      <c r="B4768" s="2" t="s">
        <v>6100</v>
      </c>
      <c r="C4768" s="2" t="s">
        <v>6101</v>
      </c>
      <c r="D4768" s="2">
        <v>0.42</v>
      </c>
      <c r="E4768" s="2">
        <v>7.0</v>
      </c>
      <c r="F4768" s="2">
        <v>2.94</v>
      </c>
      <c r="G4768" s="4">
        <f t="shared" si="3"/>
        <v>9544244.14</v>
      </c>
      <c r="H4768" s="4">
        <f t="shared" si="1"/>
        <v>0.9999817831</v>
      </c>
      <c r="I4768" s="4" t="str">
        <f t="shared" si="2"/>
        <v>C</v>
      </c>
    </row>
    <row r="4769">
      <c r="A4769" s="2">
        <v>4768.0</v>
      </c>
      <c r="B4769" s="2">
        <v>37326.0</v>
      </c>
      <c r="C4769" s="2" t="s">
        <v>6102</v>
      </c>
      <c r="D4769" s="2">
        <v>1.25</v>
      </c>
      <c r="E4769" s="2">
        <v>2.0</v>
      </c>
      <c r="F4769" s="2">
        <v>2.93</v>
      </c>
      <c r="G4769" s="4">
        <f t="shared" si="3"/>
        <v>9544247.07</v>
      </c>
      <c r="H4769" s="4">
        <f t="shared" si="1"/>
        <v>0.9999820901</v>
      </c>
      <c r="I4769" s="4" t="str">
        <f t="shared" si="2"/>
        <v>C</v>
      </c>
    </row>
    <row r="4770">
      <c r="A4770" s="2">
        <v>4769.0</v>
      </c>
      <c r="B4770" s="2">
        <v>23617.0</v>
      </c>
      <c r="C4770" s="2" t="s">
        <v>6103</v>
      </c>
      <c r="D4770" s="2">
        <v>2.91</v>
      </c>
      <c r="E4770" s="2">
        <v>1.0</v>
      </c>
      <c r="F4770" s="2">
        <v>2.91</v>
      </c>
      <c r="G4770" s="4">
        <f t="shared" si="3"/>
        <v>9544249.98</v>
      </c>
      <c r="H4770" s="4">
        <f t="shared" si="1"/>
        <v>0.9999823949</v>
      </c>
      <c r="I4770" s="4" t="str">
        <f t="shared" si="2"/>
        <v>C</v>
      </c>
    </row>
    <row r="4771">
      <c r="A4771" s="2">
        <v>4770.0</v>
      </c>
      <c r="B4771" s="2">
        <v>23652.0</v>
      </c>
      <c r="C4771" s="2" t="s">
        <v>6104</v>
      </c>
      <c r="D4771" s="2">
        <v>2.91</v>
      </c>
      <c r="E4771" s="2">
        <v>1.0</v>
      </c>
      <c r="F4771" s="2">
        <v>2.91</v>
      </c>
      <c r="G4771" s="4">
        <f t="shared" si="3"/>
        <v>9544252.89</v>
      </c>
      <c r="H4771" s="4">
        <f t="shared" si="1"/>
        <v>0.9999826998</v>
      </c>
      <c r="I4771" s="4" t="str">
        <f t="shared" si="2"/>
        <v>C</v>
      </c>
    </row>
    <row r="4772">
      <c r="A4772" s="2">
        <v>4771.0</v>
      </c>
      <c r="B4772" s="2">
        <v>23638.0</v>
      </c>
      <c r="C4772" s="2" t="s">
        <v>6105</v>
      </c>
      <c r="D4772" s="2">
        <v>2.91</v>
      </c>
      <c r="E4772" s="2">
        <v>1.0</v>
      </c>
      <c r="F4772" s="2">
        <v>2.91</v>
      </c>
      <c r="G4772" s="4">
        <f t="shared" si="3"/>
        <v>9544255.8</v>
      </c>
      <c r="H4772" s="4">
        <f t="shared" si="1"/>
        <v>0.9999830047</v>
      </c>
      <c r="I4772" s="4" t="str">
        <f t="shared" si="2"/>
        <v>C</v>
      </c>
    </row>
    <row r="4773">
      <c r="A4773" s="2">
        <v>4772.0</v>
      </c>
      <c r="B4773" s="2">
        <v>23630.0</v>
      </c>
      <c r="C4773" s="2" t="s">
        <v>6106</v>
      </c>
      <c r="D4773" s="2">
        <v>2.74</v>
      </c>
      <c r="E4773" s="2">
        <v>1.0</v>
      </c>
      <c r="F4773" s="2">
        <v>2.74</v>
      </c>
      <c r="G4773" s="4">
        <f t="shared" si="3"/>
        <v>9544258.54</v>
      </c>
      <c r="H4773" s="4">
        <f t="shared" si="1"/>
        <v>0.9999832918</v>
      </c>
      <c r="I4773" s="4" t="str">
        <f t="shared" si="2"/>
        <v>C</v>
      </c>
    </row>
    <row r="4774">
      <c r="A4774" s="2">
        <v>4773.0</v>
      </c>
      <c r="B4774" s="2">
        <v>35537.0</v>
      </c>
      <c r="C4774" s="2" t="s">
        <v>6107</v>
      </c>
      <c r="D4774" s="2">
        <v>0.42</v>
      </c>
      <c r="E4774" s="2">
        <v>6.0</v>
      </c>
      <c r="F4774" s="2">
        <v>2.73</v>
      </c>
      <c r="G4774" s="4">
        <f t="shared" si="3"/>
        <v>9544261.27</v>
      </c>
      <c r="H4774" s="4">
        <f t="shared" si="1"/>
        <v>0.9999835778</v>
      </c>
      <c r="I4774" s="4" t="str">
        <f t="shared" si="2"/>
        <v>C</v>
      </c>
    </row>
    <row r="4775">
      <c r="A4775" s="2">
        <v>4774.0</v>
      </c>
      <c r="B4775" s="2">
        <v>21838.0</v>
      </c>
      <c r="C4775" s="2" t="s">
        <v>6108</v>
      </c>
      <c r="D4775" s="2">
        <v>5.45</v>
      </c>
      <c r="E4775" s="2">
        <v>0.0</v>
      </c>
      <c r="F4775" s="2">
        <v>2.72</v>
      </c>
      <c r="G4775" s="4">
        <f t="shared" si="3"/>
        <v>9544263.99</v>
      </c>
      <c r="H4775" s="4">
        <f t="shared" si="1"/>
        <v>0.9999838628</v>
      </c>
      <c r="I4775" s="4" t="str">
        <f t="shared" si="2"/>
        <v>C</v>
      </c>
    </row>
    <row r="4776">
      <c r="A4776" s="2">
        <v>4775.0</v>
      </c>
      <c r="B4776" s="2" t="s">
        <v>6109</v>
      </c>
      <c r="C4776" s="2" t="s">
        <v>6110</v>
      </c>
      <c r="D4776" s="2">
        <v>0.19</v>
      </c>
      <c r="E4776" s="2">
        <v>14.0</v>
      </c>
      <c r="F4776" s="2">
        <v>2.66</v>
      </c>
      <c r="G4776" s="4">
        <f t="shared" si="3"/>
        <v>9544266.65</v>
      </c>
      <c r="H4776" s="4">
        <f t="shared" si="1"/>
        <v>0.9999841415</v>
      </c>
      <c r="I4776" s="4" t="str">
        <f t="shared" si="2"/>
        <v>C</v>
      </c>
    </row>
    <row r="4777">
      <c r="A4777" s="2">
        <v>4776.0</v>
      </c>
      <c r="B4777" s="2">
        <v>16215.0</v>
      </c>
      <c r="C4777" s="2" t="s">
        <v>6111</v>
      </c>
      <c r="D4777" s="2">
        <v>0.65</v>
      </c>
      <c r="E4777" s="2">
        <v>4.0</v>
      </c>
      <c r="F4777" s="2">
        <v>2.6</v>
      </c>
      <c r="G4777" s="4">
        <f t="shared" si="3"/>
        <v>9544269.25</v>
      </c>
      <c r="H4777" s="4">
        <f t="shared" si="1"/>
        <v>0.9999844139</v>
      </c>
      <c r="I4777" s="4" t="str">
        <f t="shared" si="2"/>
        <v>C</v>
      </c>
    </row>
    <row r="4778">
      <c r="A4778" s="2">
        <v>4777.0</v>
      </c>
      <c r="B4778" s="2">
        <v>21860.0</v>
      </c>
      <c r="C4778" s="2" t="s">
        <v>6112</v>
      </c>
      <c r="D4778" s="2">
        <v>5.17</v>
      </c>
      <c r="E4778" s="2">
        <v>0.0</v>
      </c>
      <c r="F4778" s="2">
        <v>2.58</v>
      </c>
      <c r="G4778" s="4">
        <f t="shared" si="3"/>
        <v>9544271.83</v>
      </c>
      <c r="H4778" s="4">
        <f t="shared" si="1"/>
        <v>0.9999846842</v>
      </c>
      <c r="I4778" s="4" t="str">
        <f t="shared" si="2"/>
        <v>C</v>
      </c>
    </row>
    <row r="4779">
      <c r="A4779" s="2">
        <v>4778.0</v>
      </c>
      <c r="B4779" s="2">
        <v>21854.0</v>
      </c>
      <c r="C4779" s="2" t="s">
        <v>6113</v>
      </c>
      <c r="D4779" s="2">
        <v>5.17</v>
      </c>
      <c r="E4779" s="2">
        <v>0.0</v>
      </c>
      <c r="F4779" s="2">
        <v>2.58</v>
      </c>
      <c r="G4779" s="4">
        <f t="shared" si="3"/>
        <v>9544274.41</v>
      </c>
      <c r="H4779" s="4">
        <f t="shared" si="1"/>
        <v>0.9999849546</v>
      </c>
      <c r="I4779" s="4" t="str">
        <f t="shared" si="2"/>
        <v>C</v>
      </c>
    </row>
    <row r="4780">
      <c r="A4780" s="2">
        <v>4779.0</v>
      </c>
      <c r="B4780" s="2" t="s">
        <v>6114</v>
      </c>
      <c r="C4780" s="2" t="s">
        <v>6115</v>
      </c>
      <c r="D4780" s="2">
        <v>2.55</v>
      </c>
      <c r="E4780" s="2">
        <v>1.0</v>
      </c>
      <c r="F4780" s="2">
        <v>2.55</v>
      </c>
      <c r="G4780" s="4">
        <f t="shared" si="3"/>
        <v>9544276.96</v>
      </c>
      <c r="H4780" s="4">
        <f t="shared" si="1"/>
        <v>0.9999852217</v>
      </c>
      <c r="I4780" s="4" t="str">
        <f t="shared" si="2"/>
        <v>C</v>
      </c>
    </row>
    <row r="4781">
      <c r="A4781" s="2">
        <v>4780.0</v>
      </c>
      <c r="B4781" s="2" t="s">
        <v>6116</v>
      </c>
      <c r="C4781" s="2" t="s">
        <v>6117</v>
      </c>
      <c r="D4781" s="2">
        <v>0.85</v>
      </c>
      <c r="E4781" s="2">
        <v>3.0</v>
      </c>
      <c r="F4781" s="2">
        <v>2.55</v>
      </c>
      <c r="G4781" s="4">
        <f t="shared" si="3"/>
        <v>9544279.51</v>
      </c>
      <c r="H4781" s="4">
        <f t="shared" si="1"/>
        <v>0.9999854889</v>
      </c>
      <c r="I4781" s="4" t="str">
        <f t="shared" si="2"/>
        <v>C</v>
      </c>
    </row>
    <row r="4782">
      <c r="A4782" s="2">
        <v>4781.0</v>
      </c>
      <c r="B4782" s="2" t="s">
        <v>6118</v>
      </c>
      <c r="C4782" s="2" t="s">
        <v>6119</v>
      </c>
      <c r="D4782" s="2">
        <v>5.09</v>
      </c>
      <c r="E4782" s="2">
        <v>0.0</v>
      </c>
      <c r="F4782" s="2">
        <v>2.54</v>
      </c>
      <c r="G4782" s="4">
        <f t="shared" si="3"/>
        <v>9544282.05</v>
      </c>
      <c r="H4782" s="4">
        <f t="shared" si="1"/>
        <v>0.999985755</v>
      </c>
      <c r="I4782" s="4" t="str">
        <f t="shared" si="2"/>
        <v>C</v>
      </c>
    </row>
    <row r="4783">
      <c r="A4783" s="2">
        <v>4782.0</v>
      </c>
      <c r="B4783" s="2">
        <v>84942.0</v>
      </c>
      <c r="C4783" s="2" t="s">
        <v>6120</v>
      </c>
      <c r="D4783" s="2">
        <v>1.69</v>
      </c>
      <c r="E4783" s="2">
        <v>2.0</v>
      </c>
      <c r="F4783" s="2">
        <v>2.54</v>
      </c>
      <c r="G4783" s="4">
        <f t="shared" si="3"/>
        <v>9544284.59</v>
      </c>
      <c r="H4783" s="4">
        <f t="shared" si="1"/>
        <v>0.9999860211</v>
      </c>
      <c r="I4783" s="4" t="str">
        <f t="shared" si="2"/>
        <v>C</v>
      </c>
    </row>
    <row r="4784">
      <c r="A4784" s="2">
        <v>4783.0</v>
      </c>
      <c r="B4784" s="2" t="s">
        <v>6121</v>
      </c>
      <c r="C4784" s="2" t="s">
        <v>6122</v>
      </c>
      <c r="D4784" s="2">
        <v>5.09</v>
      </c>
      <c r="E4784" s="2">
        <v>0.0</v>
      </c>
      <c r="F4784" s="2">
        <v>2.54</v>
      </c>
      <c r="G4784" s="4">
        <f t="shared" si="3"/>
        <v>9544287.13</v>
      </c>
      <c r="H4784" s="4">
        <f t="shared" si="1"/>
        <v>0.9999862873</v>
      </c>
      <c r="I4784" s="4" t="str">
        <f t="shared" si="2"/>
        <v>C</v>
      </c>
    </row>
    <row r="4785">
      <c r="A4785" s="2">
        <v>4784.0</v>
      </c>
      <c r="B4785" s="2" t="s">
        <v>6123</v>
      </c>
      <c r="C4785" s="2" t="s">
        <v>6124</v>
      </c>
      <c r="D4785" s="2">
        <v>5.06</v>
      </c>
      <c r="E4785" s="2">
        <v>0.0</v>
      </c>
      <c r="F4785" s="2">
        <v>2.53</v>
      </c>
      <c r="G4785" s="4">
        <f t="shared" si="3"/>
        <v>9544289.66</v>
      </c>
      <c r="H4785" s="4">
        <f t="shared" si="1"/>
        <v>0.9999865523</v>
      </c>
      <c r="I4785" s="4" t="str">
        <f t="shared" si="2"/>
        <v>C</v>
      </c>
    </row>
    <row r="4786">
      <c r="A4786" s="2">
        <v>4785.0</v>
      </c>
      <c r="B4786" s="2">
        <v>20877.0</v>
      </c>
      <c r="C4786" s="2" t="s">
        <v>6125</v>
      </c>
      <c r="D4786" s="2">
        <v>0.42</v>
      </c>
      <c r="E4786" s="2">
        <v>6.0</v>
      </c>
      <c r="F4786" s="2">
        <v>2.52</v>
      </c>
      <c r="G4786" s="4">
        <f t="shared" si="3"/>
        <v>9544292.18</v>
      </c>
      <c r="H4786" s="4">
        <f t="shared" si="1"/>
        <v>0.9999868164</v>
      </c>
      <c r="I4786" s="4" t="str">
        <f t="shared" si="2"/>
        <v>C</v>
      </c>
    </row>
    <row r="4787">
      <c r="A4787" s="2">
        <v>4786.0</v>
      </c>
      <c r="B4787" s="2" t="s">
        <v>6126</v>
      </c>
      <c r="C4787" s="2" t="s">
        <v>3483</v>
      </c>
      <c r="D4787" s="2">
        <v>2.51</v>
      </c>
      <c r="E4787" s="2">
        <v>1.0</v>
      </c>
      <c r="F4787" s="2">
        <v>2.51</v>
      </c>
      <c r="G4787" s="4">
        <f t="shared" si="3"/>
        <v>9544294.69</v>
      </c>
      <c r="H4787" s="4">
        <f t="shared" si="1"/>
        <v>0.9999870794</v>
      </c>
      <c r="I4787" s="4" t="str">
        <f t="shared" si="2"/>
        <v>C</v>
      </c>
    </row>
    <row r="4788">
      <c r="A4788" s="2">
        <v>4787.0</v>
      </c>
      <c r="B4788" s="2">
        <v>23649.0</v>
      </c>
      <c r="C4788" s="2" t="s">
        <v>6127</v>
      </c>
      <c r="D4788" s="2">
        <v>2.49</v>
      </c>
      <c r="E4788" s="2">
        <v>1.0</v>
      </c>
      <c r="F4788" s="2">
        <v>2.49</v>
      </c>
      <c r="G4788" s="4">
        <f t="shared" si="3"/>
        <v>9544297.18</v>
      </c>
      <c r="H4788" s="4">
        <f t="shared" si="1"/>
        <v>0.9999873402</v>
      </c>
      <c r="I4788" s="4" t="str">
        <f t="shared" si="2"/>
        <v>C</v>
      </c>
    </row>
    <row r="4789">
      <c r="A4789" s="2">
        <v>4788.0</v>
      </c>
      <c r="B4789" s="2" t="s">
        <v>6128</v>
      </c>
      <c r="C4789" s="2" t="s">
        <v>2478</v>
      </c>
      <c r="D4789" s="2">
        <v>0.83</v>
      </c>
      <c r="E4789" s="2">
        <v>3.0</v>
      </c>
      <c r="F4789" s="2">
        <v>2.49</v>
      </c>
      <c r="G4789" s="4">
        <f t="shared" si="3"/>
        <v>9544299.67</v>
      </c>
      <c r="H4789" s="4">
        <f t="shared" si="1"/>
        <v>0.9999876011</v>
      </c>
      <c r="I4789" s="4" t="str">
        <f t="shared" si="2"/>
        <v>C</v>
      </c>
    </row>
    <row r="4790">
      <c r="A4790" s="2">
        <v>4789.0</v>
      </c>
      <c r="B4790" s="2">
        <v>85043.0</v>
      </c>
      <c r="C4790" s="2" t="s">
        <v>6129</v>
      </c>
      <c r="D4790" s="2">
        <v>4.95</v>
      </c>
      <c r="E4790" s="2">
        <v>0.0</v>
      </c>
      <c r="F4790" s="2">
        <v>2.48</v>
      </c>
      <c r="G4790" s="4">
        <f t="shared" si="3"/>
        <v>9544302.15</v>
      </c>
      <c r="H4790" s="4">
        <f t="shared" si="1"/>
        <v>0.999987861</v>
      </c>
      <c r="I4790" s="4" t="str">
        <f t="shared" si="2"/>
        <v>C</v>
      </c>
    </row>
    <row r="4791">
      <c r="A4791" s="2">
        <v>4790.0</v>
      </c>
      <c r="B4791" s="2">
        <v>37451.0</v>
      </c>
      <c r="C4791" s="2" t="s">
        <v>6130</v>
      </c>
      <c r="D4791" s="2">
        <v>4.95</v>
      </c>
      <c r="E4791" s="2">
        <v>0.0</v>
      </c>
      <c r="F4791" s="2">
        <v>2.48</v>
      </c>
      <c r="G4791" s="4">
        <f t="shared" si="3"/>
        <v>9544304.63</v>
      </c>
      <c r="H4791" s="4">
        <f t="shared" si="1"/>
        <v>0.9999881208</v>
      </c>
      <c r="I4791" s="4" t="str">
        <f t="shared" si="2"/>
        <v>C</v>
      </c>
    </row>
    <row r="4792">
      <c r="A4792" s="2">
        <v>4791.0</v>
      </c>
      <c r="B4792" s="2" t="s">
        <v>6131</v>
      </c>
      <c r="C4792" s="2" t="s">
        <v>3696</v>
      </c>
      <c r="D4792" s="2">
        <v>4.96</v>
      </c>
      <c r="E4792" s="2">
        <v>0.0</v>
      </c>
      <c r="F4792" s="2">
        <v>2.48</v>
      </c>
      <c r="G4792" s="4">
        <f t="shared" si="3"/>
        <v>9544307.11</v>
      </c>
      <c r="H4792" s="4">
        <f t="shared" si="1"/>
        <v>0.9999883806</v>
      </c>
      <c r="I4792" s="4" t="str">
        <f t="shared" si="2"/>
        <v>C</v>
      </c>
    </row>
    <row r="4793">
      <c r="A4793" s="2">
        <v>4792.0</v>
      </c>
      <c r="B4793" s="2" t="s">
        <v>6132</v>
      </c>
      <c r="C4793" s="2" t="s">
        <v>6133</v>
      </c>
      <c r="D4793" s="2">
        <v>4.95</v>
      </c>
      <c r="E4793" s="2">
        <v>0.0</v>
      </c>
      <c r="F4793" s="2">
        <v>2.48</v>
      </c>
      <c r="G4793" s="4">
        <f t="shared" si="3"/>
        <v>9544309.59</v>
      </c>
      <c r="H4793" s="4">
        <f t="shared" si="1"/>
        <v>0.9999886405</v>
      </c>
      <c r="I4793" s="4" t="str">
        <f t="shared" si="2"/>
        <v>C</v>
      </c>
    </row>
    <row r="4794">
      <c r="A4794" s="2">
        <v>4793.0</v>
      </c>
      <c r="B4794" s="2" t="s">
        <v>6134</v>
      </c>
      <c r="C4794" s="2" t="s">
        <v>3331</v>
      </c>
      <c r="D4794" s="2">
        <v>2.46</v>
      </c>
      <c r="E4794" s="2">
        <v>1.0</v>
      </c>
      <c r="F4794" s="2">
        <v>2.46</v>
      </c>
      <c r="G4794" s="4">
        <f t="shared" si="3"/>
        <v>9544312.05</v>
      </c>
      <c r="H4794" s="4">
        <f t="shared" si="1"/>
        <v>0.9999888982</v>
      </c>
      <c r="I4794" s="4" t="str">
        <f t="shared" si="2"/>
        <v>C</v>
      </c>
    </row>
    <row r="4795">
      <c r="A4795" s="2">
        <v>4794.0</v>
      </c>
      <c r="B4795" s="2" t="s">
        <v>6135</v>
      </c>
      <c r="C4795" s="2" t="s">
        <v>1536</v>
      </c>
      <c r="D4795" s="2">
        <v>2.46</v>
      </c>
      <c r="E4795" s="2">
        <v>1.0</v>
      </c>
      <c r="F4795" s="2">
        <v>2.46</v>
      </c>
      <c r="G4795" s="4">
        <f t="shared" si="3"/>
        <v>9544314.51</v>
      </c>
      <c r="H4795" s="4">
        <f t="shared" si="1"/>
        <v>0.999989156</v>
      </c>
      <c r="I4795" s="4" t="str">
        <f t="shared" si="2"/>
        <v>C</v>
      </c>
    </row>
    <row r="4796">
      <c r="A4796" s="2">
        <v>4795.0</v>
      </c>
      <c r="B4796" s="2" t="s">
        <v>6136</v>
      </c>
      <c r="C4796" s="2" t="s">
        <v>6137</v>
      </c>
      <c r="D4796" s="2">
        <v>0.77</v>
      </c>
      <c r="E4796" s="2">
        <v>6.0</v>
      </c>
      <c r="F4796" s="2">
        <v>2.36</v>
      </c>
      <c r="G4796" s="4">
        <f t="shared" si="3"/>
        <v>9544316.87</v>
      </c>
      <c r="H4796" s="4">
        <f t="shared" si="1"/>
        <v>0.9999894032</v>
      </c>
      <c r="I4796" s="4" t="str">
        <f t="shared" si="2"/>
        <v>C</v>
      </c>
    </row>
    <row r="4797">
      <c r="A4797" s="2">
        <v>4796.0</v>
      </c>
      <c r="B4797" s="2">
        <v>45014.0</v>
      </c>
      <c r="C4797" s="2" t="s">
        <v>6138</v>
      </c>
      <c r="D4797" s="2">
        <v>4.65</v>
      </c>
      <c r="E4797" s="2">
        <v>0.0</v>
      </c>
      <c r="F4797" s="2">
        <v>2.33</v>
      </c>
      <c r="G4797" s="4">
        <f t="shared" si="3"/>
        <v>9544319.2</v>
      </c>
      <c r="H4797" s="4">
        <f t="shared" si="1"/>
        <v>0.9999896474</v>
      </c>
      <c r="I4797" s="4" t="str">
        <f t="shared" si="2"/>
        <v>C</v>
      </c>
    </row>
    <row r="4798">
      <c r="A4798" s="2">
        <v>4797.0</v>
      </c>
      <c r="B4798" s="2" t="s">
        <v>6139</v>
      </c>
      <c r="C4798" s="2" t="s">
        <v>6140</v>
      </c>
      <c r="D4798" s="2">
        <v>0.19</v>
      </c>
      <c r="E4798" s="2">
        <v>7.0</v>
      </c>
      <c r="F4798" s="2">
        <v>2.32</v>
      </c>
      <c r="G4798" s="4">
        <f t="shared" si="3"/>
        <v>9544321.52</v>
      </c>
      <c r="H4798" s="4">
        <f t="shared" si="1"/>
        <v>0.9999898904</v>
      </c>
      <c r="I4798" s="4" t="str">
        <f t="shared" si="2"/>
        <v>C</v>
      </c>
    </row>
    <row r="4799">
      <c r="A4799" s="2">
        <v>4798.0</v>
      </c>
      <c r="B4799" s="2" t="s">
        <v>6141</v>
      </c>
      <c r="C4799" s="2" t="s">
        <v>6142</v>
      </c>
      <c r="D4799" s="2">
        <v>0.42</v>
      </c>
      <c r="E4799" s="2">
        <v>6.0</v>
      </c>
      <c r="F4799" s="2">
        <v>2.31</v>
      </c>
      <c r="G4799" s="4">
        <f t="shared" si="3"/>
        <v>9544323.83</v>
      </c>
      <c r="H4799" s="4">
        <f t="shared" si="1"/>
        <v>0.9999901325</v>
      </c>
      <c r="I4799" s="4" t="str">
        <f t="shared" si="2"/>
        <v>C</v>
      </c>
    </row>
    <row r="4800">
      <c r="A4800" s="2">
        <v>4799.0</v>
      </c>
      <c r="B4800" s="2" t="s">
        <v>6143</v>
      </c>
      <c r="C4800" s="2" t="s">
        <v>2963</v>
      </c>
      <c r="D4800" s="2">
        <v>4.3</v>
      </c>
      <c r="E4800" s="2">
        <v>0.0</v>
      </c>
      <c r="F4800" s="2">
        <v>2.15</v>
      </c>
      <c r="G4800" s="4">
        <f t="shared" si="3"/>
        <v>9544325.98</v>
      </c>
      <c r="H4800" s="4">
        <f t="shared" si="1"/>
        <v>0.9999903577</v>
      </c>
      <c r="I4800" s="4" t="str">
        <f t="shared" si="2"/>
        <v>C</v>
      </c>
    </row>
    <row r="4801">
      <c r="A4801" s="2">
        <v>4800.0</v>
      </c>
      <c r="B4801" s="2" t="s">
        <v>6144</v>
      </c>
      <c r="C4801" s="2" t="s">
        <v>6145</v>
      </c>
      <c r="D4801" s="2">
        <v>4.25</v>
      </c>
      <c r="E4801" s="2">
        <v>0.0</v>
      </c>
      <c r="F4801" s="2">
        <v>2.12</v>
      </c>
      <c r="G4801" s="4">
        <f t="shared" si="3"/>
        <v>9544328.1</v>
      </c>
      <c r="H4801" s="4">
        <f t="shared" si="1"/>
        <v>0.9999905798</v>
      </c>
      <c r="I4801" s="4" t="str">
        <f t="shared" si="2"/>
        <v>C</v>
      </c>
    </row>
    <row r="4802">
      <c r="A4802" s="2">
        <v>4801.0</v>
      </c>
      <c r="B4802" s="2" t="s">
        <v>6146</v>
      </c>
      <c r="C4802" s="2" t="s">
        <v>6147</v>
      </c>
      <c r="D4802" s="2">
        <v>0.85</v>
      </c>
      <c r="E4802" s="2">
        <v>2.0</v>
      </c>
      <c r="F4802" s="2">
        <v>2.12</v>
      </c>
      <c r="G4802" s="4">
        <f t="shared" si="3"/>
        <v>9544330.22</v>
      </c>
      <c r="H4802" s="4">
        <f t="shared" si="1"/>
        <v>0.999990802</v>
      </c>
      <c r="I4802" s="4" t="str">
        <f t="shared" si="2"/>
        <v>C</v>
      </c>
    </row>
    <row r="4803">
      <c r="A4803" s="2">
        <v>4802.0</v>
      </c>
      <c r="B4803" s="2">
        <v>21409.0</v>
      </c>
      <c r="C4803" s="2" t="s">
        <v>6148</v>
      </c>
      <c r="D4803" s="2">
        <v>4.25</v>
      </c>
      <c r="E4803" s="2">
        <v>0.0</v>
      </c>
      <c r="F4803" s="2">
        <v>2.12</v>
      </c>
      <c r="G4803" s="4">
        <f t="shared" si="3"/>
        <v>9544332.34</v>
      </c>
      <c r="H4803" s="4">
        <f t="shared" si="1"/>
        <v>0.9999910241</v>
      </c>
      <c r="I4803" s="4" t="str">
        <f t="shared" si="2"/>
        <v>C</v>
      </c>
    </row>
    <row r="4804">
      <c r="A4804" s="2">
        <v>4803.0</v>
      </c>
      <c r="B4804" s="2" t="s">
        <v>6149</v>
      </c>
      <c r="C4804" s="2" t="s">
        <v>6150</v>
      </c>
      <c r="D4804" s="2">
        <v>0.85</v>
      </c>
      <c r="E4804" s="2">
        <v>2.0</v>
      </c>
      <c r="F4804" s="2">
        <v>2.12</v>
      </c>
      <c r="G4804" s="4">
        <f t="shared" si="3"/>
        <v>9544334.46</v>
      </c>
      <c r="H4804" s="4">
        <f t="shared" si="1"/>
        <v>0.9999912462</v>
      </c>
      <c r="I4804" s="4" t="str">
        <f t="shared" si="2"/>
        <v>C</v>
      </c>
    </row>
    <row r="4805">
      <c r="A4805" s="2">
        <v>4804.0</v>
      </c>
      <c r="B4805" s="2" t="s">
        <v>6151</v>
      </c>
      <c r="C4805" s="2" t="s">
        <v>6152</v>
      </c>
      <c r="D4805" s="2">
        <v>2.1</v>
      </c>
      <c r="E4805" s="2">
        <v>1.0</v>
      </c>
      <c r="F4805" s="2">
        <v>2.1</v>
      </c>
      <c r="G4805" s="4">
        <f t="shared" si="3"/>
        <v>9544336.56</v>
      </c>
      <c r="H4805" s="4">
        <f t="shared" si="1"/>
        <v>0.9999914662</v>
      </c>
      <c r="I4805" s="4" t="str">
        <f t="shared" si="2"/>
        <v>C</v>
      </c>
    </row>
    <row r="4806">
      <c r="A4806" s="2">
        <v>4805.0</v>
      </c>
      <c r="B4806" s="2" t="s">
        <v>6153</v>
      </c>
      <c r="C4806" s="2" t="s">
        <v>3396</v>
      </c>
      <c r="D4806" s="2">
        <v>4.21</v>
      </c>
      <c r="E4806" s="2">
        <v>0.0</v>
      </c>
      <c r="F4806" s="2">
        <v>2.1</v>
      </c>
      <c r="G4806" s="4">
        <f t="shared" si="3"/>
        <v>9544338.66</v>
      </c>
      <c r="H4806" s="4">
        <f t="shared" si="1"/>
        <v>0.9999916862</v>
      </c>
      <c r="I4806" s="4" t="str">
        <f t="shared" si="2"/>
        <v>C</v>
      </c>
    </row>
    <row r="4807">
      <c r="A4807" s="2">
        <v>4806.0</v>
      </c>
      <c r="B4807" s="2" t="s">
        <v>6154</v>
      </c>
      <c r="C4807" s="2" t="s">
        <v>3403</v>
      </c>
      <c r="D4807" s="2">
        <v>4.13</v>
      </c>
      <c r="E4807" s="2">
        <v>0.0</v>
      </c>
      <c r="F4807" s="2">
        <v>2.06</v>
      </c>
      <c r="G4807" s="4">
        <f t="shared" si="3"/>
        <v>9544340.72</v>
      </c>
      <c r="H4807" s="4">
        <f t="shared" si="1"/>
        <v>0.9999919021</v>
      </c>
      <c r="I4807" s="4" t="str">
        <f t="shared" si="2"/>
        <v>C</v>
      </c>
    </row>
    <row r="4808">
      <c r="A4808" s="2">
        <v>4807.0</v>
      </c>
      <c r="B4808" s="2" t="s">
        <v>6155</v>
      </c>
      <c r="C4808" s="2" t="s">
        <v>2435</v>
      </c>
      <c r="D4808" s="2">
        <v>4.13</v>
      </c>
      <c r="E4808" s="2">
        <v>0.0</v>
      </c>
      <c r="F4808" s="2">
        <v>2.06</v>
      </c>
      <c r="G4808" s="4">
        <f t="shared" si="3"/>
        <v>9544342.78</v>
      </c>
      <c r="H4808" s="4">
        <f t="shared" si="1"/>
        <v>0.9999921179</v>
      </c>
      <c r="I4808" s="4" t="str">
        <f t="shared" si="2"/>
        <v>C</v>
      </c>
    </row>
    <row r="4809">
      <c r="A4809" s="2">
        <v>4808.0</v>
      </c>
      <c r="B4809" s="2">
        <v>37432.0</v>
      </c>
      <c r="C4809" s="2" t="s">
        <v>6156</v>
      </c>
      <c r="D4809" s="2">
        <v>0.65</v>
      </c>
      <c r="E4809" s="2">
        <v>3.0</v>
      </c>
      <c r="F4809" s="2">
        <v>1.95</v>
      </c>
      <c r="G4809" s="4">
        <f t="shared" si="3"/>
        <v>9544344.73</v>
      </c>
      <c r="H4809" s="4">
        <f t="shared" si="1"/>
        <v>0.9999923222</v>
      </c>
      <c r="I4809" s="4" t="str">
        <f t="shared" si="2"/>
        <v>C</v>
      </c>
    </row>
    <row r="4810">
      <c r="A4810" s="2">
        <v>4809.0</v>
      </c>
      <c r="B4810" s="2" t="s">
        <v>6157</v>
      </c>
      <c r="C4810" s="2" t="s">
        <v>6158</v>
      </c>
      <c r="D4810" s="2">
        <v>1.95</v>
      </c>
      <c r="E4810" s="2">
        <v>1.0</v>
      </c>
      <c r="F4810" s="2">
        <v>1.95</v>
      </c>
      <c r="G4810" s="4">
        <f t="shared" si="3"/>
        <v>9544346.68</v>
      </c>
      <c r="H4810" s="4">
        <f t="shared" si="1"/>
        <v>0.9999925265</v>
      </c>
      <c r="I4810" s="4" t="str">
        <f t="shared" si="2"/>
        <v>C</v>
      </c>
    </row>
    <row r="4811">
      <c r="A4811" s="2">
        <v>4810.0</v>
      </c>
      <c r="B4811" s="2">
        <v>16010.0</v>
      </c>
      <c r="C4811" s="2" t="s">
        <v>6159</v>
      </c>
      <c r="D4811" s="2">
        <v>0.12</v>
      </c>
      <c r="E4811" s="2">
        <v>16.0</v>
      </c>
      <c r="F4811" s="2">
        <v>1.92</v>
      </c>
      <c r="G4811" s="4">
        <f t="shared" si="3"/>
        <v>9544348.6</v>
      </c>
      <c r="H4811" s="4">
        <f t="shared" si="1"/>
        <v>0.9999927277</v>
      </c>
      <c r="I4811" s="4" t="str">
        <f t="shared" si="2"/>
        <v>C</v>
      </c>
    </row>
    <row r="4812">
      <c r="A4812" s="2">
        <v>4811.0</v>
      </c>
      <c r="B4812" s="2">
        <v>35995.0</v>
      </c>
      <c r="C4812" s="2" t="s">
        <v>6160</v>
      </c>
      <c r="D4812" s="2">
        <v>0.42</v>
      </c>
      <c r="E4812" s="2">
        <v>2.0</v>
      </c>
      <c r="F4812" s="2">
        <v>1.89</v>
      </c>
      <c r="G4812" s="4">
        <f t="shared" si="3"/>
        <v>9544350.49</v>
      </c>
      <c r="H4812" s="4">
        <f t="shared" si="1"/>
        <v>0.9999929257</v>
      </c>
      <c r="I4812" s="4" t="str">
        <f t="shared" si="2"/>
        <v>C</v>
      </c>
    </row>
    <row r="4813">
      <c r="A4813" s="2">
        <v>4812.0</v>
      </c>
      <c r="B4813" s="2">
        <v>35974.0</v>
      </c>
      <c r="C4813" s="2" t="s">
        <v>6161</v>
      </c>
      <c r="D4813" s="2">
        <v>3.75</v>
      </c>
      <c r="E4813" s="2">
        <v>0.0</v>
      </c>
      <c r="F4813" s="2">
        <v>1.88</v>
      </c>
      <c r="G4813" s="4">
        <f t="shared" si="3"/>
        <v>9544352.37</v>
      </c>
      <c r="H4813" s="4">
        <f t="shared" si="1"/>
        <v>0.9999931227</v>
      </c>
      <c r="I4813" s="4" t="str">
        <f t="shared" si="2"/>
        <v>C</v>
      </c>
    </row>
    <row r="4814">
      <c r="A4814" s="2">
        <v>4813.0</v>
      </c>
      <c r="B4814" s="2" t="s">
        <v>6162</v>
      </c>
      <c r="C4814" s="2" t="s">
        <v>6163</v>
      </c>
      <c r="D4814" s="2">
        <v>1.25</v>
      </c>
      <c r="E4814" s="2">
        <v>2.0</v>
      </c>
      <c r="F4814" s="2">
        <v>1.88</v>
      </c>
      <c r="G4814" s="4">
        <f t="shared" si="3"/>
        <v>9544354.25</v>
      </c>
      <c r="H4814" s="4">
        <f t="shared" si="1"/>
        <v>0.9999933197</v>
      </c>
      <c r="I4814" s="4" t="str">
        <f t="shared" si="2"/>
        <v>C</v>
      </c>
    </row>
    <row r="4815">
      <c r="A4815" s="2">
        <v>4814.0</v>
      </c>
      <c r="B4815" s="2" t="s">
        <v>6164</v>
      </c>
      <c r="C4815" s="2" t="s">
        <v>6165</v>
      </c>
      <c r="D4815" s="2">
        <v>3.75</v>
      </c>
      <c r="E4815" s="2">
        <v>0.0</v>
      </c>
      <c r="F4815" s="2">
        <v>1.88</v>
      </c>
      <c r="G4815" s="4">
        <f t="shared" si="3"/>
        <v>9544356.13</v>
      </c>
      <c r="H4815" s="4">
        <f t="shared" si="1"/>
        <v>0.9999935166</v>
      </c>
      <c r="I4815" s="4" t="str">
        <f t="shared" si="2"/>
        <v>C</v>
      </c>
    </row>
    <row r="4816">
      <c r="A4816" s="2">
        <v>4815.0</v>
      </c>
      <c r="B4816" s="2">
        <v>84731.0</v>
      </c>
      <c r="C4816" s="2" t="s">
        <v>6166</v>
      </c>
      <c r="D4816" s="2">
        <v>1.65</v>
      </c>
      <c r="E4816" s="2">
        <v>2.0</v>
      </c>
      <c r="F4816" s="2">
        <v>1.84</v>
      </c>
      <c r="G4816" s="4">
        <f t="shared" si="3"/>
        <v>9544357.97</v>
      </c>
      <c r="H4816" s="4">
        <f t="shared" si="1"/>
        <v>0.9999937094</v>
      </c>
      <c r="I4816" s="4" t="str">
        <f t="shared" si="2"/>
        <v>C</v>
      </c>
    </row>
    <row r="4817">
      <c r="A4817" s="2">
        <v>4816.0</v>
      </c>
      <c r="B4817" s="2" t="s">
        <v>6167</v>
      </c>
      <c r="C4817" s="2" t="s">
        <v>6168</v>
      </c>
      <c r="D4817" s="2">
        <v>3.49</v>
      </c>
      <c r="E4817" s="2">
        <v>0.0</v>
      </c>
      <c r="F4817" s="2">
        <v>1.74</v>
      </c>
      <c r="G4817" s="4">
        <f t="shared" si="3"/>
        <v>9544359.71</v>
      </c>
      <c r="H4817" s="4">
        <f t="shared" si="1"/>
        <v>0.9999938917</v>
      </c>
      <c r="I4817" s="4" t="str">
        <f t="shared" si="2"/>
        <v>C</v>
      </c>
    </row>
    <row r="4818">
      <c r="A4818" s="2">
        <v>4817.0</v>
      </c>
      <c r="B4818" s="2" t="s">
        <v>6169</v>
      </c>
      <c r="C4818" s="2" t="s">
        <v>6170</v>
      </c>
      <c r="D4818" s="2">
        <v>3.43</v>
      </c>
      <c r="E4818" s="2">
        <v>0.0</v>
      </c>
      <c r="F4818" s="2">
        <v>1.72</v>
      </c>
      <c r="G4818" s="4">
        <f t="shared" si="3"/>
        <v>9544361.43</v>
      </c>
      <c r="H4818" s="4">
        <f t="shared" si="1"/>
        <v>0.9999940719</v>
      </c>
      <c r="I4818" s="4" t="str">
        <f t="shared" si="2"/>
        <v>C</v>
      </c>
    </row>
    <row r="4819">
      <c r="A4819" s="2">
        <v>4818.0</v>
      </c>
      <c r="B4819" s="2">
        <v>21081.0</v>
      </c>
      <c r="C4819" s="2" t="s">
        <v>6171</v>
      </c>
      <c r="D4819" s="2">
        <v>0.85</v>
      </c>
      <c r="E4819" s="2">
        <v>2.0</v>
      </c>
      <c r="F4819" s="2">
        <v>1.7</v>
      </c>
      <c r="G4819" s="4">
        <f t="shared" si="3"/>
        <v>9544363.13</v>
      </c>
      <c r="H4819" s="4">
        <f t="shared" si="1"/>
        <v>0.99999425</v>
      </c>
      <c r="I4819" s="4" t="str">
        <f t="shared" si="2"/>
        <v>C</v>
      </c>
    </row>
    <row r="4820">
      <c r="A4820" s="2">
        <v>4819.0</v>
      </c>
      <c r="B4820" s="2" t="s">
        <v>6172</v>
      </c>
      <c r="C4820" s="2" t="s">
        <v>4952</v>
      </c>
      <c r="D4820" s="2">
        <v>1.69</v>
      </c>
      <c r="E4820" s="2">
        <v>1.0</v>
      </c>
      <c r="F4820" s="2">
        <v>1.69</v>
      </c>
      <c r="G4820" s="4">
        <f t="shared" si="3"/>
        <v>9544364.82</v>
      </c>
      <c r="H4820" s="4">
        <f t="shared" si="1"/>
        <v>0.9999944271</v>
      </c>
      <c r="I4820" s="4" t="str">
        <f t="shared" si="2"/>
        <v>C</v>
      </c>
    </row>
    <row r="4821">
      <c r="A4821" s="2">
        <v>4820.0</v>
      </c>
      <c r="B4821" s="2">
        <v>23643.0</v>
      </c>
      <c r="C4821" s="2" t="s">
        <v>6173</v>
      </c>
      <c r="D4821" s="2">
        <v>3.33</v>
      </c>
      <c r="E4821" s="2">
        <v>0.0</v>
      </c>
      <c r="F4821" s="2">
        <v>1.66</v>
      </c>
      <c r="G4821" s="4">
        <f t="shared" si="3"/>
        <v>9544366.48</v>
      </c>
      <c r="H4821" s="4">
        <f t="shared" si="1"/>
        <v>0.999994601</v>
      </c>
      <c r="I4821" s="4" t="str">
        <f t="shared" si="2"/>
        <v>C</v>
      </c>
    </row>
    <row r="4822">
      <c r="A4822" s="2">
        <v>4821.0</v>
      </c>
      <c r="B4822" s="2">
        <v>20683.0</v>
      </c>
      <c r="C4822" s="2" t="s">
        <v>6174</v>
      </c>
      <c r="D4822" s="2">
        <v>3.25</v>
      </c>
      <c r="E4822" s="2">
        <v>0.0</v>
      </c>
      <c r="F4822" s="2">
        <v>1.62</v>
      </c>
      <c r="G4822" s="4">
        <f t="shared" si="3"/>
        <v>9544368.1</v>
      </c>
      <c r="H4822" s="4">
        <f t="shared" si="1"/>
        <v>0.9999947708</v>
      </c>
      <c r="I4822" s="4" t="str">
        <f t="shared" si="2"/>
        <v>C</v>
      </c>
    </row>
    <row r="4823">
      <c r="A4823" s="2">
        <v>4822.0</v>
      </c>
      <c r="B4823" s="2" t="s">
        <v>6175</v>
      </c>
      <c r="C4823" s="2" t="s">
        <v>4624</v>
      </c>
      <c r="D4823" s="2">
        <v>2.98</v>
      </c>
      <c r="E4823" s="2">
        <v>0.0</v>
      </c>
      <c r="F4823" s="2">
        <v>1.49</v>
      </c>
      <c r="G4823" s="4">
        <f t="shared" si="3"/>
        <v>9544369.59</v>
      </c>
      <c r="H4823" s="4">
        <f t="shared" si="1"/>
        <v>0.9999949269</v>
      </c>
      <c r="I4823" s="4" t="str">
        <f t="shared" si="2"/>
        <v>C</v>
      </c>
    </row>
    <row r="4824">
      <c r="A4824" s="2">
        <v>4823.0</v>
      </c>
      <c r="B4824" s="2">
        <v>79301.0</v>
      </c>
      <c r="C4824" s="2" t="s">
        <v>6176</v>
      </c>
      <c r="D4824" s="2">
        <v>2.95</v>
      </c>
      <c r="E4824" s="2">
        <v>0.0</v>
      </c>
      <c r="F4824" s="2">
        <v>1.48</v>
      </c>
      <c r="G4824" s="4">
        <f t="shared" si="3"/>
        <v>9544371.07</v>
      </c>
      <c r="H4824" s="4">
        <f t="shared" si="1"/>
        <v>0.9999950819</v>
      </c>
      <c r="I4824" s="4" t="str">
        <f t="shared" si="2"/>
        <v>C</v>
      </c>
    </row>
    <row r="4825">
      <c r="A4825" s="2">
        <v>4824.0</v>
      </c>
      <c r="B4825" s="2">
        <v>23602.0</v>
      </c>
      <c r="C4825" s="2" t="s">
        <v>6177</v>
      </c>
      <c r="D4825" s="2">
        <v>2.91</v>
      </c>
      <c r="E4825" s="2">
        <v>0.0</v>
      </c>
      <c r="F4825" s="2">
        <v>1.46</v>
      </c>
      <c r="G4825" s="4">
        <f t="shared" si="3"/>
        <v>9544372.53</v>
      </c>
      <c r="H4825" s="4">
        <f t="shared" si="1"/>
        <v>0.9999952349</v>
      </c>
      <c r="I4825" s="4" t="str">
        <f t="shared" si="2"/>
        <v>C</v>
      </c>
    </row>
    <row r="4826">
      <c r="A4826" s="2">
        <v>4825.0</v>
      </c>
      <c r="B4826" s="2">
        <v>23628.0</v>
      </c>
      <c r="C4826" s="2" t="s">
        <v>6178</v>
      </c>
      <c r="D4826" s="2">
        <v>2.91</v>
      </c>
      <c r="E4826" s="2">
        <v>0.0</v>
      </c>
      <c r="F4826" s="2">
        <v>1.46</v>
      </c>
      <c r="G4826" s="4">
        <f t="shared" si="3"/>
        <v>9544373.99</v>
      </c>
      <c r="H4826" s="4">
        <f t="shared" si="1"/>
        <v>0.9999953879</v>
      </c>
      <c r="I4826" s="4" t="str">
        <f t="shared" si="2"/>
        <v>C</v>
      </c>
    </row>
    <row r="4827">
      <c r="A4827" s="2">
        <v>4826.0</v>
      </c>
      <c r="B4827" s="2">
        <v>23609.0</v>
      </c>
      <c r="C4827" s="2" t="s">
        <v>6179</v>
      </c>
      <c r="D4827" s="2">
        <v>2.91</v>
      </c>
      <c r="E4827" s="2">
        <v>0.0</v>
      </c>
      <c r="F4827" s="2">
        <v>1.46</v>
      </c>
      <c r="G4827" s="4">
        <f t="shared" si="3"/>
        <v>9544375.45</v>
      </c>
      <c r="H4827" s="4">
        <f t="shared" si="1"/>
        <v>0.9999955408</v>
      </c>
      <c r="I4827" s="4" t="str">
        <f t="shared" si="2"/>
        <v>C</v>
      </c>
    </row>
    <row r="4828">
      <c r="A4828" s="2">
        <v>4827.0</v>
      </c>
      <c r="B4828" s="2" t="s">
        <v>6180</v>
      </c>
      <c r="C4828" s="2" t="s">
        <v>5642</v>
      </c>
      <c r="D4828" s="2">
        <v>2.9</v>
      </c>
      <c r="E4828" s="2">
        <v>0.0</v>
      </c>
      <c r="F4828" s="2">
        <v>1.45</v>
      </c>
      <c r="G4828" s="4">
        <f t="shared" si="3"/>
        <v>9544376.9</v>
      </c>
      <c r="H4828" s="4">
        <f t="shared" si="1"/>
        <v>0.9999956928</v>
      </c>
      <c r="I4828" s="4" t="str">
        <f t="shared" si="2"/>
        <v>C</v>
      </c>
    </row>
    <row r="4829">
      <c r="A4829" s="2">
        <v>4828.0</v>
      </c>
      <c r="B4829" s="2">
        <v>85171.0</v>
      </c>
      <c r="C4829" s="2" t="s">
        <v>6181</v>
      </c>
      <c r="D4829" s="2">
        <v>2.55</v>
      </c>
      <c r="E4829" s="2">
        <v>0.0</v>
      </c>
      <c r="F4829" s="2">
        <v>1.27</v>
      </c>
      <c r="G4829" s="4">
        <f t="shared" si="3"/>
        <v>9544378.17</v>
      </c>
      <c r="H4829" s="4">
        <f t="shared" si="1"/>
        <v>0.9999958258</v>
      </c>
      <c r="I4829" s="4" t="str">
        <f t="shared" si="2"/>
        <v>C</v>
      </c>
    </row>
    <row r="4830">
      <c r="A4830" s="2">
        <v>4829.0</v>
      </c>
      <c r="B4830" s="2">
        <v>21036.0</v>
      </c>
      <c r="C4830" s="2" t="s">
        <v>6182</v>
      </c>
      <c r="D4830" s="2">
        <v>2.55</v>
      </c>
      <c r="E4830" s="2">
        <v>0.0</v>
      </c>
      <c r="F4830" s="2">
        <v>1.27</v>
      </c>
      <c r="G4830" s="4">
        <f t="shared" si="3"/>
        <v>9544379.44</v>
      </c>
      <c r="H4830" s="4">
        <f t="shared" si="1"/>
        <v>0.9999959589</v>
      </c>
      <c r="I4830" s="4" t="str">
        <f t="shared" si="2"/>
        <v>C</v>
      </c>
    </row>
    <row r="4831">
      <c r="A4831" s="2">
        <v>4830.0</v>
      </c>
      <c r="B4831" s="2">
        <v>20881.0</v>
      </c>
      <c r="C4831" s="2" t="s">
        <v>6024</v>
      </c>
      <c r="D4831" s="2">
        <v>0.85</v>
      </c>
      <c r="E4831" s="2">
        <v>2.0</v>
      </c>
      <c r="F4831" s="2">
        <v>1.27</v>
      </c>
      <c r="G4831" s="4">
        <f t="shared" si="3"/>
        <v>9544380.71</v>
      </c>
      <c r="H4831" s="4">
        <f t="shared" si="1"/>
        <v>0.999996092</v>
      </c>
      <c r="I4831" s="4" t="str">
        <f t="shared" si="2"/>
        <v>C</v>
      </c>
    </row>
    <row r="4832">
      <c r="A4832" s="2">
        <v>4831.0</v>
      </c>
      <c r="B4832" s="2">
        <v>47554.0</v>
      </c>
      <c r="C4832" s="2" t="s">
        <v>6183</v>
      </c>
      <c r="D4832" s="2">
        <v>2.55</v>
      </c>
      <c r="E4832" s="2">
        <v>0.0</v>
      </c>
      <c r="F4832" s="2">
        <v>1.27</v>
      </c>
      <c r="G4832" s="4">
        <f t="shared" si="3"/>
        <v>9544381.98</v>
      </c>
      <c r="H4832" s="4">
        <f t="shared" si="1"/>
        <v>0.999996225</v>
      </c>
      <c r="I4832" s="4" t="str">
        <f t="shared" si="2"/>
        <v>C</v>
      </c>
    </row>
    <row r="4833">
      <c r="A4833" s="2">
        <v>4832.0</v>
      </c>
      <c r="B4833" s="2">
        <v>47569.0</v>
      </c>
      <c r="C4833" s="2" t="s">
        <v>6184</v>
      </c>
      <c r="D4833" s="2">
        <v>2.55</v>
      </c>
      <c r="E4833" s="2">
        <v>0.0</v>
      </c>
      <c r="F4833" s="2">
        <v>1.27</v>
      </c>
      <c r="G4833" s="4">
        <f t="shared" si="3"/>
        <v>9544383.25</v>
      </c>
      <c r="H4833" s="4">
        <f t="shared" si="1"/>
        <v>0.9999963581</v>
      </c>
      <c r="I4833" s="4" t="str">
        <f t="shared" si="2"/>
        <v>C</v>
      </c>
    </row>
    <row r="4834">
      <c r="A4834" s="2">
        <v>4833.0</v>
      </c>
      <c r="B4834" s="2">
        <v>35999.0</v>
      </c>
      <c r="C4834" s="2" t="s">
        <v>6185</v>
      </c>
      <c r="D4834" s="2">
        <v>2.55</v>
      </c>
      <c r="E4834" s="2">
        <v>0.0</v>
      </c>
      <c r="F4834" s="2">
        <v>1.27</v>
      </c>
      <c r="G4834" s="4">
        <f t="shared" si="3"/>
        <v>9544384.52</v>
      </c>
      <c r="H4834" s="4">
        <f t="shared" si="1"/>
        <v>0.9999964911</v>
      </c>
      <c r="I4834" s="4" t="str">
        <f t="shared" si="2"/>
        <v>C</v>
      </c>
    </row>
    <row r="4835">
      <c r="A4835" s="2">
        <v>4834.0</v>
      </c>
      <c r="B4835" s="2">
        <v>90091.0</v>
      </c>
      <c r="C4835" s="2" t="s">
        <v>6186</v>
      </c>
      <c r="D4835" s="2">
        <v>0.85</v>
      </c>
      <c r="E4835" s="2">
        <v>2.0</v>
      </c>
      <c r="F4835" s="2">
        <v>1.27</v>
      </c>
      <c r="G4835" s="4">
        <f t="shared" si="3"/>
        <v>9544385.79</v>
      </c>
      <c r="H4835" s="4">
        <f t="shared" si="1"/>
        <v>0.9999966242</v>
      </c>
      <c r="I4835" s="4" t="str">
        <f t="shared" si="2"/>
        <v>C</v>
      </c>
    </row>
    <row r="4836">
      <c r="A4836" s="2">
        <v>4835.0</v>
      </c>
      <c r="B4836" s="2">
        <v>47556.0</v>
      </c>
      <c r="C4836" s="2" t="s">
        <v>6187</v>
      </c>
      <c r="D4836" s="2">
        <v>2.55</v>
      </c>
      <c r="E4836" s="2">
        <v>0.0</v>
      </c>
      <c r="F4836" s="2">
        <v>1.27</v>
      </c>
      <c r="G4836" s="4">
        <f t="shared" si="3"/>
        <v>9544387.06</v>
      </c>
      <c r="H4836" s="4">
        <f t="shared" si="1"/>
        <v>0.9999967573</v>
      </c>
      <c r="I4836" s="4" t="str">
        <f t="shared" si="2"/>
        <v>C</v>
      </c>
    </row>
    <row r="4837">
      <c r="A4837" s="2">
        <v>4836.0</v>
      </c>
      <c r="B4837" s="2" t="s">
        <v>6188</v>
      </c>
      <c r="C4837" s="2" t="s">
        <v>6189</v>
      </c>
      <c r="D4837" s="2">
        <v>0.42</v>
      </c>
      <c r="E4837" s="2">
        <v>3.0</v>
      </c>
      <c r="F4837" s="2">
        <v>1.26</v>
      </c>
      <c r="G4837" s="4">
        <f t="shared" si="3"/>
        <v>9544388.32</v>
      </c>
      <c r="H4837" s="4">
        <f t="shared" si="1"/>
        <v>0.9999968893</v>
      </c>
      <c r="I4837" s="4" t="str">
        <f t="shared" si="2"/>
        <v>C</v>
      </c>
    </row>
    <row r="4838">
      <c r="A4838" s="2">
        <v>4837.0</v>
      </c>
      <c r="B4838" s="2">
        <v>21290.0</v>
      </c>
      <c r="C4838" s="2" t="s">
        <v>6190</v>
      </c>
      <c r="D4838" s="2">
        <v>1.25</v>
      </c>
      <c r="E4838" s="2">
        <v>1.0</v>
      </c>
      <c r="F4838" s="2">
        <v>1.25</v>
      </c>
      <c r="G4838" s="4">
        <f t="shared" si="3"/>
        <v>9544389.57</v>
      </c>
      <c r="H4838" s="4">
        <f t="shared" si="1"/>
        <v>0.9999970202</v>
      </c>
      <c r="I4838" s="4" t="str">
        <f t="shared" si="2"/>
        <v>C</v>
      </c>
    </row>
    <row r="4839">
      <c r="A4839" s="2">
        <v>4838.0</v>
      </c>
      <c r="B4839" s="2" t="s">
        <v>6191</v>
      </c>
      <c r="C4839" s="2" t="s">
        <v>6192</v>
      </c>
      <c r="D4839" s="2">
        <v>1.25</v>
      </c>
      <c r="E4839" s="2">
        <v>1.0</v>
      </c>
      <c r="F4839" s="2">
        <v>1.25</v>
      </c>
      <c r="G4839" s="4">
        <f t="shared" si="3"/>
        <v>9544390.82</v>
      </c>
      <c r="H4839" s="4">
        <f t="shared" si="1"/>
        <v>0.9999971512</v>
      </c>
      <c r="I4839" s="4" t="str">
        <f t="shared" si="2"/>
        <v>C</v>
      </c>
    </row>
    <row r="4840">
      <c r="A4840" s="2">
        <v>4839.0</v>
      </c>
      <c r="B4840" s="2">
        <v>21225.0</v>
      </c>
      <c r="C4840" s="2" t="s">
        <v>6193</v>
      </c>
      <c r="D4840" s="2">
        <v>1.25</v>
      </c>
      <c r="E4840" s="2">
        <v>1.0</v>
      </c>
      <c r="F4840" s="2">
        <v>1.25</v>
      </c>
      <c r="G4840" s="4">
        <f t="shared" si="3"/>
        <v>9544392.07</v>
      </c>
      <c r="H4840" s="4">
        <f t="shared" si="1"/>
        <v>0.9999972822</v>
      </c>
      <c r="I4840" s="4" t="str">
        <f t="shared" si="2"/>
        <v>C</v>
      </c>
    </row>
    <row r="4841">
      <c r="A4841" s="2">
        <v>4840.0</v>
      </c>
      <c r="B4841" s="2">
        <v>21008.0</v>
      </c>
      <c r="C4841" s="2" t="s">
        <v>6194</v>
      </c>
      <c r="D4841" s="2">
        <v>2.51</v>
      </c>
      <c r="E4841" s="2">
        <v>0.0</v>
      </c>
      <c r="F4841" s="2">
        <v>1.25</v>
      </c>
      <c r="G4841" s="4">
        <f t="shared" si="3"/>
        <v>9544393.32</v>
      </c>
      <c r="H4841" s="4">
        <f t="shared" si="1"/>
        <v>0.9999974131</v>
      </c>
      <c r="I4841" s="4" t="str">
        <f t="shared" si="2"/>
        <v>C</v>
      </c>
    </row>
    <row r="4842">
      <c r="A4842" s="2">
        <v>4841.0</v>
      </c>
      <c r="B4842" s="2" t="s">
        <v>6195</v>
      </c>
      <c r="C4842" s="2" t="s">
        <v>4247</v>
      </c>
      <c r="D4842" s="2">
        <v>2.51</v>
      </c>
      <c r="E4842" s="2">
        <v>0.0</v>
      </c>
      <c r="F4842" s="2">
        <v>1.25</v>
      </c>
      <c r="G4842" s="4">
        <f t="shared" si="3"/>
        <v>9544394.57</v>
      </c>
      <c r="H4842" s="4">
        <f t="shared" si="1"/>
        <v>0.9999975441</v>
      </c>
      <c r="I4842" s="4" t="str">
        <f t="shared" si="2"/>
        <v>C</v>
      </c>
    </row>
    <row r="4843">
      <c r="A4843" s="2">
        <v>4842.0</v>
      </c>
      <c r="B4843" s="2" t="s">
        <v>6196</v>
      </c>
      <c r="C4843" s="2" t="s">
        <v>2816</v>
      </c>
      <c r="D4843" s="2">
        <v>2.46</v>
      </c>
      <c r="E4843" s="2">
        <v>0.0</v>
      </c>
      <c r="F4843" s="2">
        <v>1.23</v>
      </c>
      <c r="G4843" s="4">
        <f t="shared" si="3"/>
        <v>9544395.8</v>
      </c>
      <c r="H4843" s="4">
        <f t="shared" si="1"/>
        <v>0.999997673</v>
      </c>
      <c r="I4843" s="4" t="str">
        <f t="shared" si="2"/>
        <v>C</v>
      </c>
    </row>
    <row r="4844">
      <c r="A4844" s="2">
        <v>4843.0</v>
      </c>
      <c r="B4844" s="2" t="s">
        <v>6197</v>
      </c>
      <c r="C4844" s="2" t="s">
        <v>1293</v>
      </c>
      <c r="D4844" s="2">
        <v>2.46</v>
      </c>
      <c r="E4844" s="2">
        <v>0.0</v>
      </c>
      <c r="F4844" s="2">
        <v>1.23</v>
      </c>
      <c r="G4844" s="4">
        <f t="shared" si="3"/>
        <v>9544397.03</v>
      </c>
      <c r="H4844" s="4">
        <f t="shared" si="1"/>
        <v>0.9999978019</v>
      </c>
      <c r="I4844" s="4" t="str">
        <f t="shared" si="2"/>
        <v>C</v>
      </c>
    </row>
    <row r="4845">
      <c r="A4845" s="2">
        <v>4844.0</v>
      </c>
      <c r="B4845" s="2" t="s">
        <v>6198</v>
      </c>
      <c r="C4845" s="2" t="s">
        <v>2309</v>
      </c>
      <c r="D4845" s="2">
        <v>2.15</v>
      </c>
      <c r="E4845" s="2">
        <v>0.0</v>
      </c>
      <c r="F4845" s="2">
        <v>1.08</v>
      </c>
      <c r="G4845" s="4">
        <f t="shared" si="3"/>
        <v>9544398.11</v>
      </c>
      <c r="H4845" s="4">
        <f t="shared" si="1"/>
        <v>0.999997915</v>
      </c>
      <c r="I4845" s="4" t="str">
        <f t="shared" si="2"/>
        <v>C</v>
      </c>
    </row>
    <row r="4846">
      <c r="A4846" s="2">
        <v>4845.0</v>
      </c>
      <c r="B4846" s="2">
        <v>17061.0</v>
      </c>
      <c r="C4846" s="2" t="s">
        <v>6199</v>
      </c>
      <c r="D4846" s="2">
        <v>0.04</v>
      </c>
      <c r="E4846" s="2">
        <v>26.0</v>
      </c>
      <c r="F4846" s="2">
        <v>1.04</v>
      </c>
      <c r="G4846" s="4">
        <f t="shared" si="3"/>
        <v>9544399.15</v>
      </c>
      <c r="H4846" s="4">
        <f t="shared" si="1"/>
        <v>0.999998024</v>
      </c>
      <c r="I4846" s="4" t="str">
        <f t="shared" si="2"/>
        <v>C</v>
      </c>
    </row>
    <row r="4847">
      <c r="A4847" s="2">
        <v>4846.0</v>
      </c>
      <c r="B4847" s="2" t="s">
        <v>6200</v>
      </c>
      <c r="C4847" s="2" t="s">
        <v>6201</v>
      </c>
      <c r="D4847" s="2">
        <v>1.95</v>
      </c>
      <c r="E4847" s="2">
        <v>0.0</v>
      </c>
      <c r="F4847" s="2">
        <v>0.98</v>
      </c>
      <c r="G4847" s="4">
        <f t="shared" si="3"/>
        <v>9544400.13</v>
      </c>
      <c r="H4847" s="4">
        <f t="shared" si="1"/>
        <v>0.9999981267</v>
      </c>
      <c r="I4847" s="4" t="str">
        <f t="shared" si="2"/>
        <v>C</v>
      </c>
    </row>
    <row r="4848">
      <c r="A4848" s="2">
        <v>4847.0</v>
      </c>
      <c r="B4848" s="2">
        <v>35945.0</v>
      </c>
      <c r="C4848" s="2" t="s">
        <v>6202</v>
      </c>
      <c r="D4848" s="2">
        <v>1.95</v>
      </c>
      <c r="E4848" s="2">
        <v>0.0</v>
      </c>
      <c r="F4848" s="2">
        <v>0.98</v>
      </c>
      <c r="G4848" s="4">
        <f t="shared" si="3"/>
        <v>9544401.11</v>
      </c>
      <c r="H4848" s="4">
        <f t="shared" si="1"/>
        <v>0.9999982293</v>
      </c>
      <c r="I4848" s="4" t="str">
        <f t="shared" si="2"/>
        <v>C</v>
      </c>
    </row>
    <row r="4849">
      <c r="A4849" s="2">
        <v>4848.0</v>
      </c>
      <c r="B4849" s="2" t="s">
        <v>6203</v>
      </c>
      <c r="C4849" s="2" t="s">
        <v>6204</v>
      </c>
      <c r="D4849" s="2">
        <v>1.95</v>
      </c>
      <c r="E4849" s="2">
        <v>0.0</v>
      </c>
      <c r="F4849" s="2">
        <v>0.98</v>
      </c>
      <c r="G4849" s="4">
        <f t="shared" si="3"/>
        <v>9544402.09</v>
      </c>
      <c r="H4849" s="4">
        <f t="shared" si="1"/>
        <v>0.999998332</v>
      </c>
      <c r="I4849" s="4" t="str">
        <f t="shared" si="2"/>
        <v>C</v>
      </c>
    </row>
    <row r="4850">
      <c r="A4850" s="2">
        <v>4849.0</v>
      </c>
      <c r="B4850" s="2" t="s">
        <v>6205</v>
      </c>
      <c r="C4850" s="2" t="s">
        <v>6206</v>
      </c>
      <c r="D4850" s="2">
        <v>0.65</v>
      </c>
      <c r="E4850" s="2">
        <v>2.0</v>
      </c>
      <c r="F4850" s="2">
        <v>0.98</v>
      </c>
      <c r="G4850" s="4">
        <f t="shared" si="3"/>
        <v>9544403.07</v>
      </c>
      <c r="H4850" s="4">
        <f t="shared" si="1"/>
        <v>0.9999984347</v>
      </c>
      <c r="I4850" s="4" t="str">
        <f t="shared" si="2"/>
        <v>C</v>
      </c>
    </row>
    <row r="4851">
      <c r="A4851" s="2">
        <v>4850.0</v>
      </c>
      <c r="B4851" s="2" t="s">
        <v>6207</v>
      </c>
      <c r="C4851" s="2" t="s">
        <v>6208</v>
      </c>
      <c r="D4851" s="2">
        <v>0.19</v>
      </c>
      <c r="E4851" s="2">
        <v>5.0</v>
      </c>
      <c r="F4851" s="2">
        <v>0.95</v>
      </c>
      <c r="G4851" s="4">
        <f t="shared" si="3"/>
        <v>9544404.02</v>
      </c>
      <c r="H4851" s="4">
        <f t="shared" si="1"/>
        <v>0.9999985342</v>
      </c>
      <c r="I4851" s="4" t="str">
        <f t="shared" si="2"/>
        <v>C</v>
      </c>
    </row>
    <row r="4852">
      <c r="A4852" s="2">
        <v>4851.0</v>
      </c>
      <c r="B4852" s="2" t="s">
        <v>6209</v>
      </c>
      <c r="C4852" s="2" t="s">
        <v>6210</v>
      </c>
      <c r="D4852" s="2">
        <v>0.19</v>
      </c>
      <c r="E4852" s="2">
        <v>5.0</v>
      </c>
      <c r="F4852" s="2">
        <v>0.95</v>
      </c>
      <c r="G4852" s="4">
        <f t="shared" si="3"/>
        <v>9544404.97</v>
      </c>
      <c r="H4852" s="4">
        <f t="shared" si="1"/>
        <v>0.9999986338</v>
      </c>
      <c r="I4852" s="4" t="str">
        <f t="shared" si="2"/>
        <v>C</v>
      </c>
    </row>
    <row r="4853">
      <c r="A4853" s="2">
        <v>4852.0</v>
      </c>
      <c r="B4853" s="2" t="s">
        <v>6211</v>
      </c>
      <c r="C4853" s="2" t="s">
        <v>6212</v>
      </c>
      <c r="D4853" s="2">
        <v>0.19</v>
      </c>
      <c r="E4853" s="2">
        <v>4.0</v>
      </c>
      <c r="F4853" s="2">
        <v>0.86</v>
      </c>
      <c r="G4853" s="4">
        <f t="shared" si="3"/>
        <v>9544405.83</v>
      </c>
      <c r="H4853" s="4">
        <f t="shared" si="1"/>
        <v>0.9999987239</v>
      </c>
      <c r="I4853" s="4" t="str">
        <f t="shared" si="2"/>
        <v>C</v>
      </c>
    </row>
    <row r="4854">
      <c r="A4854" s="2">
        <v>4853.0</v>
      </c>
      <c r="B4854" s="2">
        <v>20737.0</v>
      </c>
      <c r="C4854" s="2" t="s">
        <v>6213</v>
      </c>
      <c r="D4854" s="2">
        <v>1.7</v>
      </c>
      <c r="E4854" s="2">
        <v>0.0</v>
      </c>
      <c r="F4854" s="2">
        <v>0.85</v>
      </c>
      <c r="G4854" s="4">
        <f t="shared" si="3"/>
        <v>9544406.68</v>
      </c>
      <c r="H4854" s="4">
        <f t="shared" si="1"/>
        <v>0.9999988129</v>
      </c>
      <c r="I4854" s="4" t="str">
        <f t="shared" si="2"/>
        <v>C</v>
      </c>
    </row>
    <row r="4855">
      <c r="A4855" s="2">
        <v>4854.0</v>
      </c>
      <c r="B4855" s="2">
        <v>35837.0</v>
      </c>
      <c r="C4855" s="2" t="s">
        <v>6214</v>
      </c>
      <c r="D4855" s="2">
        <v>0.85</v>
      </c>
      <c r="E4855" s="2">
        <v>1.0</v>
      </c>
      <c r="F4855" s="2">
        <v>0.85</v>
      </c>
      <c r="G4855" s="4">
        <f t="shared" si="3"/>
        <v>9544407.53</v>
      </c>
      <c r="H4855" s="4">
        <f t="shared" si="1"/>
        <v>0.999998902</v>
      </c>
      <c r="I4855" s="4" t="str">
        <f t="shared" si="2"/>
        <v>C</v>
      </c>
    </row>
    <row r="4856">
      <c r="A4856" s="2">
        <v>4855.0</v>
      </c>
      <c r="B4856" s="2" t="s">
        <v>6215</v>
      </c>
      <c r="C4856" s="2" t="s">
        <v>6216</v>
      </c>
      <c r="D4856" s="2">
        <v>1.7</v>
      </c>
      <c r="E4856" s="2">
        <v>0.0</v>
      </c>
      <c r="F4856" s="2">
        <v>0.85</v>
      </c>
      <c r="G4856" s="4">
        <f t="shared" si="3"/>
        <v>9544408.38</v>
      </c>
      <c r="H4856" s="4">
        <f t="shared" si="1"/>
        <v>0.999998991</v>
      </c>
      <c r="I4856" s="4" t="str">
        <f t="shared" si="2"/>
        <v>C</v>
      </c>
    </row>
    <row r="4857">
      <c r="A4857" s="2">
        <v>4856.0</v>
      </c>
      <c r="B4857" s="2">
        <v>10109.0</v>
      </c>
      <c r="C4857" s="2" t="s">
        <v>6217</v>
      </c>
      <c r="D4857" s="2">
        <v>0.42</v>
      </c>
      <c r="E4857" s="2">
        <v>2.0</v>
      </c>
      <c r="F4857" s="2">
        <v>0.84</v>
      </c>
      <c r="G4857" s="4">
        <f t="shared" si="3"/>
        <v>9544409.22</v>
      </c>
      <c r="H4857" s="4">
        <f t="shared" si="1"/>
        <v>0.999999079</v>
      </c>
      <c r="I4857" s="4" t="str">
        <f t="shared" si="2"/>
        <v>C</v>
      </c>
    </row>
    <row r="4858">
      <c r="A4858" s="2">
        <v>4857.0</v>
      </c>
      <c r="B4858" s="2" t="s">
        <v>6218</v>
      </c>
      <c r="C4858" s="2" t="s">
        <v>6219</v>
      </c>
      <c r="D4858" s="2">
        <v>1.69</v>
      </c>
      <c r="E4858" s="2">
        <v>0.0</v>
      </c>
      <c r="F4858" s="2">
        <v>0.84</v>
      </c>
      <c r="G4858" s="4">
        <f t="shared" si="3"/>
        <v>9544410.06</v>
      </c>
      <c r="H4858" s="4">
        <f t="shared" si="1"/>
        <v>0.9999991671</v>
      </c>
      <c r="I4858" s="4" t="str">
        <f t="shared" si="2"/>
        <v>C</v>
      </c>
    </row>
    <row r="4859">
      <c r="A4859" s="2">
        <v>4858.0</v>
      </c>
      <c r="B4859" s="2" t="s">
        <v>6220</v>
      </c>
      <c r="C4859" s="2" t="s">
        <v>3352</v>
      </c>
      <c r="D4859" s="2">
        <v>1.66</v>
      </c>
      <c r="E4859" s="2">
        <v>0.0</v>
      </c>
      <c r="F4859" s="2">
        <v>0.83</v>
      </c>
      <c r="G4859" s="4">
        <f t="shared" si="3"/>
        <v>9544410.89</v>
      </c>
      <c r="H4859" s="4">
        <f t="shared" si="1"/>
        <v>0.999999254</v>
      </c>
      <c r="I4859" s="4" t="str">
        <f t="shared" si="2"/>
        <v>C</v>
      </c>
    </row>
    <row r="4860">
      <c r="A4860" s="2">
        <v>4859.0</v>
      </c>
      <c r="B4860" s="2">
        <v>21585.0</v>
      </c>
      <c r="C4860" s="2" t="s">
        <v>6221</v>
      </c>
      <c r="D4860" s="2">
        <v>1.65</v>
      </c>
      <c r="E4860" s="2">
        <v>0.0</v>
      </c>
      <c r="F4860" s="2">
        <v>0.82</v>
      </c>
      <c r="G4860" s="4">
        <f t="shared" si="3"/>
        <v>9544411.71</v>
      </c>
      <c r="H4860" s="4">
        <f t="shared" si="1"/>
        <v>0.9999993399</v>
      </c>
      <c r="I4860" s="4" t="str">
        <f t="shared" si="2"/>
        <v>C</v>
      </c>
    </row>
    <row r="4861">
      <c r="A4861" s="2">
        <v>4860.0</v>
      </c>
      <c r="B4861" s="2" t="s">
        <v>6222</v>
      </c>
      <c r="C4861" s="2" t="s">
        <v>6223</v>
      </c>
      <c r="D4861" s="2">
        <v>1.65</v>
      </c>
      <c r="E4861" s="2">
        <v>0.0</v>
      </c>
      <c r="F4861" s="2">
        <v>0.82</v>
      </c>
      <c r="G4861" s="4">
        <f t="shared" si="3"/>
        <v>9544412.53</v>
      </c>
      <c r="H4861" s="4">
        <f t="shared" si="1"/>
        <v>0.9999994258</v>
      </c>
      <c r="I4861" s="4" t="str">
        <f t="shared" si="2"/>
        <v>C</v>
      </c>
    </row>
    <row r="4862">
      <c r="A4862" s="2">
        <v>4861.0</v>
      </c>
      <c r="B4862" s="2">
        <v>23664.0</v>
      </c>
      <c r="C4862" s="2" t="s">
        <v>6224</v>
      </c>
      <c r="D4862" s="2">
        <v>1.65</v>
      </c>
      <c r="E4862" s="2">
        <v>0.0</v>
      </c>
      <c r="F4862" s="2">
        <v>0.82</v>
      </c>
      <c r="G4862" s="4">
        <f t="shared" si="3"/>
        <v>9544413.35</v>
      </c>
      <c r="H4862" s="4">
        <f t="shared" si="1"/>
        <v>0.9999995118</v>
      </c>
      <c r="I4862" s="4" t="str">
        <f t="shared" si="2"/>
        <v>C</v>
      </c>
    </row>
    <row r="4863">
      <c r="A4863" s="2">
        <v>4862.0</v>
      </c>
      <c r="B4863" s="2" t="s">
        <v>6225</v>
      </c>
      <c r="C4863" s="2" t="s">
        <v>6226</v>
      </c>
      <c r="D4863" s="2">
        <v>1.65</v>
      </c>
      <c r="E4863" s="2">
        <v>0.0</v>
      </c>
      <c r="F4863" s="2">
        <v>0.82</v>
      </c>
      <c r="G4863" s="4">
        <f t="shared" si="3"/>
        <v>9544414.17</v>
      </c>
      <c r="H4863" s="4">
        <f t="shared" si="1"/>
        <v>0.9999995977</v>
      </c>
      <c r="I4863" s="4" t="str">
        <f t="shared" si="2"/>
        <v>C</v>
      </c>
    </row>
    <row r="4864">
      <c r="A4864" s="2">
        <v>4863.0</v>
      </c>
      <c r="B4864" s="2" t="s">
        <v>6227</v>
      </c>
      <c r="C4864" s="2" t="s">
        <v>6228</v>
      </c>
      <c r="D4864" s="2">
        <v>0.38</v>
      </c>
      <c r="E4864" s="2">
        <v>2.0</v>
      </c>
      <c r="F4864" s="2">
        <v>0.76</v>
      </c>
      <c r="G4864" s="4">
        <f t="shared" si="3"/>
        <v>9544414.93</v>
      </c>
      <c r="H4864" s="4">
        <f t="shared" si="1"/>
        <v>0.9999996773</v>
      </c>
      <c r="I4864" s="4" t="str">
        <f t="shared" si="2"/>
        <v>C</v>
      </c>
    </row>
    <row r="4865">
      <c r="A4865" s="2">
        <v>4864.0</v>
      </c>
      <c r="B4865" s="2" t="s">
        <v>6229</v>
      </c>
      <c r="C4865" s="2" t="s">
        <v>6230</v>
      </c>
      <c r="D4865" s="2">
        <v>1.25</v>
      </c>
      <c r="E4865" s="2">
        <v>0.0</v>
      </c>
      <c r="F4865" s="2">
        <v>0.62</v>
      </c>
      <c r="G4865" s="4">
        <f t="shared" si="3"/>
        <v>9544415.55</v>
      </c>
      <c r="H4865" s="4">
        <f t="shared" si="1"/>
        <v>0.9999997423</v>
      </c>
      <c r="I4865" s="4" t="str">
        <f t="shared" si="2"/>
        <v>C</v>
      </c>
    </row>
    <row r="4866">
      <c r="A4866" s="2">
        <v>4865.0</v>
      </c>
      <c r="B4866" s="2" t="s">
        <v>6231</v>
      </c>
      <c r="C4866" s="2" t="s">
        <v>6232</v>
      </c>
      <c r="D4866" s="2">
        <v>1.25</v>
      </c>
      <c r="E4866" s="2">
        <v>0.0</v>
      </c>
      <c r="F4866" s="2">
        <v>0.62</v>
      </c>
      <c r="G4866" s="4">
        <f t="shared" si="3"/>
        <v>9544416.17</v>
      </c>
      <c r="H4866" s="4">
        <f t="shared" si="1"/>
        <v>0.9999998072</v>
      </c>
      <c r="I4866" s="4" t="str">
        <f t="shared" si="2"/>
        <v>C</v>
      </c>
    </row>
    <row r="4867">
      <c r="A4867" s="2">
        <v>4866.0</v>
      </c>
      <c r="B4867" s="2">
        <v>35950.0</v>
      </c>
      <c r="C4867" s="2" t="s">
        <v>6233</v>
      </c>
      <c r="D4867" s="2">
        <v>1.25</v>
      </c>
      <c r="E4867" s="2">
        <v>0.0</v>
      </c>
      <c r="F4867" s="2">
        <v>0.62</v>
      </c>
      <c r="G4867" s="4">
        <f t="shared" si="3"/>
        <v>9544416.79</v>
      </c>
      <c r="H4867" s="4">
        <f t="shared" si="1"/>
        <v>0.9999998722</v>
      </c>
      <c r="I4867" s="4" t="str">
        <f t="shared" si="2"/>
        <v>C</v>
      </c>
    </row>
    <row r="4868">
      <c r="A4868" s="2">
        <v>4867.0</v>
      </c>
      <c r="B4868" s="2">
        <v>20721.0</v>
      </c>
      <c r="C4868" s="2" t="s">
        <v>6234</v>
      </c>
      <c r="D4868" s="2">
        <v>0.85</v>
      </c>
      <c r="E4868" s="2">
        <v>0.0</v>
      </c>
      <c r="F4868" s="2">
        <v>0.42</v>
      </c>
      <c r="G4868" s="4">
        <f t="shared" si="3"/>
        <v>9544417.21</v>
      </c>
      <c r="H4868" s="4">
        <f t="shared" si="1"/>
        <v>0.9999999162</v>
      </c>
      <c r="I4868" s="4" t="str">
        <f t="shared" si="2"/>
        <v>C</v>
      </c>
    </row>
    <row r="4869">
      <c r="A4869" s="2">
        <v>4868.0</v>
      </c>
      <c r="B4869" s="2" t="s">
        <v>6235</v>
      </c>
      <c r="C4869" s="2" t="s">
        <v>1595</v>
      </c>
      <c r="D4869" s="2">
        <v>0.83</v>
      </c>
      <c r="E4869" s="2">
        <v>0.0</v>
      </c>
      <c r="F4869" s="2">
        <v>0.42</v>
      </c>
      <c r="G4869" s="4">
        <f t="shared" si="3"/>
        <v>9544417.63</v>
      </c>
      <c r="H4869" s="4">
        <f t="shared" si="1"/>
        <v>0.9999999602</v>
      </c>
      <c r="I4869" s="4" t="str">
        <f t="shared" si="2"/>
        <v>C</v>
      </c>
    </row>
    <row r="4870">
      <c r="A4870" s="2">
        <v>4869.0</v>
      </c>
      <c r="B4870" s="2" t="s">
        <v>6236</v>
      </c>
      <c r="C4870" s="2" t="s">
        <v>6237</v>
      </c>
      <c r="D4870" s="2">
        <v>0.19</v>
      </c>
      <c r="E4870" s="2">
        <v>1.0</v>
      </c>
      <c r="F4870" s="2">
        <v>0.19</v>
      </c>
      <c r="G4870" s="4">
        <f t="shared" si="3"/>
        <v>9544417.82</v>
      </c>
      <c r="H4870" s="4">
        <f t="shared" si="1"/>
        <v>0.9999999801</v>
      </c>
      <c r="I4870" s="4" t="str">
        <f t="shared" si="2"/>
        <v>C</v>
      </c>
    </row>
    <row r="4871">
      <c r="A4871" s="2">
        <v>4870.0</v>
      </c>
      <c r="B4871" s="2">
        <v>35930.0</v>
      </c>
      <c r="C4871" s="2" t="s">
        <v>6238</v>
      </c>
      <c r="D4871" s="2">
        <v>0.38</v>
      </c>
      <c r="E4871" s="2">
        <v>0.0</v>
      </c>
      <c r="F4871" s="2">
        <v>0.19</v>
      </c>
      <c r="G4871" s="4">
        <f t="shared" si="3"/>
        <v>9544418.01</v>
      </c>
      <c r="H4871" s="4">
        <f t="shared" si="1"/>
        <v>1</v>
      </c>
      <c r="I4871" s="4" t="str">
        <f t="shared" si="2"/>
        <v>C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88"/>
    <col customWidth="1" min="2" max="2" width="22.88"/>
    <col customWidth="1" min="3" max="3" width="26.25"/>
    <col customWidth="1" min="4" max="4" width="17.25"/>
    <col customWidth="1" min="6" max="6" width="22.75"/>
    <col customWidth="1" min="7" max="7" width="20.88"/>
    <col customWidth="1" min="8" max="8" width="21.75"/>
  </cols>
  <sheetData>
    <row r="1" ht="22.5" customHeight="1">
      <c r="A1" s="6" t="s">
        <v>51</v>
      </c>
      <c r="B1" s="6" t="s">
        <v>212</v>
      </c>
      <c r="C1" s="6" t="s">
        <v>214</v>
      </c>
      <c r="D1" s="6" t="s">
        <v>215</v>
      </c>
      <c r="E1" s="6" t="s">
        <v>55</v>
      </c>
      <c r="F1" s="6" t="s">
        <v>219</v>
      </c>
      <c r="G1" s="6" t="s">
        <v>58</v>
      </c>
      <c r="H1" s="6" t="s">
        <v>221</v>
      </c>
    </row>
    <row r="2" ht="22.5" customHeight="1">
      <c r="A2" s="7" t="str">
        <f>'ABC ANALYSIS'!K10</f>
        <v>REGENCY CAKESTAND 3 TIER</v>
      </c>
      <c r="B2" s="8">
        <f>'ABC ANALYSIS'!M10</f>
        <v>12894</v>
      </c>
      <c r="C2" s="9" t="s">
        <v>233</v>
      </c>
      <c r="D2" s="10">
        <v>57.7</v>
      </c>
      <c r="E2" s="8">
        <f>'ABC ANALYSIS'!O10</f>
        <v>711.0886434</v>
      </c>
      <c r="F2" s="8">
        <f t="shared" ref="F2:F11" si="1">B2/E2</f>
        <v>18.13276041</v>
      </c>
      <c r="G2" s="8">
        <f>'ABC ANALYSIS'!S10</f>
        <v>416.1405805</v>
      </c>
      <c r="H2" s="8">
        <f>'ABC ANALYSIS'!T10</f>
        <v>904.8521189</v>
      </c>
    </row>
    <row r="3" ht="22.5" customHeight="1">
      <c r="A3" s="7" t="str">
        <f>'ABC ANALYSIS'!K11</f>
        <v>WHITE HANGING HEART T-LIGHT HOLDER</v>
      </c>
      <c r="B3" s="8">
        <f>'ABC ANALYSIS'!M11</f>
        <v>45480</v>
      </c>
      <c r="C3" s="9" t="s">
        <v>233</v>
      </c>
      <c r="D3" s="10">
        <v>292.3</v>
      </c>
      <c r="E3" s="8">
        <f>'ABC ANALYSIS'!O11</f>
        <v>2776.413978</v>
      </c>
      <c r="F3" s="8">
        <f t="shared" si="1"/>
        <v>16.38084247</v>
      </c>
      <c r="G3" s="8">
        <f>'ABC ANALYSIS'!S11</f>
        <v>1158.447851</v>
      </c>
      <c r="H3" s="8">
        <f>'ABC ANALYSIS'!T11</f>
        <v>2859.582467</v>
      </c>
    </row>
    <row r="4" ht="22.5" customHeight="1">
      <c r="A4" s="7" t="str">
        <f>'ABC ANALYSIS'!K12</f>
        <v>JUMBO BAG RED RETROSPOT</v>
      </c>
      <c r="B4" s="8">
        <f>'ABC ANALYSIS'!M12</f>
        <v>48012</v>
      </c>
      <c r="C4" s="9" t="s">
        <v>233</v>
      </c>
      <c r="D4" s="10">
        <v>481.9</v>
      </c>
      <c r="E4" s="8">
        <f>'ABC ANALYSIS'!O12</f>
        <v>3508.670579</v>
      </c>
      <c r="F4" s="8">
        <f t="shared" si="1"/>
        <v>13.68381526</v>
      </c>
      <c r="G4" s="8">
        <f>'ABC ANALYSIS'!S12</f>
        <v>1105.957096</v>
      </c>
      <c r="H4" s="8">
        <f>'ABC ANALYSIS'!T12</f>
        <v>2920.841712</v>
      </c>
    </row>
    <row r="5" ht="22.5" customHeight="1">
      <c r="A5" s="7" t="str">
        <f>'ABC ANALYSIS'!K13</f>
        <v>PARTY BUNTING</v>
      </c>
      <c r="B5" s="8">
        <f>'ABC ANALYSIS'!M13</f>
        <v>14008</v>
      </c>
      <c r="C5" s="9" t="s">
        <v>268</v>
      </c>
      <c r="D5" s="10">
        <v>88.5</v>
      </c>
      <c r="E5" s="8">
        <f>'ABC ANALYSIS'!O13</f>
        <v>1189.516496</v>
      </c>
      <c r="F5" s="8">
        <f t="shared" si="1"/>
        <v>11.77621331</v>
      </c>
      <c r="G5" s="8">
        <f>'ABC ANALYSIS'!S13</f>
        <v>561.8699029</v>
      </c>
      <c r="H5" s="8">
        <f>'ABC ANALYSIS'!T13</f>
        <v>1098.446826</v>
      </c>
    </row>
    <row r="6" ht="22.5" customHeight="1">
      <c r="A6" s="7" t="str">
        <f>'ABC ANALYSIS'!K14</f>
        <v>ASSORTED COLOUR BIRD ORNAMENT</v>
      </c>
      <c r="B6" s="8">
        <f>'ABC ANALYSIS'!M14</f>
        <v>39922</v>
      </c>
      <c r="C6" s="9" t="s">
        <v>233</v>
      </c>
      <c r="D6" s="10">
        <v>235.7</v>
      </c>
      <c r="E6" s="8">
        <f>'ABC ANALYSIS'!O14</f>
        <v>3436.748842</v>
      </c>
      <c r="F6" s="8">
        <f t="shared" si="1"/>
        <v>11.61621109</v>
      </c>
      <c r="G6" s="8">
        <f>'ABC ANALYSIS'!S14</f>
        <v>1621.217645</v>
      </c>
      <c r="H6" s="8">
        <f>'ABC ANALYSIS'!T14</f>
        <v>3104.83303</v>
      </c>
    </row>
    <row r="7" ht="22.5" customHeight="1">
      <c r="A7" s="7" t="str">
        <f>'ABC ANALYSIS'!K15</f>
        <v>PAPER CHAIN KIT 50'S CHRISTMAS</v>
      </c>
      <c r="B7" s="8">
        <f>'ABC ANALYSIS'!M15</f>
        <v>17330</v>
      </c>
      <c r="C7" s="9" t="s">
        <v>288</v>
      </c>
      <c r="D7" s="10">
        <v>301.6</v>
      </c>
      <c r="E7" s="8">
        <f>'ABC ANALYSIS'!O15</f>
        <v>1713.851842</v>
      </c>
      <c r="F7" s="8">
        <f t="shared" si="1"/>
        <v>10.11172587</v>
      </c>
      <c r="G7" s="8">
        <f>'ABC ANALYSIS'!S15</f>
        <v>1219.929203</v>
      </c>
      <c r="H7" s="8">
        <f>'ABC ANALYSIS'!T15</f>
        <v>1818.179203</v>
      </c>
    </row>
    <row r="8" ht="22.5" customHeight="1">
      <c r="A8" s="7" t="str">
        <f>'ABC ANALYSIS'!K16</f>
        <v>CHILLI LIGHTS</v>
      </c>
      <c r="B8" s="8">
        <f>'ABC ANALYSIS'!M16</f>
        <v>7906</v>
      </c>
      <c r="C8" s="9" t="s">
        <v>233</v>
      </c>
      <c r="D8" s="10">
        <v>167.7</v>
      </c>
      <c r="E8" s="8">
        <f>'ABC ANALYSIS'!O16</f>
        <v>893.6363123</v>
      </c>
      <c r="F8" s="8">
        <f t="shared" si="1"/>
        <v>8.846999491</v>
      </c>
      <c r="G8" s="8">
        <f>'ABC ANALYSIS'!S16</f>
        <v>444.7213395</v>
      </c>
      <c r="H8" s="8">
        <f>'ABC ANALYSIS'!T16</f>
        <v>741.2213395</v>
      </c>
    </row>
    <row r="9" ht="22.5" customHeight="1">
      <c r="A9" s="7" t="str">
        <f>'ABC ANALYSIS'!K17</f>
        <v>SMALL POPCORN HOLDER</v>
      </c>
      <c r="B9" s="8">
        <f>'ABC ANALYSIS'!M17</f>
        <v>44152</v>
      </c>
      <c r="C9" s="9" t="s">
        <v>268</v>
      </c>
      <c r="D9" s="10">
        <v>555.7</v>
      </c>
      <c r="E9" s="8">
        <f>'ABC ANALYSIS'!O17</f>
        <v>5096.250063</v>
      </c>
      <c r="F9" s="8">
        <f t="shared" si="1"/>
        <v>8.663625107</v>
      </c>
      <c r="G9" s="8">
        <f>'ABC ANALYSIS'!S17</f>
        <v>2107.182791</v>
      </c>
      <c r="H9" s="8">
        <f>'ABC ANALYSIS'!T17</f>
        <v>3706.605868</v>
      </c>
    </row>
    <row r="10" ht="22.5" customHeight="1">
      <c r="A10" s="7" t="str">
        <f>'ABC ANALYSIS'!K18</f>
        <v>JUMBO BAG PINK POLKADOT</v>
      </c>
      <c r="B10" s="8">
        <f>'ABC ANALYSIS'!M18</f>
        <v>19506</v>
      </c>
      <c r="C10" s="9" t="s">
        <v>233</v>
      </c>
      <c r="D10" s="10">
        <v>262.6</v>
      </c>
      <c r="E10" s="8">
        <f>'ABC ANALYSIS'!O18</f>
        <v>2236.411961</v>
      </c>
      <c r="F10" s="8">
        <f t="shared" si="1"/>
        <v>8.72200665</v>
      </c>
      <c r="G10" s="8">
        <f>'ABC ANALYSIS'!S18</f>
        <v>593.395822</v>
      </c>
      <c r="H10" s="8">
        <f>'ABC ANALYSIS'!T18</f>
        <v>1341.645822</v>
      </c>
    </row>
    <row r="11" ht="22.5" customHeight="1">
      <c r="A11" s="7" t="str">
        <f>'ABC ANALYSIS'!K19</f>
        <v>LUNCH BAG RED RETROSPOT</v>
      </c>
      <c r="B11" s="8">
        <f>'ABC ANALYSIS'!M19</f>
        <v>19968</v>
      </c>
      <c r="C11" s="9" t="s">
        <v>233</v>
      </c>
      <c r="D11" s="10">
        <v>114.9</v>
      </c>
      <c r="E11" s="8">
        <f>'ABC ANALYSIS'!O19</f>
        <v>2459.859567</v>
      </c>
      <c r="F11" s="8">
        <f t="shared" si="1"/>
        <v>8.117536572</v>
      </c>
      <c r="G11" s="8">
        <f>'ABC ANALYSIS'!S19</f>
        <v>410.3306484</v>
      </c>
      <c r="H11" s="8">
        <f>'ABC ANALYSIS'!T19</f>
        <v>1167.349879</v>
      </c>
    </row>
    <row r="14">
      <c r="A14" s="11" t="s">
        <v>330</v>
      </c>
      <c r="C14" s="12" t="s">
        <v>332</v>
      </c>
    </row>
    <row r="15">
      <c r="A15" s="13" t="s">
        <v>335</v>
      </c>
      <c r="C15" s="13" t="s">
        <v>336</v>
      </c>
    </row>
    <row r="16">
      <c r="A16" s="14" t="s">
        <v>338</v>
      </c>
      <c r="C16" s="15" t="s">
        <v>339</v>
      </c>
    </row>
    <row r="17">
      <c r="A17" s="13" t="s">
        <v>340</v>
      </c>
      <c r="C17" s="13" t="s">
        <v>342</v>
      </c>
    </row>
    <row r="18">
      <c r="A18" s="14" t="s">
        <v>343</v>
      </c>
      <c r="C18" s="15" t="s">
        <v>344</v>
      </c>
    </row>
    <row r="19">
      <c r="A19" s="16" t="s">
        <v>345</v>
      </c>
      <c r="C19" s="13" t="s">
        <v>347</v>
      </c>
    </row>
    <row r="21">
      <c r="A21" s="17" t="s">
        <v>348</v>
      </c>
      <c r="C21" s="18" t="s">
        <v>350</v>
      </c>
    </row>
    <row r="22">
      <c r="A22" s="19" t="s">
        <v>352</v>
      </c>
      <c r="C22" s="13" t="s">
        <v>353</v>
      </c>
    </row>
    <row r="23">
      <c r="C23" s="20" t="s">
        <v>355</v>
      </c>
    </row>
    <row r="24">
      <c r="C24" s="13" t="s">
        <v>357</v>
      </c>
    </row>
    <row r="25">
      <c r="C25" s="20" t="s">
        <v>359</v>
      </c>
    </row>
    <row r="26">
      <c r="C26" s="13" t="s">
        <v>360</v>
      </c>
    </row>
    <row r="27">
      <c r="C27" s="21" t="s">
        <v>362</v>
      </c>
    </row>
  </sheetData>
  <mergeCells count="21">
    <mergeCell ref="C19:Q19"/>
    <mergeCell ref="C21:J21"/>
    <mergeCell ref="C22:J22"/>
    <mergeCell ref="C23:J23"/>
    <mergeCell ref="C24:J24"/>
    <mergeCell ref="C25:J25"/>
    <mergeCell ref="C26:J26"/>
    <mergeCell ref="C27:J27"/>
    <mergeCell ref="A15:B15"/>
    <mergeCell ref="A16:B16"/>
    <mergeCell ref="A17:B17"/>
    <mergeCell ref="A18:B18"/>
    <mergeCell ref="A19:B19"/>
    <mergeCell ref="A21:B21"/>
    <mergeCell ref="A22:B22"/>
    <mergeCell ref="A14:B14"/>
    <mergeCell ref="C14:Q14"/>
    <mergeCell ref="C15:Q15"/>
    <mergeCell ref="C16:Q16"/>
    <mergeCell ref="C17:Q17"/>
    <mergeCell ref="C18:Q18"/>
  </mergeCells>
  <conditionalFormatting sqref="C14:Q19">
    <cfRule type="colorScale" priority="1">
      <colorScale>
        <cfvo type="min"/>
        <cfvo type="max"/>
        <color rgb="FFFFFFFF"/>
        <color rgb="FFFFD666"/>
      </colorScale>
    </cfRule>
  </conditionalFormatting>
  <dataValidations>
    <dataValidation type="custom" allowBlank="1" showDropDown="1" sqref="B2:B11 D2:H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